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fsho\Portfolio\BHAGWAT\"/>
    </mc:Choice>
  </mc:AlternateContent>
  <xr:revisionPtr revIDLastSave="0" documentId="13_ncr:1_{834FAE47-7831-41EC-B2DB-C853D1AB91E1}" xr6:coauthVersionLast="47" xr6:coauthVersionMax="47" xr10:uidLastSave="{00000000-0000-0000-0000-000000000000}"/>
  <bookViews>
    <workbookView xWindow="-120" yWindow="-120" windowWidth="29040" windowHeight="15720" tabRatio="826" activeTab="1" xr2:uid="{5A7DA27C-F6D4-4130-B570-58CABC5589A2}"/>
  </bookViews>
  <sheets>
    <sheet name="Version History" sheetId="124" r:id="rId1"/>
    <sheet name="MasterSheet" sheetId="121" r:id="rId2"/>
    <sheet name="aad0data" sheetId="52" r:id="rId3"/>
    <sheet name="acaptrTL" sheetId="56" r:id="rId4"/>
    <sheet name="acaptrTR" sheetId="55" r:id="rId5"/>
    <sheet name="acrcal" sheetId="54" r:id="rId6"/>
    <sheet name="acd0data" sheetId="44" r:id="rId7"/>
    <sheet name="amd0data" sheetId="40" r:id="rId8"/>
    <sheet name="ank0dataBR" sheetId="23" r:id="rId9"/>
    <sheet name="ank0dataGW" sheetId="25" r:id="rId10"/>
    <sheet name="ank0dataMM" sheetId="24" r:id="rId11"/>
    <sheet name="ank0dataXC" sheetId="126" r:id="rId12"/>
    <sheet name="ard0data" sheetId="128" r:id="rId13"/>
    <sheet name="bcd0data" sheetId="43" r:id="rId14"/>
    <sheet name="bmdft01" sheetId="46" r:id="rId15"/>
    <sheet name="bmglsum" sheetId="47" r:id="rId16"/>
    <sheet name="brcode" sheetId="28" r:id="rId17"/>
    <sheet name="bsf0data" sheetId="39" r:id="rId18"/>
    <sheet name="ccblklog" sheetId="111" r:id="rId19"/>
    <sheet name="ccpayhist" sheetId="33" r:id="rId20"/>
    <sheet name="cnd0dataAC" sheetId="14" r:id="rId21"/>
    <sheet name="cnd0dataBD" sheetId="61" r:id="rId22"/>
    <sheet name="cnd0dataBR" sheetId="15" r:id="rId23"/>
    <sheet name="cnd0dataC0" sheetId="127" r:id="rId24"/>
    <sheet name="cnd0dataCL" sheetId="22" r:id="rId25"/>
    <sheet name="cnd0dataMR" sheetId="21" r:id="rId26"/>
    <sheet name="cnd0dataNR" sheetId="20" r:id="rId27"/>
    <sheet name="cnd0dataSP00" sheetId="129" r:id="rId28"/>
    <sheet name="cnd0dataSP01" sheetId="18" r:id="rId29"/>
    <sheet name="cnd0dataTR" sheetId="13" r:id="rId30"/>
    <sheet name="cnd0dataXC" sheetId="17" r:id="rId31"/>
    <sheet name="cpd0data" sheetId="29" r:id="rId32"/>
    <sheet name="crd0data" sheetId="9" r:id="rId33"/>
    <sheet name="ctd0data" sheetId="123" r:id="rId34"/>
    <sheet name="dcd0data" sheetId="31" r:id="rId35"/>
    <sheet name="dzd0data" sheetId="50" r:id="rId36"/>
    <sheet name="fud0data" sheetId="49" r:id="rId37"/>
    <sheet name="gld0data" sheetId="8" r:id="rId38"/>
    <sheet name="gld0data05" sheetId="120" r:id="rId39"/>
    <sheet name="iad0data" sheetId="45" r:id="rId40"/>
    <sheet name="isd0data" sheetId="42" r:id="rId41"/>
    <sheet name="letter" sheetId="34" r:id="rId42"/>
    <sheet name="mmd0data" sheetId="38" r:id="rId43"/>
    <sheet name="omnitrnhist" sheetId="48" r:id="rId44"/>
    <sheet name="pyd0data" sheetId="30" r:id="rId45"/>
    <sheet name="rid0data" sheetId="51" r:id="rId46"/>
    <sheet name="shd0data" sheetId="32" r:id="rId47"/>
    <sheet name="sod0data" sheetId="12" r:id="rId48"/>
    <sheet name="srvfeelog" sheetId="35" r:id="rId49"/>
    <sheet name="srvfeectl" sheetId="130" r:id="rId50"/>
    <sheet name="stabclist" sheetId="89" r:id="rId51"/>
    <sheet name="staccblk" sheetId="90" r:id="rId52"/>
    <sheet name="stacclog" sheetId="2" r:id="rId53"/>
    <sheet name="staccopencard" sheetId="91" r:id="rId54"/>
    <sheet name="staddrlog" sheetId="6" r:id="rId55"/>
    <sheet name="staddrtab" sheetId="4" r:id="rId56"/>
    <sheet name="stcaltab" sheetId="119" r:id="rId57"/>
    <sheet name="stcardlog" sheetId="92" r:id="rId58"/>
    <sheet name="stcardtab" sheetId="93" r:id="rId59"/>
    <sheet name="stchqdel" sheetId="94" r:id="rId60"/>
    <sheet name="stchqtab" sheetId="95" r:id="rId61"/>
    <sheet name="stcreflog" sheetId="96" r:id="rId62"/>
    <sheet name="stcreftab" sheetId="97" r:id="rId63"/>
    <sheet name="stctltabBD" sheetId="63" r:id="rId64"/>
    <sheet name="stctltabBI" sheetId="64" r:id="rId65"/>
    <sheet name="stctltab" sheetId="65" r:id="rId66"/>
    <sheet name="stctltabCB" sheetId="66" r:id="rId67"/>
    <sheet name="stctltabCC" sheetId="67" r:id="rId68"/>
    <sheet name="stctltabCT" sheetId="68" r:id="rId69"/>
    <sheet name="stctltabDC" sheetId="69" r:id="rId70"/>
    <sheet name="stctltabMM" sheetId="75" r:id="rId71"/>
    <sheet name="stctltabNA" sheetId="76" r:id="rId72"/>
    <sheet name="stctltabPK" sheetId="77" r:id="rId73"/>
    <sheet name="stctltabRN" sheetId="80" r:id="rId74"/>
    <sheet name="stctltabSC" sheetId="81" r:id="rId75"/>
    <sheet name="stctltabSS" sheetId="85" r:id="rId76"/>
    <sheet name="stctltabSR" sheetId="86" r:id="rId77"/>
    <sheet name="stctltabXC" sheetId="88" r:id="rId78"/>
    <sheet name="stcustlog" sheetId="1" r:id="rId79"/>
    <sheet name="stcusttab" sheetId="98" r:id="rId80"/>
    <sheet name="stfundtab" sheetId="99" r:id="rId81"/>
    <sheet name="stheirlog" sheetId="100" r:id="rId82"/>
    <sheet name="stheirtab" sheetId="101" r:id="rId83"/>
    <sheet name="stidlog" sheetId="102" r:id="rId84"/>
    <sheet name="stidtab" sheetId="3" r:id="rId85"/>
    <sheet name="stjointlog" sheetId="118" r:id="rId86"/>
    <sheet name="stjointtab" sheetId="109" r:id="rId87"/>
    <sheet name="stownlog" sheetId="103" r:id="rId88"/>
    <sheet name="stowntab" sheetId="7" r:id="rId89"/>
    <sheet name="stsadadlog" sheetId="114" r:id="rId90"/>
    <sheet name="stsadctlSC" sheetId="122" r:id="rId91"/>
    <sheet name="stsadctlER" sheetId="112" r:id="rId92"/>
    <sheet name="stsamaacc" sheetId="115" r:id="rId93"/>
    <sheet name="stseclog" sheetId="106" r:id="rId94"/>
    <sheet name="stsignlog" sheetId="104" r:id="rId95"/>
    <sheet name="stsigntab" sheetId="105" r:id="rId96"/>
    <sheet name="stsodlog" sheetId="117" r:id="rId97"/>
    <sheet name="ststchqlog" sheetId="110" r:id="rId98"/>
    <sheet name="sttdlog" sheetId="116" r:id="rId99"/>
    <sheet name="stuser" sheetId="108" r:id="rId100"/>
    <sheet name="stuserlog" sheetId="107" r:id="rId101"/>
    <sheet name="stusrbrn" sheetId="113" r:id="rId102"/>
    <sheet name="thd0data" sheetId="10" r:id="rId103"/>
    <sheet name="thd0data1" sheetId="11" r:id="rId104"/>
    <sheet name="tid0data" sheetId="36" r:id="rId105"/>
    <sheet name="tr0data" sheetId="59" r:id="rId106"/>
    <sheet name="txd0data" sheetId="58" r:id="rId107"/>
    <sheet name="und0data" sheetId="41" r:id="rId108"/>
  </sheets>
  <definedNames>
    <definedName name="_xlnm._FilterDatabase" localSheetId="2" hidden="1">aad0data!$A$2:$E$39</definedName>
    <definedName name="_xlnm._FilterDatabase" localSheetId="3" hidden="1">acaptrTL!$A$2:$K$2</definedName>
    <definedName name="_xlnm._FilterDatabase" localSheetId="32" hidden="1">crd0data!$A$2:$E$250</definedName>
    <definedName name="_xlnm._FilterDatabase" localSheetId="35" hidden="1">dzd0data!$A$2:$XEY$78</definedName>
    <definedName name="_xlnm._FilterDatabase" localSheetId="37" hidden="1">gld0data!$A$2:$XFC$164</definedName>
    <definedName name="_xlnm._FilterDatabase" localSheetId="38" hidden="1">gld0data05!$A$1:$XFA$247</definedName>
    <definedName name="_xlnm._FilterDatabase" localSheetId="1" hidden="1">MasterSheet!$A$1:$E$122</definedName>
    <definedName name="_xlnm._FilterDatabase" localSheetId="45" hidden="1">rid0data!$A$2:$E$63</definedName>
    <definedName name="_xlnm._FilterDatabase" localSheetId="47" hidden="1">sod0data!$A$1:$I$50</definedName>
    <definedName name="_xlnm._FilterDatabase" localSheetId="54" hidden="1">staddrlog!$B$2:$E$43</definedName>
    <definedName name="_xlnm._FilterDatabase" localSheetId="55" hidden="1">staddrtab!$B$2:$E$36</definedName>
    <definedName name="_xlnm._FilterDatabase" localSheetId="57" hidden="1">stcardlog!$A$1:$XFC$251</definedName>
    <definedName name="_xlnm._FilterDatabase" localSheetId="58" hidden="1">stcardtab!$A$1:$E$142</definedName>
    <definedName name="_xlnm._FilterDatabase" localSheetId="60" hidden="1">stchqtab!$A$1:$E$32</definedName>
    <definedName name="_xlnm._FilterDatabase" localSheetId="78" hidden="1">stcustlog!$2:$164</definedName>
    <definedName name="_xlnm._FilterDatabase" localSheetId="79" hidden="1">stcusttab!$A$1:$E$163</definedName>
    <definedName name="_xlnm._FilterDatabase" localSheetId="81" hidden="1">stheirlog!$A$1:$E$38</definedName>
    <definedName name="_xlnm._FilterDatabase" localSheetId="83" hidden="1">stidlog!$A$1:$E$32</definedName>
    <definedName name="_xlnm._FilterDatabase" localSheetId="85" hidden="1">stjointlog!$A$1:$O$84</definedName>
    <definedName name="_xlnm._FilterDatabase" localSheetId="86" hidden="1">stjointtab!$A$1:$E$79</definedName>
    <definedName name="_xlnm._FilterDatabase" localSheetId="88" hidden="1">stowntab!$D$2:$D$34</definedName>
    <definedName name="_xlnm._FilterDatabase" localSheetId="96" hidden="1">stsodlog!$A$1:$E$94</definedName>
    <definedName name="_xlnm._FilterDatabase" localSheetId="98" hidden="1">sttdlog!$A$1:$Q$78</definedName>
    <definedName name="_xlnm._FilterDatabase" localSheetId="105" hidden="1">tr0data!$A$2:$E$68</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07" i="121" l="1"/>
  <c r="A28" i="121"/>
  <c r="A27" i="121"/>
  <c r="A84" i="121"/>
  <c r="A90" i="121"/>
  <c r="A89" i="121"/>
  <c r="A10" i="121"/>
  <c r="A23" i="121"/>
  <c r="A75" i="121"/>
  <c r="A63" i="121"/>
  <c r="A106" i="121"/>
  <c r="A105" i="121"/>
  <c r="A104" i="121"/>
  <c r="A103" i="121"/>
  <c r="A102" i="121"/>
  <c r="A101" i="121"/>
  <c r="A100" i="121"/>
  <c r="A99" i="121"/>
  <c r="A98" i="121"/>
  <c r="A97" i="121"/>
  <c r="A96" i="121"/>
  <c r="A95" i="121"/>
  <c r="A94" i="121"/>
  <c r="A93" i="121"/>
  <c r="A92" i="121"/>
  <c r="A91" i="121"/>
  <c r="A88" i="121"/>
  <c r="A87" i="121"/>
  <c r="A86" i="121"/>
  <c r="A85" i="121"/>
  <c r="A83" i="121"/>
  <c r="A82" i="121"/>
  <c r="A81" i="121"/>
  <c r="A80" i="121"/>
  <c r="A79" i="121"/>
  <c r="A78" i="121"/>
  <c r="A77" i="121"/>
  <c r="A76" i="121"/>
  <c r="A74" i="121"/>
  <c r="A73" i="121"/>
  <c r="A72" i="121"/>
  <c r="A71" i="121"/>
  <c r="A70" i="121"/>
  <c r="A69" i="121"/>
  <c r="A68" i="121"/>
  <c r="A67" i="121"/>
  <c r="A66" i="121"/>
  <c r="A65" i="121"/>
  <c r="A64" i="121"/>
  <c r="A62" i="121"/>
  <c r="A61" i="121"/>
  <c r="A60" i="121"/>
  <c r="A59" i="121"/>
  <c r="A58" i="121"/>
  <c r="A57" i="121"/>
  <c r="A56" i="121"/>
  <c r="A55" i="121"/>
  <c r="A54" i="121"/>
  <c r="A53" i="121"/>
  <c r="A52" i="121"/>
  <c r="A51" i="121"/>
  <c r="A50" i="121"/>
  <c r="A49" i="121"/>
  <c r="A48" i="121"/>
  <c r="A47" i="121"/>
  <c r="A46" i="121"/>
  <c r="A45" i="121"/>
  <c r="A44" i="121"/>
  <c r="A43" i="121"/>
  <c r="A42" i="121"/>
  <c r="A41" i="121"/>
  <c r="A40" i="121"/>
  <c r="A39" i="121"/>
  <c r="A38" i="121"/>
  <c r="A37" i="121"/>
  <c r="A36" i="121"/>
  <c r="A35" i="121"/>
  <c r="A34" i="121"/>
  <c r="A33" i="121"/>
  <c r="A32" i="121"/>
  <c r="A31" i="121"/>
  <c r="A30" i="121"/>
  <c r="A29" i="121"/>
  <c r="A26" i="121"/>
  <c r="A25" i="121"/>
  <c r="A24" i="121"/>
  <c r="A22" i="121"/>
  <c r="A21" i="121"/>
  <c r="A20" i="121"/>
  <c r="A19" i="121"/>
  <c r="A18" i="121"/>
  <c r="A17" i="121"/>
  <c r="A16" i="121"/>
  <c r="A15" i="121"/>
  <c r="A14" i="121"/>
  <c r="A13" i="121"/>
  <c r="A12" i="121"/>
  <c r="A11" i="121"/>
  <c r="A9" i="121"/>
  <c r="A8" i="121"/>
  <c r="A7" i="121"/>
  <c r="A6" i="121"/>
  <c r="A5" i="121"/>
  <c r="A4" i="121"/>
  <c r="A3" i="121"/>
  <c r="A2" i="121"/>
</calcChain>
</file>

<file path=xl/sharedStrings.xml><?xml version="1.0" encoding="utf-8"?>
<sst xmlns="http://schemas.openxmlformats.org/spreadsheetml/2006/main" count="17343" uniqueCount="7134">
  <si>
    <t>newOrUpdate</t>
  </si>
  <si>
    <t>bmUpdateStatus</t>
  </si>
  <si>
    <t>idType</t>
  </si>
  <si>
    <t>idDateType</t>
  </si>
  <si>
    <t>preferredLang</t>
  </si>
  <si>
    <t>dobDateType</t>
  </si>
  <si>
    <t>sexCode</t>
  </si>
  <si>
    <t>maritalStatus</t>
  </si>
  <si>
    <t>residentStatus</t>
  </si>
  <si>
    <t>crIssueDateType</t>
  </si>
  <si>
    <t>addressType</t>
  </si>
  <si>
    <t>singleJointAcc</t>
  </si>
  <si>
    <t>packageAcc</t>
  </si>
  <si>
    <t>signatureNature</t>
  </si>
  <si>
    <t>electronCardRequired</t>
  </si>
  <si>
    <t>electronSuppRequired</t>
  </si>
  <si>
    <t>electronIntlRequired</t>
  </si>
  <si>
    <t>electronIntlSuppRequired</t>
  </si>
  <si>
    <t>deliveryToBranchOrPO</t>
  </si>
  <si>
    <t>foundInAList</t>
  </si>
  <si>
    <t>foundInBList</t>
  </si>
  <si>
    <t>foundInCList</t>
  </si>
  <si>
    <t>existingCustomer</t>
  </si>
  <si>
    <t>nameChanged</t>
  </si>
  <si>
    <t>addressChanged</t>
  </si>
  <si>
    <t>updateCardAddressReqd</t>
  </si>
  <si>
    <t>internetBankAcc</t>
  </si>
  <si>
    <t>custAdviceFlag</t>
  </si>
  <si>
    <t>updatedForSama</t>
  </si>
  <si>
    <t>overrideForCList</t>
  </si>
  <si>
    <t>overrideForNonSaudi</t>
  </si>
  <si>
    <t>overrideForNoSamaAuth</t>
  </si>
  <si>
    <t>overrideForExistingCust</t>
  </si>
  <si>
    <t>minorOrMajor</t>
  </si>
  <si>
    <t>childWithSpecialCase</t>
  </si>
  <si>
    <t>idExpiryActionNotReqd</t>
  </si>
  <si>
    <t>createdFromQuickScreen</t>
  </si>
  <si>
    <t>cardType</t>
  </si>
  <si>
    <t>custOpenSource</t>
  </si>
  <si>
    <t>excludeFromAtmFees</t>
  </si>
  <si>
    <t>excludeFromMinBalFees</t>
  </si>
  <si>
    <t>pkgStmtFreqOverride</t>
  </si>
  <si>
    <t>stmtDeliveryMode</t>
  </si>
  <si>
    <t>segmentation</t>
  </si>
  <si>
    <t>idNo</t>
  </si>
  <si>
    <t>approvalRefNo</t>
  </si>
  <si>
    <t>crNo</t>
  </si>
  <si>
    <t>aFirstName</t>
  </si>
  <si>
    <t>a2ndName</t>
  </si>
  <si>
    <t>a3rdName</t>
  </si>
  <si>
    <t>aLastName</t>
  </si>
  <si>
    <t>eFirstName</t>
  </si>
  <si>
    <t>e2ndName</t>
  </si>
  <si>
    <t>e3rdName</t>
  </si>
  <si>
    <t>eLastName</t>
  </si>
  <si>
    <t>documents</t>
  </si>
  <si>
    <t>passportNo</t>
  </si>
  <si>
    <t>hafizaNo</t>
  </si>
  <si>
    <t>familyRegnNo</t>
  </si>
  <si>
    <t>licenseNo</t>
  </si>
  <si>
    <t>samaAuthNo</t>
  </si>
  <si>
    <t>diplomaticCardNo</t>
  </si>
  <si>
    <t>visaNo</t>
  </si>
  <si>
    <t>contractNo</t>
  </si>
  <si>
    <t>homeCountryId</t>
  </si>
  <si>
    <t>certificateOfBirthNo</t>
  </si>
  <si>
    <t>specialRefNo</t>
  </si>
  <si>
    <t>idIssueDateH</t>
  </si>
  <si>
    <t>idIssueDateG</t>
  </si>
  <si>
    <t>idExpiryDateH</t>
  </si>
  <si>
    <t>idExpiryDateG</t>
  </si>
  <si>
    <t>dobDateH</t>
  </si>
  <si>
    <t>dobDateG</t>
  </si>
  <si>
    <t>crIssueDateH</t>
  </si>
  <si>
    <t>crIssueDateG</t>
  </si>
  <si>
    <t>gprsNo</t>
  </si>
  <si>
    <t>custOpenDate</t>
  </si>
  <si>
    <t>lastUpdateBmDate</t>
  </si>
  <si>
    <t>branchCode</t>
  </si>
  <si>
    <t>custBranchCode</t>
  </si>
  <si>
    <t>telOffAreaCode</t>
  </si>
  <si>
    <t>telOffExt</t>
  </si>
  <si>
    <t>telHomeAreaCode</t>
  </si>
  <si>
    <t>telHomeExt</t>
  </si>
  <si>
    <t>faxAreaCode</t>
  </si>
  <si>
    <t>faxExt</t>
  </si>
  <si>
    <t>altBranchCode</t>
  </si>
  <si>
    <t>dateTime</t>
  </si>
  <si>
    <t>interGroupAccNo</t>
  </si>
  <si>
    <t>userId</t>
  </si>
  <si>
    <t>supervisorId</t>
  </si>
  <si>
    <t>poBox</t>
  </si>
  <si>
    <t>zipCode</t>
  </si>
  <si>
    <t>telOffNo</t>
  </si>
  <si>
    <t>telHomeNo</t>
  </si>
  <si>
    <t>faxNo</t>
  </si>
  <si>
    <t>mobileNo</t>
  </si>
  <si>
    <t>pagerNo</t>
  </si>
  <si>
    <t>ownerShip</t>
  </si>
  <si>
    <t>employerPoBox</t>
  </si>
  <si>
    <t>employerZipCode</t>
  </si>
  <si>
    <t>deliveryPoBox</t>
  </si>
  <si>
    <t>deliveryZip</t>
  </si>
  <si>
    <t>referenceReqdFor</t>
  </si>
  <si>
    <t>succDeedNo</t>
  </si>
  <si>
    <t>lastUpdateUser</t>
  </si>
  <si>
    <t>aOrgName1</t>
  </si>
  <si>
    <t>aOrgName2</t>
  </si>
  <si>
    <t>aOrgShortName</t>
  </si>
  <si>
    <t>eOrgName1</t>
  </si>
  <si>
    <t>eOrgName2</t>
  </si>
  <si>
    <t>eOrgShortName</t>
  </si>
  <si>
    <t>aShortName</t>
  </si>
  <si>
    <t>eShortName</t>
  </si>
  <si>
    <t>address1</t>
  </si>
  <si>
    <t>address2</t>
  </si>
  <si>
    <t>eMail</t>
  </si>
  <si>
    <t>employerName</t>
  </si>
  <si>
    <t>jointAccNameOnReports</t>
  </si>
  <si>
    <t>deliveryAddress1</t>
  </si>
  <si>
    <t>deliveryAddress2</t>
  </si>
  <si>
    <t>idIssuedAt</t>
  </si>
  <si>
    <t>crIssuedAt</t>
  </si>
  <si>
    <t>cityName</t>
  </si>
  <si>
    <t>department</t>
  </si>
  <si>
    <t>employerCity</t>
  </si>
  <si>
    <t>deliveryCity</t>
  </si>
  <si>
    <t>nationality</t>
  </si>
  <si>
    <t>businessType</t>
  </si>
  <si>
    <t>country</t>
  </si>
  <si>
    <t>govtShareHoldingPerc</t>
  </si>
  <si>
    <t>saudiShareHoldingPerc</t>
  </si>
  <si>
    <t>foreignShareHoldingPerc</t>
  </si>
  <si>
    <t>titleCode</t>
  </si>
  <si>
    <t>noOfDependents</t>
  </si>
  <si>
    <t>educationCode</t>
  </si>
  <si>
    <t>professionCode</t>
  </si>
  <si>
    <t>positionCode</t>
  </si>
  <si>
    <t>monthlyIncome</t>
  </si>
  <si>
    <t>noOfJointCustomer</t>
  </si>
  <si>
    <t>samaMainCategory</t>
  </si>
  <si>
    <t>unitNo</t>
  </si>
  <si>
    <t>documentOther</t>
  </si>
  <si>
    <t>purposeOfAccount</t>
  </si>
  <si>
    <t>jointAccNameOnCheck</t>
  </si>
  <si>
    <t>documentsSupplied</t>
  </si>
  <si>
    <t>electronCardName</t>
  </si>
  <si>
    <t>electronSuppName</t>
  </si>
  <si>
    <t>electronIntlName</t>
  </si>
  <si>
    <t>electronIntlSuppName</t>
  </si>
  <si>
    <t>supervisorComments</t>
  </si>
  <si>
    <t>custNo</t>
  </si>
  <si>
    <t>orgAlphaSearchCode</t>
  </si>
  <si>
    <t>relationshipManager</t>
  </si>
  <si>
    <t>generalMemo</t>
  </si>
  <si>
    <t>marketingMemo</t>
  </si>
  <si>
    <t>Column</t>
  </si>
  <si>
    <t>Size</t>
  </si>
  <si>
    <t>string</t>
  </si>
  <si>
    <t>Format</t>
  </si>
  <si>
    <t>Date</t>
  </si>
  <si>
    <t>TimeStamp</t>
  </si>
  <si>
    <t>YYYYMMDDHHH24MISS</t>
  </si>
  <si>
    <t>lastUpdateDateTime</t>
  </si>
  <si>
    <t>grace1ActionDate</t>
  </si>
  <si>
    <t>grace2ActionDate</t>
  </si>
  <si>
    <t>idRefNo</t>
  </si>
  <si>
    <t>idRefName</t>
  </si>
  <si>
    <t>createdUserId</t>
  </si>
  <si>
    <t>createdDateTime</t>
  </si>
  <si>
    <t>idCategory</t>
  </si>
  <si>
    <t>grace1ActionTaken</t>
  </si>
  <si>
    <t>grace2ActionTaken</t>
  </si>
  <si>
    <t>iqamaType</t>
  </si>
  <si>
    <t>addressNo</t>
  </si>
  <si>
    <t>recordChanged</t>
  </si>
  <si>
    <t>addrType</t>
  </si>
  <si>
    <t>YYYYMMDD</t>
  </si>
  <si>
    <t>ownerType</t>
  </si>
  <si>
    <t>ownerEnabled</t>
  </si>
  <si>
    <t>ownerNo</t>
  </si>
  <si>
    <t>parentCompanyName</t>
  </si>
  <si>
    <t>shareHoldingPerc</t>
  </si>
  <si>
    <t>aSecondName</t>
  </si>
  <si>
    <t>aThirdName</t>
  </si>
  <si>
    <t>eSecondName</t>
  </si>
  <si>
    <t>eThirdName</t>
  </si>
  <si>
    <t>cbsOwnerCifNo</t>
  </si>
  <si>
    <t>DETAILS</t>
  </si>
  <si>
    <t>Numeric</t>
  </si>
  <si>
    <t xml:space="preserve">	finalMaturityDate</t>
  </si>
  <si>
    <t xml:space="preserve">	blockedAmt</t>
  </si>
  <si>
    <t>temporaryLimit</t>
  </si>
  <si>
    <t>blockedArrear1</t>
  </si>
  <si>
    <t>blockedArrear2</t>
  </si>
  <si>
    <t>autoRollFlag</t>
  </si>
  <si>
    <t>settlementAccNo</t>
  </si>
  <si>
    <t>availableFunds</t>
  </si>
  <si>
    <t>repaymentPriority</t>
  </si>
  <si>
    <t>loanStatus</t>
  </si>
  <si>
    <t>loanStatusChanged</t>
  </si>
  <si>
    <t>loanStatusChangeDate</t>
  </si>
  <si>
    <t>loanDrawndownDate</t>
  </si>
  <si>
    <t>finalRepaymentDate</t>
  </si>
  <si>
    <t>lastFullyPaidDate</t>
  </si>
  <si>
    <t>doubtYtdInt</t>
  </si>
  <si>
    <t>intLastRun</t>
  </si>
  <si>
    <t>accruedYtd</t>
  </si>
  <si>
    <t>loanRunningFlag</t>
  </si>
  <si>
    <t>overdrawnDate</t>
  </si>
  <si>
    <t>bmPnpProcessFlag</t>
  </si>
  <si>
    <t>uniqueNo</t>
  </si>
  <si>
    <t>uniqueSubNo1</t>
  </si>
  <si>
    <t>uniqueSubNo2</t>
  </si>
  <si>
    <t>prevYearBal</t>
  </si>
  <si>
    <t>atmCardType</t>
  </si>
  <si>
    <t>deleteInhibit</t>
  </si>
  <si>
    <t>CBookEntitled</t>
  </si>
  <si>
    <t>chargebleCBook</t>
  </si>
  <si>
    <t>statementException</t>
  </si>
  <si>
    <t>alKanz</t>
  </si>
  <si>
    <t>reneiwalCode</t>
  </si>
  <si>
    <t>giftCode</t>
  </si>
  <si>
    <t>copacaCustomer</t>
  </si>
  <si>
    <t>atmOverDraft</t>
  </si>
  <si>
    <t>intEarnedInAdvance</t>
  </si>
  <si>
    <t>historyJewelLoan</t>
  </si>
  <si>
    <t>samaAccStatus</t>
  </si>
  <si>
    <t>passwdBeforeFreeze</t>
  </si>
  <si>
    <t>anbDormantFlag</t>
  </si>
  <si>
    <t>passwdBeforeDormantRestriction</t>
  </si>
  <si>
    <t>lastUsedSoNo</t>
  </si>
  <si>
    <t>lgLcBlockStatus</t>
  </si>
  <si>
    <t>iban</t>
  </si>
  <si>
    <t>intToBeAmortized</t>
  </si>
  <si>
    <t>amortizedInt</t>
  </si>
  <si>
    <t>lastFreezedDate</t>
  </si>
  <si>
    <t>freezedReason</t>
  </si>
  <si>
    <t>Details</t>
  </si>
  <si>
    <t>Datatype</t>
  </si>
  <si>
    <t>BankingDate</t>
  </si>
  <si>
    <t>accNo</t>
  </si>
  <si>
    <t>String</t>
  </si>
  <si>
    <t>recType</t>
  </si>
  <si>
    <t>accDesc</t>
  </si>
  <si>
    <t>accOpenDate</t>
  </si>
  <si>
    <t>bookBal</t>
  </si>
  <si>
    <t>clearedBal</t>
  </si>
  <si>
    <t>forwardAmt</t>
  </si>
  <si>
    <t>reportBal</t>
  </si>
  <si>
    <t>lastTransDate</t>
  </si>
  <si>
    <t>transCount</t>
  </si>
  <si>
    <t>crIntRate</t>
  </si>
  <si>
    <t>drIntRate</t>
  </si>
  <si>
    <t>accruedInt</t>
  </si>
  <si>
    <t>lastAccrualDate</t>
  </si>
  <si>
    <t>reportAccruedInt</t>
  </si>
  <si>
    <t>reportIntAccrualDate</t>
  </si>
  <si>
    <t>yearToDateInt</t>
  </si>
  <si>
    <t>payeIntCredit</t>
  </si>
  <si>
    <t>payeIntDebit</t>
  </si>
  <si>
    <t>creditBaseRateCode</t>
  </si>
  <si>
    <t>creditMarginOverBaseRate</t>
  </si>
  <si>
    <t>debitBaseRateCode</t>
  </si>
  <si>
    <t>debitMarginOverBaseRate</t>
  </si>
  <si>
    <t>rateChangeAdviceFlag</t>
  </si>
  <si>
    <t>dateOfLastRateChange</t>
  </si>
  <si>
    <t>intApplication</t>
  </si>
  <si>
    <t>payAccNo</t>
  </si>
  <si>
    <t>intApplicationFreq</t>
  </si>
  <si>
    <t>intApplicationAdvice</t>
  </si>
  <si>
    <t>lastIntApplicationDate</t>
  </si>
  <si>
    <t>lastIntApplicationAmt</t>
  </si>
  <si>
    <t>accLimit</t>
  </si>
  <si>
    <t>matchingLoan</t>
  </si>
  <si>
    <t>maturityDate</t>
  </si>
  <si>
    <t>initialLoanAmt</t>
  </si>
  <si>
    <t>reviewDate</t>
  </si>
  <si>
    <t>statementFrequency</t>
  </si>
  <si>
    <t>statementDay</t>
  </si>
  <si>
    <t>lastStatementDate</t>
  </si>
  <si>
    <t>lastStatementBal</t>
  </si>
  <si>
    <t>lastStatementNum</t>
  </si>
  <si>
    <t>lastStatementTrans</t>
  </si>
  <si>
    <t>signatureCode</t>
  </si>
  <si>
    <t>confirmationAdviceFlag</t>
  </si>
  <si>
    <t>memorandumField1</t>
  </si>
  <si>
    <t>memorandumField2</t>
  </si>
  <si>
    <t>memField3Rest</t>
  </si>
  <si>
    <t>memorandumIndicator1</t>
  </si>
  <si>
    <t>memorandumIndicator2</t>
  </si>
  <si>
    <t>memorandumIndicator3</t>
  </si>
  <si>
    <t>memorandumIndicator4</t>
  </si>
  <si>
    <t>memorandumIndicator5</t>
  </si>
  <si>
    <t>interbankCode</t>
  </si>
  <si>
    <t>nonResidentCode</t>
  </si>
  <si>
    <t>accStatus</t>
  </si>
  <si>
    <t>debitTransCount</t>
  </si>
  <si>
    <t>creditTransCount</t>
  </si>
  <si>
    <t>debitTransCountYTD</t>
  </si>
  <si>
    <t>creditTransCountYTD</t>
  </si>
  <si>
    <t>intPaidAcc</t>
  </si>
  <si>
    <t>intReceivedAcc</t>
  </si>
  <si>
    <t>baseCurrEqui</t>
  </si>
  <si>
    <t>startDate</t>
  </si>
  <si>
    <t>memoGroup</t>
  </si>
  <si>
    <t>noStatementToPrint</t>
  </si>
  <si>
    <t>mailingInstructions</t>
  </si>
  <si>
    <t>minServiceFee</t>
  </si>
  <si>
    <t>maxServiceFee</t>
  </si>
  <si>
    <t>accruedServiceFee</t>
  </si>
  <si>
    <t>highestCreditBal</t>
  </si>
  <si>
    <t>lowestCreditBal</t>
  </si>
  <si>
    <t>valueOfCreditTrans</t>
  </si>
  <si>
    <t>highestDebitBal</t>
  </si>
  <si>
    <t>lowestDebitBal</t>
  </si>
  <si>
    <t>valueOfDebitTrans</t>
  </si>
  <si>
    <t>accumulatedDailyBal</t>
  </si>
  <si>
    <t>LWDBalAccum</t>
  </si>
  <si>
    <t>reconcilationAcc</t>
  </si>
  <si>
    <t>fromChqNo</t>
  </si>
  <si>
    <t>lastSlNo</t>
  </si>
  <si>
    <t>FXPosAccBookBal</t>
  </si>
  <si>
    <t>PLDebitBal</t>
  </si>
  <si>
    <t>PLCreditBal</t>
  </si>
  <si>
    <t>PLDebitAcruedInt</t>
  </si>
  <si>
    <t>PLCreditAccruedInt</t>
  </si>
  <si>
    <t>PLDebitAccruedIntContra</t>
  </si>
  <si>
    <t>PLCreditAccruedIntContra</t>
  </si>
  <si>
    <t>BSDebitBal</t>
  </si>
  <si>
    <t>BSCreditBal</t>
  </si>
  <si>
    <t>BSDebitAcruedInt</t>
  </si>
  <si>
    <t>BSCreditAccruedInt</t>
  </si>
  <si>
    <t>BSDebitAccruedIntContra</t>
  </si>
  <si>
    <t>BSCreditAccruedIntContra</t>
  </si>
  <si>
    <t>commercialLoan</t>
  </si>
  <si>
    <t>dailyClosBal</t>
  </si>
  <si>
    <t>dealMarginRate</t>
  </si>
  <si>
    <t>inactiveAccFlag</t>
  </si>
  <si>
    <t>interbranchFlag</t>
  </si>
  <si>
    <t>moneyMarketIntAccFlag</t>
  </si>
  <si>
    <t>initailIntLoan</t>
  </si>
  <si>
    <t>originalDealNo</t>
  </si>
  <si>
    <t>lastDealNo</t>
  </si>
  <si>
    <t>limitCheckFlag</t>
  </si>
  <si>
    <t>lowestBal</t>
  </si>
  <si>
    <t>accLimitReviewDate</t>
  </si>
  <si>
    <t>intApplicationDay</t>
  </si>
  <si>
    <t>lastAmendmentDate</t>
  </si>
  <si>
    <t>accDailyOpenBal</t>
  </si>
  <si>
    <t>Index</t>
  </si>
  <si>
    <t>DATE</t>
  </si>
  <si>
    <t>businessTypeTitle</t>
  </si>
  <si>
    <t>nationalityTitle</t>
  </si>
  <si>
    <t>newCustomer</t>
  </si>
  <si>
    <t>pinMailer</t>
  </si>
  <si>
    <t>maoPacCustomer</t>
  </si>
  <si>
    <t>completeAddress</t>
  </si>
  <si>
    <t>atmChargeFlag</t>
  </si>
  <si>
    <t>homeTelAreaCode</t>
  </si>
  <si>
    <t>homeTelNo</t>
  </si>
  <si>
    <t>homeTelExt</t>
  </si>
  <si>
    <t>offTelAreaCode</t>
  </si>
  <si>
    <t>offTelNo</t>
  </si>
  <si>
    <t>offTelExt</t>
  </si>
  <si>
    <t>accountManager</t>
  </si>
  <si>
    <t>vipFlag</t>
  </si>
  <si>
    <t>riskClassification</t>
  </si>
  <si>
    <t>riskClass</t>
  </si>
  <si>
    <t>restrictedDateForSAMA</t>
  </si>
  <si>
    <t>bpPackageFlag</t>
  </si>
  <si>
    <t>NINLevelPackageAcc</t>
  </si>
  <si>
    <t>NINLevelPackageAccCustNo</t>
  </si>
  <si>
    <t>NINLevelPayrollType</t>
  </si>
  <si>
    <t>NINLevelPayrollCustNo</t>
  </si>
  <si>
    <t>NINLevelPayrollOrgId</t>
  </si>
  <si>
    <t>NINLevelBusinessType</t>
  </si>
  <si>
    <t>NINLevelBusinessTypeCustNo</t>
  </si>
  <si>
    <t>tdAdviseNotRequired</t>
  </si>
  <si>
    <t>chipCardIssued</t>
  </si>
  <si>
    <t>shortName</t>
  </si>
  <si>
    <t>address3</t>
  </si>
  <si>
    <t>address4</t>
  </si>
  <si>
    <t>address5</t>
  </si>
  <si>
    <t>nonResident</t>
  </si>
  <si>
    <t>primaryAccNum</t>
  </si>
  <si>
    <t>interBank</t>
  </si>
  <si>
    <t>dateOfBirth</t>
  </si>
  <si>
    <t>staffMember</t>
  </si>
  <si>
    <t>language</t>
  </si>
  <si>
    <t>sex</t>
  </si>
  <si>
    <t>gappedAnalysisInd</t>
  </si>
  <si>
    <t>tlxNo</t>
  </si>
  <si>
    <t>swiftNo</t>
  </si>
  <si>
    <t>custName</t>
  </si>
  <si>
    <t>defaultIntpaid</t>
  </si>
  <si>
    <t>defaultIntreceived</t>
  </si>
  <si>
    <t>forExForwardmonitor</t>
  </si>
  <si>
    <t>custAnalysisFlag</t>
  </si>
  <si>
    <t>custTypeFlag</t>
  </si>
  <si>
    <t>swiftMemberFlag</t>
  </si>
  <si>
    <t>languageIndependence</t>
  </si>
  <si>
    <t>alternateCustNo</t>
  </si>
  <si>
    <t>BMbusinessType</t>
  </si>
  <si>
    <t>financialInst</t>
  </si>
  <si>
    <t>countryOfResidence</t>
  </si>
  <si>
    <t>limitCheckingFlag</t>
  </si>
  <si>
    <t>groupLeaderFlag</t>
  </si>
  <si>
    <t>groupLeaderNumber</t>
  </si>
  <si>
    <t>limitReviewDate</t>
  </si>
  <si>
    <t>limitExpiryDate</t>
  </si>
  <si>
    <t>overallDebitLimit</t>
  </si>
  <si>
    <t>signOfOverallDebitLimit</t>
  </si>
  <si>
    <t>overalldebitExposure</t>
  </si>
  <si>
    <t>signOfOverallDebitExposure</t>
  </si>
  <si>
    <t>overallCreditLimit</t>
  </si>
  <si>
    <t>signOfOverallCreditLimit</t>
  </si>
  <si>
    <t>overallCreditExposure</t>
  </si>
  <si>
    <t>signOfOverallCreditExposure</t>
  </si>
  <si>
    <t>limitCurrCode</t>
  </si>
  <si>
    <t>branchBr</t>
  </si>
  <si>
    <t>alternativeBranchCode</t>
  </si>
  <si>
    <t>contraAccNo</t>
  </si>
  <si>
    <t>finnoneUserId</t>
  </si>
  <si>
    <t>postDate</t>
  </si>
  <si>
    <t>valueDate</t>
  </si>
  <si>
    <t>transType</t>
  </si>
  <si>
    <t>statmentFlag</t>
  </si>
  <si>
    <t>transAmt</t>
  </si>
  <si>
    <t>transRef</t>
  </si>
  <si>
    <t>narrative1</t>
  </si>
  <si>
    <t>forExInd</t>
  </si>
  <si>
    <t>serviceFee</t>
  </si>
  <si>
    <t>AIXFlag</t>
  </si>
  <si>
    <t>transInd</t>
  </si>
  <si>
    <t>adjustmentAmt</t>
  </si>
  <si>
    <t>interfaceFlag</t>
  </si>
  <si>
    <t>oppositeCurrCode</t>
  </si>
  <si>
    <t>narrative2</t>
  </si>
  <si>
    <t>narrative3</t>
  </si>
  <si>
    <t>fxIndicator</t>
  </si>
  <si>
    <t>transServiceFee</t>
  </si>
  <si>
    <t>transactionInd</t>
  </si>
  <si>
    <t>transAmtCD</t>
  </si>
  <si>
    <t>newCrIntRate</t>
  </si>
  <si>
    <t>newDrIntRate</t>
  </si>
  <si>
    <t>activeRateFlag</t>
  </si>
  <si>
    <t>newBaseCode</t>
  </si>
  <si>
    <t>marginOverBase</t>
  </si>
  <si>
    <t>drCrBase</t>
  </si>
  <si>
    <t>sodNo</t>
  </si>
  <si>
    <t>paymentType</t>
  </si>
  <si>
    <t>paymentMode</t>
  </si>
  <si>
    <t>firstPaymentDate</t>
  </si>
  <si>
    <t>finalPaymentDate</t>
  </si>
  <si>
    <t>paymentsToBeMade</t>
  </si>
  <si>
    <t>paymentsMade</t>
  </si>
  <si>
    <t>paymentAmt</t>
  </si>
  <si>
    <t>totalToPay</t>
  </si>
  <si>
    <t>totalPaidToDate</t>
  </si>
  <si>
    <t>paymentFrequency</t>
  </si>
  <si>
    <t>nextPaymentDate</t>
  </si>
  <si>
    <t>limitInExcessFlag</t>
  </si>
  <si>
    <t>payeName1</t>
  </si>
  <si>
    <t>payeName2</t>
  </si>
  <si>
    <t>payeAddress1</t>
  </si>
  <si>
    <t>payeAddress2</t>
  </si>
  <si>
    <t>payeAddress3</t>
  </si>
  <si>
    <t>payeAddress4</t>
  </si>
  <si>
    <t>payeAddress5</t>
  </si>
  <si>
    <t>payeBank</t>
  </si>
  <si>
    <t>payeBankCode</t>
  </si>
  <si>
    <t>chequeChargesFlag</t>
  </si>
  <si>
    <t>commissionFlag</t>
  </si>
  <si>
    <t>orderType</t>
  </si>
  <si>
    <t>processNextDayFlag</t>
  </si>
  <si>
    <t>listOnlyFlag</t>
  </si>
  <si>
    <t>transferLimit</t>
  </si>
  <si>
    <t>thresholdAmt</t>
  </si>
  <si>
    <t>drNarrative1</t>
  </si>
  <si>
    <t>drNarrative2</t>
  </si>
  <si>
    <t>crNarrative1</t>
  </si>
  <si>
    <t>crNarrative2</t>
  </si>
  <si>
    <t>transactionDateFlag</t>
  </si>
  <si>
    <t>lastProcessedDate</t>
  </si>
  <si>
    <t>generateAdviseFlag</t>
  </si>
  <si>
    <t>newPaymentAmt</t>
  </si>
  <si>
    <t>unpaidCommision</t>
  </si>
  <si>
    <t>remarks</t>
  </si>
  <si>
    <t>transCode</t>
  </si>
  <si>
    <t>transDesc</t>
  </si>
  <si>
    <t>dataEntry</t>
  </si>
  <si>
    <t>debitCreditFlag</t>
  </si>
  <si>
    <t>selfBalancingCode</t>
  </si>
  <si>
    <t>narrativeCode</t>
  </si>
  <si>
    <t>contraNarrativeCode</t>
  </si>
  <si>
    <t>fixedNarrative</t>
  </si>
  <si>
    <t>oppositTransType</t>
  </si>
  <si>
    <t>interBankFlag</t>
  </si>
  <si>
    <t>transClass</t>
  </si>
  <si>
    <t>intRateMaturityDate</t>
  </si>
  <si>
    <t>stoppedPaymentFlag</t>
  </si>
  <si>
    <t>singleContraFlag</t>
  </si>
  <si>
    <t>autoDateFlag</t>
  </si>
  <si>
    <t>closingIntAppl</t>
  </si>
  <si>
    <t>serviceFeeFlag</t>
  </si>
  <si>
    <t>advFormat</t>
  </si>
  <si>
    <t>autoContraAccNo</t>
  </si>
  <si>
    <t>newAccFlag</t>
  </si>
  <si>
    <t>contraConfirmation</t>
  </si>
  <si>
    <t>automaticRefNo</t>
  </si>
  <si>
    <t>AccLimitCheck</t>
  </si>
  <si>
    <t>intAmtCrossCheck</t>
  </si>
  <si>
    <t>moneyMarketDeal</t>
  </si>
  <si>
    <t>TelexExtractTransType</t>
  </si>
  <si>
    <t>reversalTransFlag</t>
  </si>
  <si>
    <t>limitTransFlag</t>
  </si>
  <si>
    <t>activeMainFlag</t>
  </si>
  <si>
    <t>cancellationFlag</t>
  </si>
  <si>
    <t>statementFlag</t>
  </si>
  <si>
    <t>multiCurrencyFlag</t>
  </si>
  <si>
    <t>partialNarrativeLength</t>
  </si>
  <si>
    <t>memoNote</t>
  </si>
  <si>
    <t>syndLoanAuto</t>
  </si>
  <si>
    <t>syndLoanMemoBal</t>
  </si>
  <si>
    <t>finalMaturityFlag</t>
  </si>
  <si>
    <t>activeContraFlag</t>
  </si>
  <si>
    <t>blockingFlag</t>
  </si>
  <si>
    <t>clearingPeriod</t>
  </si>
  <si>
    <t>endOfDay</t>
  </si>
  <si>
    <t>billsCds</t>
  </si>
  <si>
    <t>outstandingTransFlag</t>
  </si>
  <si>
    <t>booksNotReconciled</t>
  </si>
  <si>
    <t>printInPassbook</t>
  </si>
  <si>
    <t>swiftMessageType</t>
  </si>
  <si>
    <t>corrToTessaFlag</t>
  </si>
  <si>
    <t>transLimit</t>
  </si>
  <si>
    <t>sortCodeRequired</t>
  </si>
  <si>
    <t>vatTransaction</t>
  </si>
  <si>
    <t>amountRounding</t>
  </si>
  <si>
    <t>accType</t>
  </si>
  <si>
    <t>description</t>
  </si>
  <si>
    <t>crCategory</t>
  </si>
  <si>
    <t>intCalc</t>
  </si>
  <si>
    <t>supressLimitCheck</t>
  </si>
  <si>
    <t>limit_1</t>
  </si>
  <si>
    <t>limit_2</t>
  </si>
  <si>
    <t>limit_3</t>
  </si>
  <si>
    <t>limit_4</t>
  </si>
  <si>
    <t>limit_5</t>
  </si>
  <si>
    <t>currCode</t>
  </si>
  <si>
    <t>baseCode</t>
  </si>
  <si>
    <t>baseRate</t>
  </si>
  <si>
    <t>changeFlag</t>
  </si>
  <si>
    <t>tiredFlag</t>
  </si>
  <si>
    <t>calcType</t>
  </si>
  <si>
    <t>rate1</t>
  </si>
  <si>
    <t>limit1</t>
  </si>
  <si>
    <t>rate2</t>
  </si>
  <si>
    <t>limit2</t>
  </si>
  <si>
    <t>rate3</t>
  </si>
  <si>
    <t>limit3</t>
  </si>
  <si>
    <t>rate4</t>
  </si>
  <si>
    <t>limit4</t>
  </si>
  <si>
    <t>shortCode</t>
  </si>
  <si>
    <t>curName</t>
  </si>
  <si>
    <t>noOfDays</t>
  </si>
  <si>
    <t>MDFlag</t>
  </si>
  <si>
    <t>exchangeRateExt</t>
  </si>
  <si>
    <t>exchangeRate</t>
  </si>
  <si>
    <t>chequeAc</t>
  </si>
  <si>
    <t>BOEFlag</t>
  </si>
  <si>
    <t>telexLook</t>
  </si>
  <si>
    <t>decimalPlace</t>
  </si>
  <si>
    <t>suspenseAc</t>
  </si>
  <si>
    <t>lDAdj</t>
  </si>
  <si>
    <t>fxPosAdj</t>
  </si>
  <si>
    <t>fxBEAdj</t>
  </si>
  <si>
    <t>constant</t>
  </si>
  <si>
    <t>rndDrAmt</t>
  </si>
  <si>
    <t>rndCrAmt</t>
  </si>
  <si>
    <t>drBaseDays</t>
  </si>
  <si>
    <t>crBaseDays</t>
  </si>
  <si>
    <t>fxTolerance</t>
  </si>
  <si>
    <t>suspenseAccNo</t>
  </si>
  <si>
    <t>arabicNarrative</t>
  </si>
  <si>
    <t>englishNarrative</t>
  </si>
  <si>
    <t>cnd0dataNR</t>
  </si>
  <si>
    <t>serialNo</t>
  </si>
  <si>
    <t>depositAmt</t>
  </si>
  <si>
    <t>defMargin</t>
  </si>
  <si>
    <t>minMargin</t>
  </si>
  <si>
    <t>maxMargin</t>
  </si>
  <si>
    <t>loanAcType1</t>
  </si>
  <si>
    <t>loanAcType2</t>
  </si>
  <si>
    <t>loanAcType3</t>
  </si>
  <si>
    <t>loanAcType4</t>
  </si>
  <si>
    <t>loanAcType5</t>
  </si>
  <si>
    <t>arrears1</t>
  </si>
  <si>
    <t>arrears2</t>
  </si>
  <si>
    <t>arrears3</t>
  </si>
  <si>
    <t>arrears4</t>
  </si>
  <si>
    <t>arrears5</t>
  </si>
  <si>
    <t>currency</t>
  </si>
  <si>
    <t>loanAcType6</t>
  </si>
  <si>
    <t>loanAcType7</t>
  </si>
  <si>
    <t>loanAcType8</t>
  </si>
  <si>
    <t>loanAcType9</t>
  </si>
  <si>
    <t>loanAcType10</t>
  </si>
  <si>
    <t>arrears6</t>
  </si>
  <si>
    <t>arrears7</t>
  </si>
  <si>
    <t>arrears8</t>
  </si>
  <si>
    <t>arrears9</t>
  </si>
  <si>
    <t>arrears10</t>
  </si>
  <si>
    <t xml:space="preserve"> recType</t>
  </si>
  <si>
    <t>mainBrCode</t>
  </si>
  <si>
    <t>accruedException</t>
  </si>
  <si>
    <t>pseudoBranch</t>
  </si>
  <si>
    <t>regionCode</t>
  </si>
  <si>
    <t>branchCategory</t>
  </si>
  <si>
    <t>islamiBranch</t>
  </si>
  <si>
    <t>areaCode</t>
  </si>
  <si>
    <t>finoneBranch</t>
  </si>
  <si>
    <t>ledgerCode</t>
  </si>
  <si>
    <t>loanAnalysisFlag</t>
  </si>
  <si>
    <t>feeIncomeFlag</t>
  </si>
  <si>
    <t>memoDesc</t>
  </si>
  <si>
    <t>intReceived1</t>
  </si>
  <si>
    <t>doubtFlag</t>
  </si>
  <si>
    <t>arrearMemo</t>
  </si>
  <si>
    <t>islamicLoan</t>
  </si>
  <si>
    <t>zeroDebitInt</t>
  </si>
  <si>
    <t>intPaid</t>
  </si>
  <si>
    <t>catagory</t>
  </si>
  <si>
    <t>analysisFlag</t>
  </si>
  <si>
    <t>doubtMemo</t>
  </si>
  <si>
    <t>intIncome1</t>
  </si>
  <si>
    <t>intAdv</t>
  </si>
  <si>
    <t>intReceived2</t>
  </si>
  <si>
    <t>intPaid2</t>
  </si>
  <si>
    <t>intExpense1</t>
  </si>
  <si>
    <t>intIncome2</t>
  </si>
  <si>
    <t>intExpense2</t>
  </si>
  <si>
    <t>defaultAcc</t>
  </si>
  <si>
    <t>rateAdvise</t>
  </si>
  <si>
    <t>intFrequency</t>
  </si>
  <si>
    <t>intAppMonth</t>
  </si>
  <si>
    <t>intAppDay</t>
  </si>
  <si>
    <t>intAppType</t>
  </si>
  <si>
    <t>doubtFlag2</t>
  </si>
  <si>
    <t>statementMonth</t>
  </si>
  <si>
    <t>limitFlag</t>
  </si>
  <si>
    <t>crBase</t>
  </si>
  <si>
    <t>drBase</t>
  </si>
  <si>
    <t>confAdvise</t>
  </si>
  <si>
    <t>plDrCode</t>
  </si>
  <si>
    <t>plCrCode</t>
  </si>
  <si>
    <t>bsDrCode</t>
  </si>
  <si>
    <t>bsCrCode</t>
  </si>
  <si>
    <t>reconFlag</t>
  </si>
  <si>
    <t>balanceFlag</t>
  </si>
  <si>
    <t>interFlag</t>
  </si>
  <si>
    <t>matureFlag</t>
  </si>
  <si>
    <t>memTFlag</t>
  </si>
  <si>
    <t>memSubFlag</t>
  </si>
  <si>
    <t>fundFlag</t>
  </si>
  <si>
    <t>gwNo</t>
  </si>
  <si>
    <t>payrollFlag</t>
  </si>
  <si>
    <t>blockingDays</t>
  </si>
  <si>
    <t>pensionGwFlag</t>
  </si>
  <si>
    <t>minimumBal</t>
  </si>
  <si>
    <t>crIntRateFlag</t>
  </si>
  <si>
    <t>crIntMemo</t>
  </si>
  <si>
    <t>loanFlag</t>
  </si>
  <si>
    <t>anb610RowNum</t>
  </si>
  <si>
    <t>anb610ColNum</t>
  </si>
  <si>
    <t>anb610ColHeading</t>
  </si>
  <si>
    <t>timeDepositFlag</t>
  </si>
  <si>
    <t>bmLoanFlag</t>
  </si>
  <si>
    <t>migrationLoanMemo</t>
  </si>
  <si>
    <t>anb120PFlag</t>
  </si>
  <si>
    <t>lgLcMemos</t>
  </si>
  <si>
    <t>accDeleteFromOpen</t>
  </si>
  <si>
    <t>currDesc</t>
  </si>
  <si>
    <t>exRate</t>
  </si>
  <si>
    <t>brShortCode</t>
  </si>
  <si>
    <t>date</t>
  </si>
  <si>
    <t>workingDay</t>
  </si>
  <si>
    <t>dayOfWeek</t>
  </si>
  <si>
    <t>weekOfYear</t>
  </si>
  <si>
    <t>dayOfYear</t>
  </si>
  <si>
    <t>chequeNo</t>
  </si>
  <si>
    <t>amount</t>
  </si>
  <si>
    <t>dateStop</t>
  </si>
  <si>
    <t>payeeName</t>
  </si>
  <si>
    <t>chequeFrom</t>
  </si>
  <si>
    <t>destroyFlag</t>
  </si>
  <si>
    <t>finLoanNo</t>
  </si>
  <si>
    <t>repaymentDate</t>
  </si>
  <si>
    <t>statusDate</t>
  </si>
  <si>
    <t>loanStartDate</t>
  </si>
  <si>
    <t>processDate</t>
  </si>
  <si>
    <t>repaymentAmt</t>
  </si>
  <si>
    <t>fundingRate</t>
  </si>
  <si>
    <t>fundingIntAmt</t>
  </si>
  <si>
    <t>reconStatus</t>
  </si>
  <si>
    <t>blockedAmt</t>
  </si>
  <si>
    <t>emi</t>
  </si>
  <si>
    <t xml:space="preserve">uniqNo		</t>
  </si>
  <si>
    <t xml:space="preserve">accNo		</t>
  </si>
  <si>
    <t xml:space="preserve">cardNo		</t>
  </si>
  <si>
    <t xml:space="preserve">bmRef		</t>
  </si>
  <si>
    <t xml:space="preserve">transAmt	</t>
  </si>
  <si>
    <t xml:space="preserve">valueDate	</t>
  </si>
  <si>
    <t xml:space="preserve">postDate	</t>
  </si>
  <si>
    <t xml:space="preserve">revFlag	</t>
  </si>
  <si>
    <t xml:space="preserve">errCode	</t>
  </si>
  <si>
    <t>seqNo</t>
  </si>
  <si>
    <t>returnedDate</t>
  </si>
  <si>
    <t>registeredUser</t>
  </si>
  <si>
    <t>registeredBranch</t>
  </si>
  <si>
    <t>productId</t>
  </si>
  <si>
    <t>dateGenerated</t>
  </si>
  <si>
    <t>letterType</t>
  </si>
  <si>
    <t>bankingDate</t>
  </si>
  <si>
    <t>serviceBranchCode</t>
  </si>
  <si>
    <t>serviceNo</t>
  </si>
  <si>
    <t>branchOrDelivery</t>
  </si>
  <si>
    <t>normalFeeAmt</t>
  </si>
  <si>
    <t>chargebleAmt</t>
  </si>
  <si>
    <t>chargedAmt</t>
  </si>
  <si>
    <t>chargedCategory</t>
  </si>
  <si>
    <t>chargedType</t>
  </si>
  <si>
    <t>orgRefNo</t>
  </si>
  <si>
    <t>thisRunDate</t>
  </si>
  <si>
    <t>arrearAccNo</t>
  </si>
  <si>
    <t>repaymentAmtPaid</t>
  </si>
  <si>
    <t>principalAmt</t>
  </si>
  <si>
    <t>principalAmtPaid</t>
  </si>
  <si>
    <t>accruedIntPaid</t>
  </si>
  <si>
    <t>penaltyAccruedInt</t>
  </si>
  <si>
    <t>penaltyAccruedIntPaid</t>
  </si>
  <si>
    <t>penaltyIntRate</t>
  </si>
  <si>
    <t>penaltyIntAccrualDate</t>
  </si>
  <si>
    <t>repaymentStatus</t>
  </si>
  <si>
    <t>repaymentStatusDate</t>
  </si>
  <si>
    <t>repaymentSettlementDate</t>
  </si>
  <si>
    <t>migrationFlag</t>
  </si>
  <si>
    <t>englishName</t>
  </si>
  <si>
    <t>arabicName</t>
  </si>
  <si>
    <t>memoCode</t>
  </si>
  <si>
    <t>arabicDescription</t>
  </si>
  <si>
    <t>englishDescription</t>
  </si>
  <si>
    <t>crBalCode</t>
  </si>
  <si>
    <t>drBalCode</t>
  </si>
  <si>
    <t>productType</t>
  </si>
  <si>
    <t>variableRateFlag</t>
  </si>
  <si>
    <t>processFlag</t>
  </si>
  <si>
    <t>consumerLoanFlag</t>
  </si>
  <si>
    <t>bsCode</t>
  </si>
  <si>
    <t>indicator</t>
  </si>
  <si>
    <t>sarBal</t>
  </si>
  <si>
    <t>fxBal</t>
  </si>
  <si>
    <t>currDate</t>
  </si>
  <si>
    <t>eomSarBal</t>
  </si>
  <si>
    <t>eomFxBal</t>
  </si>
  <si>
    <t>eomDate</t>
  </si>
  <si>
    <t>prevEomSarBal</t>
  </si>
  <si>
    <t>prevEomFxBal</t>
  </si>
  <si>
    <t>prevEomDate</t>
  </si>
  <si>
    <t>acctNum</t>
  </si>
  <si>
    <t>refCode</t>
  </si>
  <si>
    <t>reference</t>
  </si>
  <si>
    <t>principleLoanAmt</t>
  </si>
  <si>
    <t>processedFlag</t>
  </si>
  <si>
    <t>isoNumericCountryCode</t>
  </si>
  <si>
    <t>isoCurrCode</t>
  </si>
  <si>
    <t>countryName</t>
  </si>
  <si>
    <t>currName</t>
  </si>
  <si>
    <t>bmCurrCode</t>
  </si>
  <si>
    <t>alphaIsoCurrCode</t>
  </si>
  <si>
    <t>twoCharCountryCode</t>
  </si>
  <si>
    <t>isoAlphaCountryCode</t>
  </si>
  <si>
    <t>noOfDecimal</t>
  </si>
  <si>
    <t>countryDescription</t>
  </si>
  <si>
    <t>multipleCurrUsed</t>
  </si>
  <si>
    <t>bankSortCode</t>
  </si>
  <si>
    <t>bankName</t>
  </si>
  <si>
    <t>clearContraAcctNum</t>
  </si>
  <si>
    <t>isoCountryCode</t>
  </si>
  <si>
    <t>isoImdCode</t>
  </si>
  <si>
    <t>commissionAcctNum</t>
  </si>
  <si>
    <t>intIncomeAccNo1</t>
  </si>
  <si>
    <t>intIncomeAccNo2</t>
  </si>
  <si>
    <t>intIncomeAccNo3</t>
  </si>
  <si>
    <t>intIncomeAccNo4</t>
  </si>
  <si>
    <t>intIncomeAccNo5</t>
  </si>
  <si>
    <t>intIncomeAccNo6</t>
  </si>
  <si>
    <t>intExpenseAccNo1</t>
  </si>
  <si>
    <t>intExpenseAccNo2</t>
  </si>
  <si>
    <t>intExpenseAccNo3</t>
  </si>
  <si>
    <t>intExpenseAccNo4</t>
  </si>
  <si>
    <t>intExpenseAccNo5</t>
  </si>
  <si>
    <t>intExpenseAccNo6</t>
  </si>
  <si>
    <t>intReceivedAmt1</t>
  </si>
  <si>
    <t>intReceivedAmt2</t>
  </si>
  <si>
    <t>intReceivedAmt3</t>
  </si>
  <si>
    <t>intReceivedAmt4</t>
  </si>
  <si>
    <t>intReceivedAmt5</t>
  </si>
  <si>
    <t>intReceivedAmt6</t>
  </si>
  <si>
    <t>intPaidAmt1</t>
  </si>
  <si>
    <t>intPaidAmt2</t>
  </si>
  <si>
    <t>intPaidAmt3</t>
  </si>
  <si>
    <t>intPaidAmt4</t>
  </si>
  <si>
    <t>intPaidAmt5</t>
  </si>
  <si>
    <t>intPaidAmt6</t>
  </si>
  <si>
    <t xml:space="preserve">bmDate	</t>
  </si>
  <si>
    <t xml:space="preserve">status	</t>
  </si>
  <si>
    <t>vipCode</t>
  </si>
  <si>
    <t>accFreezingGracePeriod</t>
  </si>
  <si>
    <t>samaSubCategory</t>
  </si>
  <si>
    <t>Limit_9</t>
  </si>
  <si>
    <t>Exposure_9</t>
  </si>
  <si>
    <t>Limit_10</t>
  </si>
  <si>
    <t>Exposure_10</t>
  </si>
  <si>
    <t>Limit_11</t>
  </si>
  <si>
    <t>Exposure_11</t>
  </si>
  <si>
    <t>Limit_12</t>
  </si>
  <si>
    <t>Exposure_12</t>
  </si>
  <si>
    <t>Limit_13</t>
  </si>
  <si>
    <t>Exposure_13</t>
  </si>
  <si>
    <t>Limit_14</t>
  </si>
  <si>
    <t>Exposure_14</t>
  </si>
  <si>
    <t>Limit_15</t>
  </si>
  <si>
    <t>Exposure_15</t>
  </si>
  <si>
    <t>Limit_16</t>
  </si>
  <si>
    <t>Exposure_16</t>
  </si>
  <si>
    <t>Limit_17</t>
  </si>
  <si>
    <t>Exposure_17</t>
  </si>
  <si>
    <t>Limit_18</t>
  </si>
  <si>
    <t>Exposure_18</t>
  </si>
  <si>
    <t>Limit_19</t>
  </si>
  <si>
    <t>Exposure_19</t>
  </si>
  <si>
    <t>Limit_20</t>
  </si>
  <si>
    <t>Exposure_20</t>
  </si>
  <si>
    <t>Limit_21</t>
  </si>
  <si>
    <t>Exposure_21</t>
  </si>
  <si>
    <t>Limit_22</t>
  </si>
  <si>
    <t>Exposure_22</t>
  </si>
  <si>
    <t>Limit_23</t>
  </si>
  <si>
    <t>Exposure_23</t>
  </si>
  <si>
    <t>Limit_24</t>
  </si>
  <si>
    <t>Exposure_24</t>
  </si>
  <si>
    <t>Limit_25</t>
  </si>
  <si>
    <t>Exposure_25</t>
  </si>
  <si>
    <t>Limit_26</t>
  </si>
  <si>
    <t>Exposure_26</t>
  </si>
  <si>
    <t>Limit_27</t>
  </si>
  <si>
    <t>Exposure_27</t>
  </si>
  <si>
    <t>Limit_28</t>
  </si>
  <si>
    <t>Exposure_28</t>
  </si>
  <si>
    <t>Limit_29</t>
  </si>
  <si>
    <t>Exposure_29</t>
  </si>
  <si>
    <t>Limit_30</t>
  </si>
  <si>
    <t>Exposure_30</t>
  </si>
  <si>
    <t>Limit_31</t>
  </si>
  <si>
    <t>Exposure_31</t>
  </si>
  <si>
    <t>Limit_32</t>
  </si>
  <si>
    <t>Exposure_32</t>
  </si>
  <si>
    <t>Limit_33</t>
  </si>
  <si>
    <t>Exposure_33</t>
  </si>
  <si>
    <t>Limit_34</t>
  </si>
  <si>
    <t>Exposure_34</t>
  </si>
  <si>
    <t>Limit_35</t>
  </si>
  <si>
    <t>Exposure_35</t>
  </si>
  <si>
    <t>Limit_36</t>
  </si>
  <si>
    <t>Exposure_36</t>
  </si>
  <si>
    <t>Limit_37</t>
  </si>
  <si>
    <t>Exposure_37</t>
  </si>
  <si>
    <t>Limit_38</t>
  </si>
  <si>
    <t>Exposure_38</t>
  </si>
  <si>
    <t>Limit_39</t>
  </si>
  <si>
    <t>Exposure_39</t>
  </si>
  <si>
    <t>Limit_40</t>
  </si>
  <si>
    <t>Exposure_40</t>
  </si>
  <si>
    <t>Limit_41</t>
  </si>
  <si>
    <t>Exposure_41</t>
  </si>
  <si>
    <t>Limit_42</t>
  </si>
  <si>
    <t>Exposure_42</t>
  </si>
  <si>
    <t>Limit_43</t>
  </si>
  <si>
    <t>Exposure_43</t>
  </si>
  <si>
    <t>Limit_44</t>
  </si>
  <si>
    <t>Exposure_44</t>
  </si>
  <si>
    <t>Limit_45</t>
  </si>
  <si>
    <t>Exposure_45</t>
  </si>
  <si>
    <t>Limit_46</t>
  </si>
  <si>
    <t>Exposure_46</t>
  </si>
  <si>
    <t>Limit_47</t>
  </si>
  <si>
    <t>Exposure_47</t>
  </si>
  <si>
    <t>Limit_48</t>
  </si>
  <si>
    <t>Exposure_48</t>
  </si>
  <si>
    <t>Limit_49</t>
  </si>
  <si>
    <t>Exposure_49</t>
  </si>
  <si>
    <t>Limit_50</t>
  </si>
  <si>
    <t>Exposure_50</t>
  </si>
  <si>
    <t>Limit_51</t>
  </si>
  <si>
    <t>Exposure_51</t>
  </si>
  <si>
    <t>Limit_52</t>
  </si>
  <si>
    <t>Exposure_52</t>
  </si>
  <si>
    <t>Limit_53</t>
  </si>
  <si>
    <t>Exposure_53</t>
  </si>
  <si>
    <t>Limit_54</t>
  </si>
  <si>
    <t>Exposure_54</t>
  </si>
  <si>
    <t>Limit_55</t>
  </si>
  <si>
    <t>Exposure_55</t>
  </si>
  <si>
    <t>Limit_56</t>
  </si>
  <si>
    <t>Exposure_56</t>
  </si>
  <si>
    <t>Limit_57</t>
  </si>
  <si>
    <t>Exposure_57</t>
  </si>
  <si>
    <t>Limit_58</t>
  </si>
  <si>
    <t>Exposure_58</t>
  </si>
  <si>
    <t>Limit_59</t>
  </si>
  <si>
    <t>Exposure_59</t>
  </si>
  <si>
    <t>Limit_60</t>
  </si>
  <si>
    <t>Exposure_60</t>
  </si>
  <si>
    <t>Limit_61</t>
  </si>
  <si>
    <t>Exposure_61</t>
  </si>
  <si>
    <t>Limit_62</t>
  </si>
  <si>
    <t>Exposure_62</t>
  </si>
  <si>
    <t>Limit_63</t>
  </si>
  <si>
    <t>Exposure_63</t>
  </si>
  <si>
    <t>Limit_64</t>
  </si>
  <si>
    <t>Exposure_64</t>
  </si>
  <si>
    <t>Limit_65</t>
  </si>
  <si>
    <t>Exposure_65</t>
  </si>
  <si>
    <t>Limit_66</t>
  </si>
  <si>
    <t>Exposure_66</t>
  </si>
  <si>
    <t>Limit_67</t>
  </si>
  <si>
    <t>Exposure_67</t>
  </si>
  <si>
    <t>Limit_68</t>
  </si>
  <si>
    <t>Exposure_68</t>
  </si>
  <si>
    <t>Limit_69</t>
  </si>
  <si>
    <t>Exposure_69</t>
  </si>
  <si>
    <t>Limit_70</t>
  </si>
  <si>
    <t>Exposure_70</t>
  </si>
  <si>
    <t>Limit_71</t>
  </si>
  <si>
    <t>Exposure_71</t>
  </si>
  <si>
    <t>Limit_72</t>
  </si>
  <si>
    <t>Exposure_72</t>
  </si>
  <si>
    <t>Limit_73</t>
  </si>
  <si>
    <t>Exposure_73</t>
  </si>
  <si>
    <t>Limit_74</t>
  </si>
  <si>
    <t>Exposure_74</t>
  </si>
  <si>
    <t>Limit_75</t>
  </si>
  <si>
    <t>Exposure_75</t>
  </si>
  <si>
    <t>Limit_76</t>
  </si>
  <si>
    <t>Exposure_76</t>
  </si>
  <si>
    <t>Limit_77</t>
  </si>
  <si>
    <t>Exposure_77</t>
  </si>
  <si>
    <t>Limit_78</t>
  </si>
  <si>
    <t>Exposure_78</t>
  </si>
  <si>
    <t>Limit_79</t>
  </si>
  <si>
    <t>Exposure_79</t>
  </si>
  <si>
    <t>Limit_80</t>
  </si>
  <si>
    <t>Exposure_80</t>
  </si>
  <si>
    <t>Limit_81</t>
  </si>
  <si>
    <t>Exposure_81</t>
  </si>
  <si>
    <t>Limit_82</t>
  </si>
  <si>
    <t>Exposure_82</t>
  </si>
  <si>
    <t>Limit_83</t>
  </si>
  <si>
    <t>Exposure_83</t>
  </si>
  <si>
    <t>Limit_84</t>
  </si>
  <si>
    <t>Exposure_84</t>
  </si>
  <si>
    <t>Limit_85</t>
  </si>
  <si>
    <t>Exposure_85</t>
  </si>
  <si>
    <t>Limit_86</t>
  </si>
  <si>
    <t>Exposure_86</t>
  </si>
  <si>
    <t>Limit_87</t>
  </si>
  <si>
    <t>Exposure_87</t>
  </si>
  <si>
    <t>Limit_88</t>
  </si>
  <si>
    <t>Exposure_88</t>
  </si>
  <si>
    <t>branchName</t>
  </si>
  <si>
    <t>branchLngInd</t>
  </si>
  <si>
    <t>currentRangeBeg</t>
  </si>
  <si>
    <t>currentRangeEnd</t>
  </si>
  <si>
    <t>nextRangeBeg</t>
  </si>
  <si>
    <t>nextRangeEnd</t>
  </si>
  <si>
    <t>lastStarterNo</t>
  </si>
  <si>
    <t>maximumStarter</t>
  </si>
  <si>
    <t>transitCode</t>
  </si>
  <si>
    <t>intReceivedAccNo1</t>
  </si>
  <si>
    <t>intReceivedAccNo2</t>
  </si>
  <si>
    <t>intReceivedAccNo3</t>
  </si>
  <si>
    <t>intReceivedAccNo4</t>
  </si>
  <si>
    <t>intReceivedAccNo5</t>
  </si>
  <si>
    <t>intReceivedAccNo6</t>
  </si>
  <si>
    <t>intPaidAccNo1</t>
  </si>
  <si>
    <t>intPaidAccNo2</t>
  </si>
  <si>
    <t>intPaidAccNo3</t>
  </si>
  <si>
    <t>intPaidAccNo4</t>
  </si>
  <si>
    <t>intPaidAccNo5</t>
  </si>
  <si>
    <t>intPaidAccNo6</t>
  </si>
  <si>
    <t>draftNum</t>
  </si>
  <si>
    <t>draftStatus</t>
  </si>
  <si>
    <t>draftAmt</t>
  </si>
  <si>
    <t>issueDate</t>
  </si>
  <si>
    <t>issueUserId</t>
  </si>
  <si>
    <t>issueTransType</t>
  </si>
  <si>
    <t>settledDate</t>
  </si>
  <si>
    <t>settleduserId</t>
  </si>
  <si>
    <t>settledTransType</t>
  </si>
  <si>
    <t>settledAmt</t>
  </si>
  <si>
    <t>drClearedBal</t>
  </si>
  <si>
    <t>crClearedBal</t>
  </si>
  <si>
    <t>drBookBal</t>
  </si>
  <si>
    <t>crBookBal</t>
  </si>
  <si>
    <t>noOfAccs</t>
  </si>
  <si>
    <t>transCrClearedBal</t>
  </si>
  <si>
    <t>transDrClearedBal</t>
  </si>
  <si>
    <t>transCrBookBal</t>
  </si>
  <si>
    <t>transDrBookBal</t>
  </si>
  <si>
    <t>uniqNo</t>
  </si>
  <si>
    <t>tdlAccNo</t>
  </si>
  <si>
    <t>bmRef</t>
  </si>
  <si>
    <t>bmDate</t>
  </si>
  <si>
    <t>status</t>
  </si>
  <si>
    <t>narrative4</t>
  </si>
  <si>
    <t>narrative5</t>
  </si>
  <si>
    <t>narrative6</t>
  </si>
  <si>
    <t>forceFlag</t>
  </si>
  <si>
    <t>errCode</t>
  </si>
  <si>
    <t>errMsg</t>
  </si>
  <si>
    <t>Timestamp</t>
  </si>
  <si>
    <t>YYYYMMDDHH24MISS</t>
  </si>
  <si>
    <t>drFundRtIA</t>
  </si>
  <si>
    <t>crFundRtIA</t>
  </si>
  <si>
    <t>drFundRtFA</t>
  </si>
  <si>
    <t>crFundRtFA</t>
  </si>
  <si>
    <t xml:space="preserve"> valueDate</t>
  </si>
  <si>
    <t xml:space="preserve"> refCode</t>
  </si>
  <si>
    <t xml:space="preserve"> accNo</t>
  </si>
  <si>
    <t xml:space="preserve"> batchNo</t>
  </si>
  <si>
    <t xml:space="preserve"> transType</t>
  </si>
  <si>
    <t xml:space="preserve"> drCrFlag</t>
  </si>
  <si>
    <t xml:space="preserve"> refNo</t>
  </si>
  <si>
    <t xml:space="preserve"> narrative1</t>
  </si>
  <si>
    <t xml:space="preserve"> narrative2</t>
  </si>
  <si>
    <t xml:space="preserve"> narrative3</t>
  </si>
  <si>
    <t xml:space="preserve"> oldBal</t>
  </si>
  <si>
    <t xml:space="preserve"> transAmt</t>
  </si>
  <si>
    <t xml:space="preserve"> newBal</t>
  </si>
  <si>
    <t xml:space="preserve"> postingDate</t>
  </si>
  <si>
    <t xml:space="preserve"> exceptionCode</t>
  </si>
  <si>
    <t xml:space="preserve"> autoGenFlag</t>
  </si>
  <si>
    <t xml:space="preserve"> newIntRate</t>
  </si>
  <si>
    <t xml:space="preserve"> newMaturityDate</t>
  </si>
  <si>
    <t xml:space="preserve"> accType</t>
  </si>
  <si>
    <t xml:space="preserve"> transValueDate</t>
  </si>
  <si>
    <t xml:space="preserve"> intAmt</t>
  </si>
  <si>
    <t xml:space="preserve"> intAppMethodFlag</t>
  </si>
  <si>
    <t xml:space="preserve"> staffFlag</t>
  </si>
  <si>
    <t xml:space="preserve"> nonResidentFlag</t>
  </si>
  <si>
    <t xml:space="preserve"> intPaymentFlag</t>
  </si>
  <si>
    <t xml:space="preserve"> demandNoteAdviceFlag</t>
  </si>
  <si>
    <t xml:space="preserve"> contraAccNo</t>
  </si>
  <si>
    <t xml:space="preserve"> dateTelex</t>
  </si>
  <si>
    <t xml:space="preserve"> processedFlag</t>
  </si>
  <si>
    <t xml:space="preserve"> settlementInstruction</t>
  </si>
  <si>
    <t xml:space="preserve"> paymentRollover</t>
  </si>
  <si>
    <t xml:space="preserve"> limitCurrCode</t>
  </si>
  <si>
    <t xml:space="preserve"> confirmationAdvice</t>
  </si>
  <si>
    <t xml:space="preserve"> fixtureBreakDate</t>
  </si>
  <si>
    <t xml:space="preserve"> fixtureBreakTransType</t>
  </si>
  <si>
    <t xml:space="preserve"> depositMaturityFlag</t>
  </si>
  <si>
    <t xml:space="preserve"> sysdicateApportionment</t>
  </si>
  <si>
    <t xml:space="preserve"> syndicateLoadAcc</t>
  </si>
  <si>
    <t xml:space="preserve"> diaryMemoIndi</t>
  </si>
  <si>
    <t xml:space="preserve"> finalMaturityDate</t>
  </si>
  <si>
    <t xml:space="preserve"> dealMargin</t>
  </si>
  <si>
    <t xml:space="preserve"> billCdFlag</t>
  </si>
  <si>
    <t xml:space="preserve"> nominalValue</t>
  </si>
  <si>
    <t xml:space="preserve"> drawer</t>
  </si>
  <si>
    <t xml:space="preserve"> depositaryBroker</t>
  </si>
  <si>
    <t xml:space="preserve"> yieldRate</t>
  </si>
  <si>
    <t xml:space="preserve"> discountCouponRate</t>
  </si>
  <si>
    <t xml:space="preserve"> leasingRepayment</t>
  </si>
  <si>
    <t xml:space="preserve"> verifyFlag</t>
  </si>
  <si>
    <t xml:space="preserve"> baseEquivalent</t>
  </si>
  <si>
    <t xml:space="preserve"> facilirtyLimits</t>
  </si>
  <si>
    <t xml:space="preserve"> transRecCounter</t>
  </si>
  <si>
    <t xml:space="preserve"> repaymentFrequency</t>
  </si>
  <si>
    <t xml:space="preserve"> paymentsRemaining</t>
  </si>
  <si>
    <t xml:space="preserve"> branchNo</t>
  </si>
  <si>
    <t xml:space="preserve"> swiftMsg</t>
  </si>
  <si>
    <t xml:space="preserve"> swiftDealNo</t>
  </si>
  <si>
    <t xml:space="preserve"> transRef</t>
  </si>
  <si>
    <t xml:space="preserve"> relatedRef</t>
  </si>
  <si>
    <t xml:space="preserve"> swiftSettlement</t>
  </si>
  <si>
    <t xml:space="preserve"> swiftSettlement2</t>
  </si>
  <si>
    <t xml:space="preserve"> swiftSettlement3</t>
  </si>
  <si>
    <t xml:space="preserve"> swiftSettlement4</t>
  </si>
  <si>
    <t xml:space="preserve"> swiftSettlement5</t>
  </si>
  <si>
    <t xml:space="preserve"> swiftSettlement6</t>
  </si>
  <si>
    <t xml:space="preserve"> processedByMT350</t>
  </si>
  <si>
    <t>mt320Produced</t>
  </si>
  <si>
    <t>fixedShceduleFlag</t>
  </si>
  <si>
    <t>fixedShceduleDate</t>
  </si>
  <si>
    <t>penDateChanged</t>
  </si>
  <si>
    <t>penDateChanged1</t>
  </si>
  <si>
    <t>draftRef</t>
  </si>
  <si>
    <t>drAccNo</t>
  </si>
  <si>
    <t>crAccNo</t>
  </si>
  <si>
    <t>transCurrCode</t>
  </si>
  <si>
    <t>netAmt</t>
  </si>
  <si>
    <t>payCurrCode</t>
  </si>
  <si>
    <t>payAmt</t>
  </si>
  <si>
    <t>baseEquivalent</t>
  </si>
  <si>
    <t>statusFlag</t>
  </si>
  <si>
    <t>previousStatusFlag</t>
  </si>
  <si>
    <t>verficationCounter</t>
  </si>
  <si>
    <t>exAdviceFlag</t>
  </si>
  <si>
    <t>actionDate</t>
  </si>
  <si>
    <t>countryCode</t>
  </si>
  <si>
    <t>imdCode</t>
  </si>
  <si>
    <t>bmBranchCode</t>
  </si>
  <si>
    <t>branchSortCode</t>
  </si>
  <si>
    <t>reservedFiller</t>
  </si>
  <si>
    <t>recordNo</t>
  </si>
  <si>
    <t>paymentStatus</t>
  </si>
  <si>
    <t>issueBank</t>
  </si>
  <si>
    <t>draweeBank</t>
  </si>
  <si>
    <t>coveringBank</t>
  </si>
  <si>
    <t>issueCountryCode</t>
  </si>
  <si>
    <t>totAmt</t>
  </si>
  <si>
    <t>payMethod</t>
  </si>
  <si>
    <t>penProxyName</t>
  </si>
  <si>
    <t>pensionerName</t>
  </si>
  <si>
    <t>benefAddress2</t>
  </si>
  <si>
    <t>benefAddress3</t>
  </si>
  <si>
    <t>benefAddress4</t>
  </si>
  <si>
    <t>issueSortCode</t>
  </si>
  <si>
    <t>contraSortCode</t>
  </si>
  <si>
    <t>statusFlag1</t>
  </si>
  <si>
    <t>benefCountryCode</t>
  </si>
  <si>
    <t>benefBank1</t>
  </si>
  <si>
    <t>benefBankBIC</t>
  </si>
  <si>
    <t>benefAddress5</t>
  </si>
  <si>
    <t>senderLine1</t>
  </si>
  <si>
    <t>senderLine2</t>
  </si>
  <si>
    <t>senderLine3</t>
  </si>
  <si>
    <t>pensionClass</t>
  </si>
  <si>
    <t>SenderLine3Remain</t>
  </si>
  <si>
    <t>senderLine4</t>
  </si>
  <si>
    <t>coveringBank1</t>
  </si>
  <si>
    <t>benefAccNo</t>
  </si>
  <si>
    <t>message1</t>
  </si>
  <si>
    <t>message2</t>
  </si>
  <si>
    <t>message3</t>
  </si>
  <si>
    <t>message4</t>
  </si>
  <si>
    <t>transferPurpose</t>
  </si>
  <si>
    <t>intRevPeriod</t>
  </si>
  <si>
    <t>intRevFreq</t>
  </si>
  <si>
    <t>crmarginFundRate</t>
  </si>
  <si>
    <t>drmarginFundRate</t>
  </si>
  <si>
    <t>crmarginIntRev</t>
  </si>
  <si>
    <t>drmarginIntRev</t>
  </si>
  <si>
    <t>crMaturityAmt</t>
  </si>
  <si>
    <t>drMaturityAmt</t>
  </si>
  <si>
    <t>maturityBal</t>
  </si>
  <si>
    <t>crFundAmt</t>
  </si>
  <si>
    <t>drFundAmt</t>
  </si>
  <si>
    <t>maturityAmtNonPrf</t>
  </si>
  <si>
    <t>maturityIntRate</t>
  </si>
  <si>
    <t>renewType</t>
  </si>
  <si>
    <t>renewPrd</t>
  </si>
  <si>
    <t>drInterestPYTD</t>
  </si>
  <si>
    <t>drInterestCYTD</t>
  </si>
  <si>
    <t>crInterestPYTD</t>
  </si>
  <si>
    <t>newRvPrd</t>
  </si>
  <si>
    <t>newRvFreq</t>
  </si>
  <si>
    <t>penIntRate</t>
  </si>
  <si>
    <t>loanBlockBal</t>
  </si>
  <si>
    <t>FileCount</t>
  </si>
  <si>
    <t>FileName</t>
  </si>
  <si>
    <t>intFlag</t>
  </si>
  <si>
    <t>payeCr</t>
  </si>
  <si>
    <t>payeDr</t>
  </si>
  <si>
    <t>payeAcc</t>
  </si>
  <si>
    <t>accrualAdjustment</t>
  </si>
  <si>
    <t>ytdInNormal</t>
  </si>
  <si>
    <t>previousYtd</t>
  </si>
  <si>
    <t>refNo</t>
  </si>
  <si>
    <t>totCrInt</t>
  </si>
  <si>
    <t>mdIndicator</t>
  </si>
  <si>
    <t>spotAccNo</t>
  </si>
  <si>
    <t>arbitAccNo</t>
  </si>
  <si>
    <t>commissionAccNo</t>
  </si>
  <si>
    <t>telexAccNo</t>
  </si>
  <si>
    <t>nostroAccNo</t>
  </si>
  <si>
    <t>noOfDecimals</t>
  </si>
  <si>
    <t>swapAccNo</t>
  </si>
  <si>
    <t>exceptionCode</t>
  </si>
  <si>
    <t>transNum</t>
  </si>
  <si>
    <t>newBal</t>
  </si>
  <si>
    <t>facilityNum</t>
  </si>
  <si>
    <t>valueOfLimitExceeded</t>
  </si>
  <si>
    <t>limitName</t>
  </si>
  <si>
    <t>partitionNum</t>
  </si>
  <si>
    <t>refNum</t>
  </si>
  <si>
    <t>exceededLimCustNum</t>
  </si>
  <si>
    <t>batchNo</t>
  </si>
  <si>
    <t>contChar</t>
  </si>
  <si>
    <t>drCrInd</t>
  </si>
  <si>
    <t>oldBal</t>
  </si>
  <si>
    <t>autoTrans</t>
  </si>
  <si>
    <t>intRate</t>
  </si>
  <si>
    <t>brokerNo</t>
  </si>
  <si>
    <t>settlementInst</t>
  </si>
  <si>
    <t>oldMaturityDate</t>
  </si>
  <si>
    <t>oldIntRate</t>
  </si>
  <si>
    <t>confirmFlag</t>
  </si>
  <si>
    <t>lastStartDate</t>
  </si>
  <si>
    <t>intAmt</t>
  </si>
  <si>
    <t>confirmFormat</t>
  </si>
  <si>
    <t>staffAccInd</t>
  </si>
  <si>
    <t>nonResidentFlag</t>
  </si>
  <si>
    <t>contraAccType</t>
  </si>
  <si>
    <t>intApplFlag</t>
  </si>
  <si>
    <t>dateTelex</t>
  </si>
  <si>
    <t>tellerId</t>
  </si>
  <si>
    <t>couponRate</t>
  </si>
  <si>
    <t>multiplyDivide</t>
  </si>
  <si>
    <t>limitCheck</t>
  </si>
  <si>
    <t>withholdingTax</t>
  </si>
  <si>
    <t>mainAccInd</t>
  </si>
  <si>
    <t>billValue</t>
  </si>
  <si>
    <t>sortCode</t>
  </si>
  <si>
    <t>forExDealFlag</t>
  </si>
  <si>
    <t>dealNumber</t>
  </si>
  <si>
    <t>recoverable</t>
  </si>
  <si>
    <t>passbook</t>
  </si>
  <si>
    <t>timeStamp</t>
  </si>
  <si>
    <t>sourceFlag</t>
  </si>
  <si>
    <t>intRecalFlag</t>
  </si>
  <si>
    <t>branchnetSource</t>
  </si>
  <si>
    <t>destinationAcc</t>
  </si>
  <si>
    <t>countryBankCode</t>
  </si>
  <si>
    <t>sourceBranchCode</t>
  </si>
  <si>
    <t>reversalFlag</t>
  </si>
  <si>
    <t>engBrName</t>
  </si>
  <si>
    <t>engBrCity</t>
  </si>
  <si>
    <t>someData</t>
  </si>
  <si>
    <t>arabBrName</t>
  </si>
  <si>
    <t>arabBrCity</t>
  </si>
  <si>
    <t>alcoFlag</t>
  </si>
  <si>
    <t>stmtDay1</t>
  </si>
  <si>
    <t>stmtDay2</t>
  </si>
  <si>
    <t>stmtDay3</t>
  </si>
  <si>
    <t>stmtDay4</t>
  </si>
  <si>
    <t>stmtDay5</t>
  </si>
  <si>
    <t>stmtDay6</t>
  </si>
  <si>
    <t>stmtDay7</t>
  </si>
  <si>
    <t>stmtDay8</t>
  </si>
  <si>
    <t>stmtDay9</t>
  </si>
  <si>
    <t>stmtDayAToZ</t>
  </si>
  <si>
    <t>6,8</t>
  </si>
  <si>
    <t>16,3</t>
  </si>
  <si>
    <t>14,8</t>
  </si>
  <si>
    <t>9,6</t>
  </si>
  <si>
    <t>9,5</t>
  </si>
  <si>
    <t>12,2</t>
  </si>
  <si>
    <t>statementFreq</t>
  </si>
  <si>
    <t>checkBook</t>
  </si>
  <si>
    <t>droppedAcc</t>
  </si>
  <si>
    <t>uniqueSub</t>
  </si>
  <si>
    <t>statusChanged</t>
  </si>
  <si>
    <t>fromStatus</t>
  </si>
  <si>
    <t>toStatus</t>
  </si>
  <si>
    <t>acctDesc</t>
  </si>
  <si>
    <t>initialStatus</t>
  </si>
  <si>
    <t>samaAccStatusChanged</t>
  </si>
  <si>
    <t>fromSamaAccStatus</t>
  </si>
  <si>
    <t>toSamaAccStatus</t>
  </si>
  <si>
    <t>initialSamaStatus</t>
  </si>
  <si>
    <t>accStatusChangeReason</t>
  </si>
  <si>
    <t>dormantActivationUpd</t>
  </si>
  <si>
    <t>creditLimit</t>
  </si>
  <si>
    <t>intFreqCode</t>
  </si>
  <si>
    <t>intApplDay</t>
  </si>
  <si>
    <t>samaBlockAccStatusChanged</t>
  </si>
  <si>
    <t>16</t>
  </si>
  <si>
    <t xml:space="preserve"> </t>
  </si>
  <si>
    <t>welcomeLetterRegionCode</t>
  </si>
  <si>
    <t>realOrPseudoBranch</t>
  </si>
  <si>
    <t>cardPrdnAtBranch</t>
  </si>
  <si>
    <t>pinSelectAtBranch</t>
  </si>
  <si>
    <t>pinPrintFromBranch</t>
  </si>
  <si>
    <t>cardRequestFromBranch</t>
  </si>
  <si>
    <t>updateRestricted</t>
  </si>
  <si>
    <t>mainBrEditAllowed</t>
  </si>
  <si>
    <t>tpinSelectAtBranch</t>
  </si>
  <si>
    <t>dormantActivationFlag</t>
  </si>
  <si>
    <t>tpinMandatoryAtBranch</t>
  </si>
  <si>
    <t>nameSearchAllowed</t>
  </si>
  <si>
    <t>stdOrdReqAllowed</t>
  </si>
  <si>
    <t>custNameUpdAllowed</t>
  </si>
  <si>
    <t>addrUnificationFlag</t>
  </si>
  <si>
    <t>balEnqRestrictedFlag</t>
  </si>
  <si>
    <t xml:space="preserve">displayWarningFlag    </t>
  </si>
  <si>
    <t xml:space="preserve">enableChipCard     </t>
  </si>
  <si>
    <t xml:space="preserve">newPensCardFlag     </t>
  </si>
  <si>
    <t xml:space="preserve">mailCentreBranch    </t>
  </si>
  <si>
    <t xml:space="preserve">mandateBranch    </t>
  </si>
  <si>
    <t xml:space="preserve">callCentreBranch   </t>
  </si>
  <si>
    <t>internalCustOpenAllowed</t>
  </si>
  <si>
    <t>enableLocalChipCard</t>
  </si>
  <si>
    <t>generalCustOpenAllowed</t>
  </si>
  <si>
    <t>pensionCustOpenAllowed</t>
  </si>
  <si>
    <t>feeExclusionUpdAllowed</t>
  </si>
  <si>
    <t>generalSamaUpdAllowed</t>
  </si>
  <si>
    <t>swiftCentreBranchFlag</t>
  </si>
  <si>
    <t>swiftTransferCentralized</t>
  </si>
  <si>
    <t>payrollBranch</t>
  </si>
  <si>
    <t>accOpenCardPrintAllowed</t>
  </si>
  <si>
    <t>arabicAddress</t>
  </si>
  <si>
    <t>englishAddress</t>
  </si>
  <si>
    <t>cityCode</t>
  </si>
  <si>
    <t>lastRefreshDateTime</t>
  </si>
  <si>
    <t>telAreaCode</t>
  </si>
  <si>
    <t>telNo</t>
  </si>
  <si>
    <t>telExt</t>
  </si>
  <si>
    <t>mainBranchCode</t>
  </si>
  <si>
    <t>accFreezingPeriod</t>
  </si>
  <si>
    <t>billerId</t>
  </si>
  <si>
    <t>checkDigitValidationOption</t>
  </si>
  <si>
    <t>prepaymentAllowed</t>
  </si>
  <si>
    <t>prepaymentTypesAllowed</t>
  </si>
  <si>
    <t>postpaymentTypesAllowed</t>
  </si>
  <si>
    <t>arabicNarrative1</t>
  </si>
  <si>
    <t>englishNarrative1</t>
  </si>
  <si>
    <t>cashAccNo</t>
  </si>
  <si>
    <t>serviceType</t>
  </si>
  <si>
    <t>disableBillerIdFlag</t>
  </si>
  <si>
    <t>reversalAllowedFlag</t>
  </si>
  <si>
    <t>bankCode</t>
  </si>
  <si>
    <t>cvrBankCode</t>
  </si>
  <si>
    <t>bankAccNo</t>
  </si>
  <si>
    <t xml:space="preserve">   </t>
  </si>
  <si>
    <t>arabicShortDesc</t>
  </si>
  <si>
    <t>englishShortDesc</t>
  </si>
  <si>
    <t>firstLetterDue</t>
  </si>
  <si>
    <t>secondLetterDue</t>
  </si>
  <si>
    <t>thirdLetterDue</t>
  </si>
  <si>
    <t>crLicenseMandatory</t>
  </si>
  <si>
    <t>accStatusValueForFreeze</t>
  </si>
  <si>
    <t>fundMovementPeriod</t>
  </si>
  <si>
    <t>fundMovementPeriodValidFlag</t>
  </si>
  <si>
    <t>fundMovementApplicableFlag</t>
  </si>
  <si>
    <t>reportExpiryOwnerId</t>
  </si>
  <si>
    <t>samaApprovalReqd</t>
  </si>
  <si>
    <t>allowNonSaudiSignatory</t>
  </si>
  <si>
    <t>mandatoryLicNo</t>
  </si>
  <si>
    <t>allowOnlyResidentOperators</t>
  </si>
  <si>
    <t>accOpeningAllowed</t>
  </si>
  <si>
    <t>checkBookAllowed</t>
  </si>
  <si>
    <t>secondGracePeriodApplicable</t>
  </si>
  <si>
    <t>idExpiryActionReqd</t>
  </si>
  <si>
    <t>atmCardAllowed</t>
  </si>
  <si>
    <t>reportToCompliance</t>
  </si>
  <si>
    <t>custUpdActionNotReqd</t>
  </si>
  <si>
    <t>elapsedYears</t>
  </si>
  <si>
    <t>idIssued</t>
  </si>
  <si>
    <t>crIssued</t>
  </si>
  <si>
    <t>accCreationAllowed</t>
  </si>
  <si>
    <t>samaBlockingAcc</t>
  </si>
  <si>
    <t>obligationMemo</t>
  </si>
  <si>
    <t>fdIntRateTolerance</t>
  </si>
  <si>
    <t>tdDebitMemo</t>
  </si>
  <si>
    <t>minDepositAmt</t>
  </si>
  <si>
    <t>maxDepositPeriod</t>
  </si>
  <si>
    <t>atmCardToBeIssued</t>
  </si>
  <si>
    <t>fdValueDateTolerance</t>
  </si>
  <si>
    <t>tdRenewAllowed</t>
  </si>
  <si>
    <t>ignoreMemoForBrUpd</t>
  </si>
  <si>
    <t>chqBookReqAllowed</t>
  </si>
  <si>
    <t>chqBookCode</t>
  </si>
  <si>
    <t>isoCode</t>
  </si>
  <si>
    <t>gccCountry</t>
  </si>
  <si>
    <t>packageAccCode</t>
  </si>
  <si>
    <t>arbShortName</t>
  </si>
  <si>
    <t>engShortName</t>
  </si>
  <si>
    <t>splChqBkReqd</t>
  </si>
  <si>
    <t>splAtmReqd</t>
  </si>
  <si>
    <t>pinMailerHeading</t>
  </si>
  <si>
    <t>rangeNo</t>
  </si>
  <si>
    <t>startingNo</t>
  </si>
  <si>
    <t>endingNo</t>
  </si>
  <si>
    <t>currentNo</t>
  </si>
  <si>
    <t>systemCode</t>
  </si>
  <si>
    <t>ageMinorBecomesMajor</t>
  </si>
  <si>
    <t>acctFreezingYearForSpecialChild</t>
  </si>
  <si>
    <t>endOfSafarDate</t>
  </si>
  <si>
    <t>noOfDaysForInactive</t>
  </si>
  <si>
    <t>noOfDaysForDormant</t>
  </si>
  <si>
    <t>noOfMonthsForUnclaimed</t>
  </si>
  <si>
    <t>roleCodeForSupervisor</t>
  </si>
  <si>
    <t>unclaimedAccNoForMovingFundForId</t>
  </si>
  <si>
    <t>accNoForMovingFundFromUnclaimedAcc</t>
  </si>
  <si>
    <t>fundMovementSequenceNo</t>
  </si>
  <si>
    <t>lastBackendProcessDate</t>
  </si>
  <si>
    <t>startGroupHeadCustNo</t>
  </si>
  <si>
    <t>endGroupHeadCustNo</t>
  </si>
  <si>
    <t>startPensionCustNo</t>
  </si>
  <si>
    <t>endPensionCustNo</t>
  </si>
  <si>
    <t>startOnlineCustNo</t>
  </si>
  <si>
    <t>endOnlineCustNo</t>
  </si>
  <si>
    <t>currentOnlineCustNo</t>
  </si>
  <si>
    <t>custActionPeriod</t>
  </si>
  <si>
    <t>stdOrdLimit</t>
  </si>
  <si>
    <t>samaReferenceNo</t>
  </si>
  <si>
    <t>usrAccBlockingDays</t>
  </si>
  <si>
    <t>enableSadadProfile</t>
  </si>
  <si>
    <t>maxAgeLimit</t>
  </si>
  <si>
    <t>arabicShortCode</t>
  </si>
  <si>
    <t>ipNumber</t>
  </si>
  <si>
    <t>abcListType</t>
  </si>
  <si>
    <t>reportedBank</t>
  </si>
  <si>
    <t>reportedDate</t>
  </si>
  <si>
    <t>bmAccNo</t>
  </si>
  <si>
    <t>blockedBmDate</t>
  </si>
  <si>
    <t>requestUserId</t>
  </si>
  <si>
    <t>requestBranch</t>
  </si>
  <si>
    <t>lastBlockedUserId</t>
  </si>
  <si>
    <t>lastBlockedDateTime</t>
  </si>
  <si>
    <t>printStatus</t>
  </si>
  <si>
    <t>customerLang</t>
  </si>
  <si>
    <t>cardNo</t>
  </si>
  <si>
    <t>requestStatus</t>
  </si>
  <si>
    <t>newOrReplacement</t>
  </si>
  <si>
    <t>primaryOrSupplementary</t>
  </si>
  <si>
    <t>cardStatus</t>
  </si>
  <si>
    <t>languageCode</t>
  </si>
  <si>
    <t>customerBranch</t>
  </si>
  <si>
    <t>nameOnTheCard</t>
  </si>
  <si>
    <t>firstIssueDate</t>
  </si>
  <si>
    <t>renewalDate</t>
  </si>
  <si>
    <t>expireDate</t>
  </si>
  <si>
    <t>rejectedDate</t>
  </si>
  <si>
    <t>rejectedUserId</t>
  </si>
  <si>
    <t>rejectedReason</t>
  </si>
  <si>
    <t>deactivationDate</t>
  </si>
  <si>
    <t>deactivationUserId</t>
  </si>
  <si>
    <t>pinOffset</t>
  </si>
  <si>
    <t>encryptedPin</t>
  </si>
  <si>
    <t>cvv</t>
  </si>
  <si>
    <t>pvv</t>
  </si>
  <si>
    <t>requestType</t>
  </si>
  <si>
    <t>pinRequestStatus</t>
  </si>
  <si>
    <t>cardGeneratedDate</t>
  </si>
  <si>
    <t>cardGeneratedUserId</t>
  </si>
  <si>
    <t>cBranchReceiptDate</t>
  </si>
  <si>
    <t>cBranchReceiptUserId</t>
  </si>
  <si>
    <t>cCustIssueDate</t>
  </si>
  <si>
    <t>cCustIssueUserId</t>
  </si>
  <si>
    <t>pinGeneratedDate</t>
  </si>
  <si>
    <t>pinGeneratedUserId</t>
  </si>
  <si>
    <t>pBranchReceiptDate</t>
  </si>
  <si>
    <t>pBranchReceiptUserId</t>
  </si>
  <si>
    <t>pCustIssueDate</t>
  </si>
  <si>
    <t>pCustIssueUserId</t>
  </si>
  <si>
    <t>branchPinSelect</t>
  </si>
  <si>
    <t>branchCardPrdn</t>
  </si>
  <si>
    <t>rejectedTime</t>
  </si>
  <si>
    <t>cardGeneratedTime</t>
  </si>
  <si>
    <t>cBranchReceiptTime</t>
  </si>
  <si>
    <t>cCustIssueTime</t>
  </si>
  <si>
    <t>pinGeneratedTime</t>
  </si>
  <si>
    <t>pBranchReceiptTime</t>
  </si>
  <si>
    <t>pCustIssueTime</t>
  </si>
  <si>
    <t>deactivatedTime</t>
  </si>
  <si>
    <t>restrictedReason</t>
  </si>
  <si>
    <t>deactivationType</t>
  </si>
  <si>
    <t>oldCardNo</t>
  </si>
  <si>
    <t>oldExpiryDate</t>
  </si>
  <si>
    <t>processDateTime</t>
  </si>
  <si>
    <t>pbfAccNo</t>
  </si>
  <si>
    <t>requestDateTime</t>
  </si>
  <si>
    <t>firstUsedDate</t>
  </si>
  <si>
    <t>lastUsedDate</t>
  </si>
  <si>
    <t>source</t>
  </si>
  <si>
    <t>convertedFlag</t>
  </si>
  <si>
    <t>b24CardType</t>
  </si>
  <si>
    <t>requestFromClo</t>
  </si>
  <si>
    <t>yearCharged</t>
  </si>
  <si>
    <t>oldExpiryYear</t>
  </si>
  <si>
    <t>newPensCardGenerated</t>
  </si>
  <si>
    <t>cvv2</t>
  </si>
  <si>
    <t>prvChargedDate</t>
  </si>
  <si>
    <t>chargedDate</t>
  </si>
  <si>
    <t>deliveryFlag</t>
  </si>
  <si>
    <t>deliveryBranchCode</t>
  </si>
  <si>
    <t>cpsCorpName</t>
  </si>
  <si>
    <t>empNo</t>
  </si>
  <si>
    <t>chequeType</t>
  </si>
  <si>
    <t>booksRequested</t>
  </si>
  <si>
    <t>deletedDateTime</t>
  </si>
  <si>
    <t>deletedUserId</t>
  </si>
  <si>
    <t>deletedReason</t>
  </si>
  <si>
    <t>producedDate</t>
  </si>
  <si>
    <t>producedUserId</t>
  </si>
  <si>
    <t>recdByBranchDate</t>
  </si>
  <si>
    <t>recdByBranchUserId</t>
  </si>
  <si>
    <t>issuedToCustDate</t>
  </si>
  <si>
    <t>issuedToCustUserId</t>
  </si>
  <si>
    <t>chequeNoFrom</t>
  </si>
  <si>
    <t>chequeNoTo</t>
  </si>
  <si>
    <t>reqDate</t>
  </si>
  <si>
    <t>producedTime</t>
  </si>
  <si>
    <t>recdByBranchTime</t>
  </si>
  <si>
    <t>issuedToCustTime</t>
  </si>
  <si>
    <t>referenceNo</t>
  </si>
  <si>
    <t>referenceType</t>
  </si>
  <si>
    <t>referenceStatus</t>
  </si>
  <si>
    <t>referenceDisableDate</t>
  </si>
  <si>
    <t>activeStatus</t>
  </si>
  <si>
    <t>disabledDate</t>
  </si>
  <si>
    <t>fundMovementDate</t>
  </si>
  <si>
    <t>unclaimedAccNo</t>
  </si>
  <si>
    <t>customerAccNo</t>
  </si>
  <si>
    <t>fundMovementAmount</t>
  </si>
  <si>
    <t>heirNo</t>
  </si>
  <si>
    <t>heirType</t>
  </si>
  <si>
    <t>heirStatus</t>
  </si>
  <si>
    <t>heirDisableDate</t>
  </si>
  <si>
    <t>proxyNo</t>
  </si>
  <si>
    <t>proxyDateType</t>
  </si>
  <si>
    <t>proxyIssueDateH</t>
  </si>
  <si>
    <t>proxyIssueDateG</t>
  </si>
  <si>
    <t>signatoryNo</t>
  </si>
  <si>
    <t>diplomaticPpNo</t>
  </si>
  <si>
    <t>reason</t>
  </si>
  <si>
    <t>signatureActionDate</t>
  </si>
  <si>
    <t>signatoryForOthers</t>
  </si>
  <si>
    <t>overrideOtherExpatSign</t>
  </si>
  <si>
    <t>actionType</t>
  </si>
  <si>
    <t>password</t>
  </si>
  <si>
    <t>last10Password</t>
  </si>
  <si>
    <t>lastChangeDate</t>
  </si>
  <si>
    <t>liveStatus</t>
  </si>
  <si>
    <t>employeeNo</t>
  </si>
  <si>
    <t>firstName</t>
  </si>
  <si>
    <t>secondName</t>
  </si>
  <si>
    <t>thirdName</t>
  </si>
  <si>
    <t>lastName</t>
  </si>
  <si>
    <t>authorityLevel</t>
  </si>
  <si>
    <t>loginStatus</t>
  </si>
  <si>
    <t>lastLoginDateTime</t>
  </si>
  <si>
    <t>langPreferred</t>
  </si>
  <si>
    <t>globalUpdatePriv</t>
  </si>
  <si>
    <t>authorityLevel2</t>
  </si>
  <si>
    <t>bpUserId</t>
  </si>
  <si>
    <t>loginIpAddress</t>
  </si>
  <si>
    <t>jointCustNo</t>
  </si>
  <si>
    <t>marritalStatus</t>
  </si>
  <si>
    <t>segmenation</t>
  </si>
  <si>
    <t>jointOpenDate</t>
  </si>
  <si>
    <t>pendingStatus</t>
  </si>
  <si>
    <t>action</t>
  </si>
  <si>
    <t>oldBlockAmt</t>
  </si>
  <si>
    <t>cardInternalStatus</t>
  </si>
  <si>
    <t>cardExternalStatus</t>
  </si>
  <si>
    <t>cardOrAcct</t>
  </si>
  <si>
    <t>ctlCode</t>
  </si>
  <si>
    <t>otherDetails</t>
  </si>
  <si>
    <t>reversalAllowed</t>
  </si>
  <si>
    <t>noOfBranchesDefined</t>
  </si>
  <si>
    <t>postingStatus</t>
  </si>
  <si>
    <t>langInd</t>
  </si>
  <si>
    <t>companyId</t>
  </si>
  <si>
    <t>subscriptionNo</t>
  </si>
  <si>
    <t>subsOrBillNo</t>
  </si>
  <si>
    <t>billAmt</t>
  </si>
  <si>
    <t>cashOrAcc</t>
  </si>
  <si>
    <t>transRefNo</t>
  </si>
  <si>
    <t>transDateTime</t>
  </si>
  <si>
    <t>preOrPostpaid</t>
  </si>
  <si>
    <t>bankTransId</t>
  </si>
  <si>
    <t>sadadTransId</t>
  </si>
  <si>
    <t>reversalTime</t>
  </si>
  <si>
    <t>reversalStatus</t>
  </si>
  <si>
    <t>tdAccNo</t>
  </si>
  <si>
    <t>tdCurrency</t>
  </si>
  <si>
    <t>tdLedger</t>
  </si>
  <si>
    <t>debitAccNo</t>
  </si>
  <si>
    <t>tenorType</t>
  </si>
  <si>
    <t>tenorPeriod</t>
  </si>
  <si>
    <t>fundIntRate</t>
  </si>
  <si>
    <t>maturityAmt</t>
  </si>
  <si>
    <t>overrideExRate</t>
  </si>
  <si>
    <t>overrideIntRate</t>
  </si>
  <si>
    <t>orgFundIntRate</t>
  </si>
  <si>
    <t>orgExRate</t>
  </si>
  <si>
    <t>autoRenewFlag</t>
  </si>
  <si>
    <t>diffDays</t>
  </si>
  <si>
    <t>intAppln</t>
  </si>
  <si>
    <t>overrideValueDate</t>
  </si>
  <si>
    <t>debitAmt</t>
  </si>
  <si>
    <t>bookingDate</t>
  </si>
  <si>
    <t>sodBranchCode</t>
  </si>
  <si>
    <t>Branchcode1</t>
  </si>
  <si>
    <t>Branchcode2</t>
  </si>
  <si>
    <t>Branchcode3</t>
  </si>
  <si>
    <t>Branchcode4</t>
  </si>
  <si>
    <t>Branchcode5</t>
  </si>
  <si>
    <t>gregDate</t>
  </si>
  <si>
    <t>hijriDate</t>
  </si>
  <si>
    <t>custUpdActionTaken</t>
  </si>
  <si>
    <t>custUpdWarningLetterGenerated</t>
  </si>
  <si>
    <t>custUpdActionDate</t>
  </si>
  <si>
    <t>custType</t>
  </si>
  <si>
    <t>incorrectName</t>
  </si>
  <si>
    <t>forwardBal</t>
  </si>
  <si>
    <t>weekToDateBal</t>
  </si>
  <si>
    <t>monthToDateBal</t>
  </si>
  <si>
    <t>yearToDateBal</t>
  </si>
  <si>
    <t>weeklyInt</t>
  </si>
  <si>
    <t>monthlyInt</t>
  </si>
  <si>
    <t>yearlyInt</t>
  </si>
  <si>
    <t>noOfTrans</t>
  </si>
  <si>
    <t>averageIntRate</t>
  </si>
  <si>
    <t>intPaySuspenseAcc</t>
  </si>
  <si>
    <t>intRecevSuspenseAcc</t>
  </si>
  <si>
    <t>balTransCount</t>
  </si>
  <si>
    <t>dayOfMonth</t>
  </si>
  <si>
    <t>limitMemoGroup</t>
  </si>
  <si>
    <t>accServiceCharges</t>
  </si>
  <si>
    <t>intRecevAcc1</t>
  </si>
  <si>
    <t>intRecevAcc2</t>
  </si>
  <si>
    <t>intRecevAcc3</t>
  </si>
  <si>
    <t>intRecevAcc4</t>
  </si>
  <si>
    <t>intRecevAcc5</t>
  </si>
  <si>
    <t>intRecevAcc6</t>
  </si>
  <si>
    <t>intPaidAcc1</t>
  </si>
  <si>
    <t>intPaidAcc2</t>
  </si>
  <si>
    <t>intPaidAcc3</t>
  </si>
  <si>
    <t>intPaidAcc4</t>
  </si>
  <si>
    <t>intPaidAcc5</t>
  </si>
  <si>
    <t>intPaidAcc6</t>
  </si>
  <si>
    <t>defaultAccDesc</t>
  </si>
  <si>
    <t>loanClass</t>
  </si>
  <si>
    <t>withHoldingTax</t>
  </si>
  <si>
    <t>autoGenerateAcc</t>
  </si>
  <si>
    <t>commisionFlatAmtFlag</t>
  </si>
  <si>
    <t>commisionFlatAmtCust</t>
  </si>
  <si>
    <t>commisionFlatExtCust</t>
  </si>
  <si>
    <t>startDay</t>
  </si>
  <si>
    <t>minIntApp</t>
  </si>
  <si>
    <t>minDrAmt</t>
  </si>
  <si>
    <t>minCrAmt</t>
  </si>
  <si>
    <t>weekAverageIntRate</t>
  </si>
  <si>
    <t>monthAverageIntRate</t>
  </si>
  <si>
    <t>yearAverageIntRate</t>
  </si>
  <si>
    <t>yearEndBal</t>
  </si>
  <si>
    <t>yearEndInt</t>
  </si>
  <si>
    <t>standOrderCommAcc</t>
  </si>
  <si>
    <t>standOrderChequeAcc</t>
  </si>
  <si>
    <t>standOrderSuspenseAcc</t>
  </si>
  <si>
    <t>commissionRate</t>
  </si>
  <si>
    <t>minCharge</t>
  </si>
  <si>
    <t>maxCharge</t>
  </si>
  <si>
    <t>chequeCharge</t>
  </si>
  <si>
    <t>minChargeCheque</t>
  </si>
  <si>
    <t>maxChargeCheque</t>
  </si>
  <si>
    <t>intRecevAcc</t>
  </si>
  <si>
    <t>cashLoanAcc</t>
  </si>
  <si>
    <t>earningAcc</t>
  </si>
  <si>
    <t>commisionPaidAcc</t>
  </si>
  <si>
    <t>alternateMemoDesc</t>
  </si>
  <si>
    <t>crditBaseRateCode</t>
  </si>
  <si>
    <t>userArea</t>
  </si>
  <si>
    <t>15,3</t>
  </si>
  <si>
    <t>13,3</t>
  </si>
  <si>
    <t>12,3</t>
  </si>
  <si>
    <t>9,2</t>
  </si>
  <si>
    <t>Name</t>
  </si>
  <si>
    <t>Description</t>
  </si>
  <si>
    <t>BANKING  DATE</t>
  </si>
  <si>
    <t>Data Restored date</t>
  </si>
  <si>
    <t>File Count</t>
  </si>
  <si>
    <t>This field contains Count required between Cludera and BM</t>
  </si>
  <si>
    <t>File Name</t>
  </si>
  <si>
    <t>This field contains Name of file  required between Cludera and BM</t>
  </si>
  <si>
    <t xml:space="preserve"> IP NUMBER </t>
  </si>
  <si>
    <t xml:space="preserve"> ABC LIST TYPE </t>
  </si>
  <si>
    <t xml:space="preserve"> CUSTOMER NUMBER </t>
  </si>
  <si>
    <t xml:space="preserve"> CUSTOMER NAME </t>
  </si>
  <si>
    <t xml:space="preserve"> IDENTIFICATION TYPE </t>
  </si>
  <si>
    <t xml:space="preserve"> IDENTIFICATION NUMBER </t>
  </si>
  <si>
    <t xml:space="preserve"> REPORTED BANK NAME </t>
  </si>
  <si>
    <t xml:space="preserve"> REPORTED DATE </t>
  </si>
  <si>
    <t xml:space="preserve"> BANK ACCOUNT NUMBER </t>
  </si>
  <si>
    <t xml:space="preserve"> BLOCKED AMOUNT </t>
  </si>
  <si>
    <t xml:space="preserve"> BLOCKED AMOUNT DATE </t>
  </si>
  <si>
    <t xml:space="preserve"> REQUESTING USER ID </t>
  </si>
  <si>
    <t xml:space="preserve"> REQUESTING BRANCH </t>
  </si>
  <si>
    <t xml:space="preserve"> LAST BLOCKING USER ID </t>
  </si>
  <si>
    <t xml:space="preserve"> LAST BLOCKED DATE &amp; TIME </t>
  </si>
  <si>
    <t xml:space="preserve"> BRANCH CODE </t>
  </si>
  <si>
    <t xml:space="preserve"> USER IDENTIFIER </t>
  </si>
  <si>
    <t xml:space="preserve"> DATE AND TIME </t>
  </si>
  <si>
    <t xml:space="preserve"> PRINT STATUS </t>
  </si>
  <si>
    <t xml:space="preserve"> ACCOUNT NUMBER </t>
  </si>
  <si>
    <t xml:space="preserve"> INTERNATIONAL BANK ACCOUNT NUMBER (IBAN) </t>
  </si>
  <si>
    <t xml:space="preserve"> CUSTOMER PREFERRED LANGUAGE </t>
  </si>
  <si>
    <t xml:space="preserve"> CUSTOMER ACCOUNT OPEN DATE </t>
  </si>
  <si>
    <t xml:space="preserve"> CUSTOMER BRANCH CODE </t>
  </si>
  <si>
    <t xml:space="preserve"> LAST UPDATED BY USER ID </t>
  </si>
  <si>
    <t xml:space="preserve"> LAST UPDATE DATE &amp; TIME </t>
  </si>
  <si>
    <t xml:space="preserve">GREGORIAN DATE </t>
  </si>
  <si>
    <t xml:space="preserve">HIJRI DATE </t>
  </si>
  <si>
    <t>BRANCH CODE</t>
  </si>
  <si>
    <t>This field Maintain in Which Branch code  from where customer details are modified</t>
  </si>
  <si>
    <t xml:space="preserve">USER ID </t>
  </si>
  <si>
    <t xml:space="preserve"> DATE TIME</t>
  </si>
  <si>
    <t xml:space="preserve"> NEW OR UPDATED RECORD </t>
  </si>
  <si>
    <t>CUSTOMER NUMBER</t>
  </si>
  <si>
    <t>This field maintains the customer
number which can be used to access the
customer via enquiries.</t>
  </si>
  <si>
    <t>ADDRESS TYPE</t>
  </si>
  <si>
    <t>Valid Values are:00 - Customer main/local address
01 - Customer abroad address
02 - Reference address
03 - Owner local address
04 - Owner abroad address
05 - Heirs Address</t>
  </si>
  <si>
    <t xml:space="preserve"> ADDRESS NUMBER </t>
  </si>
  <si>
    <t>BANK MASTER UPDATE STATUS</t>
  </si>
  <si>
    <t>CUSTOMERADDRESS - LINE 1</t>
  </si>
  <si>
    <t>This field maintains the first line of the customer's address.</t>
  </si>
  <si>
    <t>CUSTOMERADDRESS - LINE 2</t>
  </si>
  <si>
    <t>This field maintains the second line of the customer's address.</t>
  </si>
  <si>
    <t xml:space="preserve"> P.O. BOX NUMBER </t>
  </si>
  <si>
    <t xml:space="preserve"> CITY NAME </t>
  </si>
  <si>
    <t xml:space="preserve"> POSTAL CODE </t>
  </si>
  <si>
    <t xml:space="preserve"> COUNTRY NAME </t>
  </si>
  <si>
    <t xml:space="preserve"> OFFICE PHONE AREA CODE </t>
  </si>
  <si>
    <t xml:space="preserve"> OFFICE PHONE NUMBER </t>
  </si>
  <si>
    <t xml:space="preserve"> OFFICE PHONE EXTENSION </t>
  </si>
  <si>
    <t xml:space="preserve"> HOME PHONE AREA CODE </t>
  </si>
  <si>
    <t xml:space="preserve"> HOME PHONE NUMBER </t>
  </si>
  <si>
    <t xml:space="preserve"> HOME PHONE EXTENSION </t>
  </si>
  <si>
    <t xml:space="preserve"> FAX AREA CODE </t>
  </si>
  <si>
    <t xml:space="preserve"> FAX NUMBER </t>
  </si>
  <si>
    <t xml:space="preserve"> FAX EXTENSION </t>
  </si>
  <si>
    <t xml:space="preserve"> MOBILE PHONE NUMBER </t>
  </si>
  <si>
    <t xml:space="preserve"> PAGER NUMBER </t>
  </si>
  <si>
    <t xml:space="preserve"> EMAIL ADDRESS </t>
  </si>
  <si>
    <t xml:space="preserve"> LAST UPDATED DATE </t>
  </si>
  <si>
    <t>RECORD CHANGE STATUS</t>
  </si>
  <si>
    <t>This field indicates whether the customer address record has been modified. It helps track updates and ensures the most recent information is maintained in the system.</t>
  </si>
  <si>
    <t xml:space="preserve"> ADDRESS TYPE </t>
  </si>
  <si>
    <t xml:space="preserve"> GPRS NUMBER </t>
  </si>
  <si>
    <t xml:space="preserve"> UNIT NUMBER </t>
  </si>
  <si>
    <t xml:space="preserve"> LAST UPDATED DATE TIME</t>
  </si>
  <si>
    <t xml:space="preserve"> CREATED BY USER ID </t>
  </si>
  <si>
    <t xml:space="preserve"> CREATION DATE AND TIME </t>
  </si>
  <si>
    <t xml:space="preserve"> BANK MANAGEMENT UPDATE STATUS </t>
  </si>
  <si>
    <t xml:space="preserve"> SUPERVISOR IDENTIFIER </t>
  </si>
  <si>
    <t xml:space="preserve"> CARD NUMBER </t>
  </si>
  <si>
    <t xml:space="preserve"> CARD REQUEST STATUS </t>
  </si>
  <si>
    <t xml:space="preserve"> CARD TYPE </t>
  </si>
  <si>
    <t xml:space="preserve"> NEW OR REPLACEMENT CARD </t>
  </si>
  <si>
    <t xml:space="preserve"> PRIMARY OR SUPPLEMENTARY CARD </t>
  </si>
  <si>
    <t xml:space="preserve"> CARD STATUS </t>
  </si>
  <si>
    <t xml:space="preserve"> REGION CODE </t>
  </si>
  <si>
    <t xml:space="preserve"> BANK ACCOUNT NUMBER LINKED TO CARD </t>
  </si>
  <si>
    <t xml:space="preserve"> CARDHOLDER PREFERRED LANGUAGE </t>
  </si>
  <si>
    <t xml:space="preserve"> CUSTOMER BRANCH </t>
  </si>
  <si>
    <t xml:space="preserve"> NAME PRINTED ON CARD </t>
  </si>
  <si>
    <t xml:space="preserve"> PRIMARY CARDHOLDER ADDRESS </t>
  </si>
  <si>
    <t xml:space="preserve"> SECONDARY CARDHOLDER ADDRESS </t>
  </si>
  <si>
    <t xml:space="preserve"> CARD FIRST ISSUE DATE </t>
  </si>
  <si>
    <t xml:space="preserve"> CARD RENEWAL DATE </t>
  </si>
  <si>
    <t xml:space="preserve"> CARD EXPIRY DATE </t>
  </si>
  <si>
    <t xml:space="preserve"> CARD REJECTION DATE </t>
  </si>
  <si>
    <t xml:space="preserve"> USER ID OF CARD REJECTOR </t>
  </si>
  <si>
    <t xml:space="preserve"> CARD REJECTION REASON </t>
  </si>
  <si>
    <t xml:space="preserve"> CARD DEACTIVATION DATE </t>
  </si>
  <si>
    <t xml:space="preserve"> USER ID OF CARD DEACTIVATION </t>
  </si>
  <si>
    <t xml:space="preserve"> CUSTOMER TITLE CODE </t>
  </si>
  <si>
    <t xml:space="preserve"> CARD DELIVERY METHOD </t>
  </si>
  <si>
    <t xml:space="preserve"> PIN OFFSET VALUE </t>
  </si>
  <si>
    <t xml:space="preserve"> ENCRYPTED PIN CODE </t>
  </si>
  <si>
    <t xml:space="preserve"> CARD VERIFICATION VALUE (CVV) </t>
  </si>
  <si>
    <t xml:space="preserve"> PIN VERIFICATION VALUE (PVV) </t>
  </si>
  <si>
    <t xml:space="preserve"> CARD REQUEST TYPE </t>
  </si>
  <si>
    <t xml:space="preserve"> PIN REQUEST STATUS </t>
  </si>
  <si>
    <t xml:space="preserve"> CARD GENERATION DATE </t>
  </si>
  <si>
    <t xml:space="preserve"> USER ID OF CARD GENERATOR </t>
  </si>
  <si>
    <t xml:space="preserve"> CARD RECEIPT DATE AT BRANCH </t>
  </si>
  <si>
    <t xml:space="preserve"> USER ID OF BRANCH RECEIPT PROCESSOR </t>
  </si>
  <si>
    <t xml:space="preserve"> CARD ISSUE DATE TO CUSTOMER </t>
  </si>
  <si>
    <t xml:space="preserve"> USER ID OF CARD ISSUANCE PROCESSOR </t>
  </si>
  <si>
    <t xml:space="preserve"> PIN GENERATION DATE </t>
  </si>
  <si>
    <t xml:space="preserve"> USER ID OF PIN GENERATOR </t>
  </si>
  <si>
    <t xml:space="preserve"> PIN RECEIPT DATE AT BRANCH </t>
  </si>
  <si>
    <t xml:space="preserve"> USER ID OF PIN RECEIPT PROCESSOR </t>
  </si>
  <si>
    <t xml:space="preserve"> PIN ISSUE DATE TO CUSTOMER </t>
  </si>
  <si>
    <t xml:space="preserve"> USER ID OF PIN ISSUANCE PROCESSOR </t>
  </si>
  <si>
    <t xml:space="preserve"> SUPERVISOR COMMENTS </t>
  </si>
  <si>
    <t xml:space="preserve"> BRANCH PIN SELECTION STATUS </t>
  </si>
  <si>
    <t xml:space="preserve"> BRANCH CARD PRODUCTION STATUS </t>
  </si>
  <si>
    <t xml:space="preserve"> CARD REJECTION TIME </t>
  </si>
  <si>
    <t xml:space="preserve"> CARD GENERATION TIME </t>
  </si>
  <si>
    <t xml:space="preserve"> CARD RECEIPT TIME AT BRANCH </t>
  </si>
  <si>
    <t xml:space="preserve"> CARD ISSUE TIME TO CUSTOMER </t>
  </si>
  <si>
    <t xml:space="preserve"> PIN GENERATION TIME </t>
  </si>
  <si>
    <t xml:space="preserve"> PIN RECEIPT TIME AT BRANCH </t>
  </si>
  <si>
    <t xml:space="preserve"> PIN ISSUE TIME TO CUSTOMER </t>
  </si>
  <si>
    <t xml:space="preserve"> CARD DEACTIVATION TIME </t>
  </si>
  <si>
    <t xml:space="preserve"> CARD RESTRICTION REASON </t>
  </si>
  <si>
    <t xml:space="preserve"> CARD DEACTIVATION TYPE </t>
  </si>
  <si>
    <t xml:space="preserve"> PREVIOUS CARD NUMBER </t>
  </si>
  <si>
    <t xml:space="preserve"> PREVIOUS CARD EXPIRY DATE </t>
  </si>
  <si>
    <t xml:space="preserve"> CARD PROCESSING DATE &amp; TIME </t>
  </si>
  <si>
    <t xml:space="preserve"> PRIMARY BANK ACCOUNT NUMBER LINKED TO CARD </t>
  </si>
  <si>
    <t>This field specifies why the card was restricted or blocked
	Valid Values are : 
   1 - Restricted with Warning for SAMA;
   2 - Restricted with card blocking
   0 - Not Restricted for SAMA requirement.</t>
  </si>
  <si>
    <t xml:space="preserve">REQUEST  BRANCH CODE </t>
  </si>
  <si>
    <t xml:space="preserve"> REQUEST  USER IDENTIFIER </t>
  </si>
  <si>
    <t xml:space="preserve"> CARD FIRST USED DATE </t>
  </si>
  <si>
    <t xml:space="preserve"> CARD LAST USED DATE </t>
  </si>
  <si>
    <t xml:space="preserve"> CARD ISSUANCE SOURCE </t>
  </si>
  <si>
    <t xml:space="preserve"> CONVERSION STATUS FLAG </t>
  </si>
  <si>
    <t xml:space="preserve"> BANK 24 CARD TYPE </t>
  </si>
  <si>
    <t xml:space="preserve"> CARD REQUEST FROM CLOSURE </t>
  </si>
  <si>
    <t xml:space="preserve"> YEAR CHARGED FOR CARD FEES </t>
  </si>
  <si>
    <t xml:space="preserve"> PREVIOUS CARD EXPIRY YEAR </t>
  </si>
  <si>
    <t xml:space="preserve"> NEW PENSION CARD GENERATION STATUS </t>
  </si>
  <si>
    <t xml:space="preserve"> CARD VERIFICATION VALUE (CVV2) </t>
  </si>
  <si>
    <t xml:space="preserve"> PREVIOUS CHARGE DATE </t>
  </si>
  <si>
    <t xml:space="preserve"> CURRENT CHARGE DATE </t>
  </si>
  <si>
    <t xml:space="preserve"> CARD DELIVERY STATUS FLAG </t>
  </si>
  <si>
    <t xml:space="preserve"> CARD DELIVERY BRANCH CODE </t>
  </si>
  <si>
    <t xml:space="preserve"> CORPORATE CARD COMPANY NAME </t>
  </si>
  <si>
    <t xml:space="preserve"> EMPLOYEE NUMBER ASSOCIATED WITH CARD </t>
  </si>
  <si>
    <t xml:space="preserve"> CHEQUE TYPE </t>
  </si>
  <si>
    <t xml:space="preserve"> CHEQUE BOOKS REQUESTED </t>
  </si>
  <si>
    <t xml:space="preserve"> REQUEST DATE &amp; TIME </t>
  </si>
  <si>
    <t xml:space="preserve"> CHEQUE DELETE REQUEST STATUS </t>
  </si>
  <si>
    <t xml:space="preserve"> CHEQUE DELETION DATE &amp; TIME </t>
  </si>
  <si>
    <t xml:space="preserve"> DELETING USER ID </t>
  </si>
  <si>
    <t xml:space="preserve"> REASON FOR CHEQUE DELETION </t>
  </si>
  <si>
    <t xml:space="preserve"> NUMBER OF CHEQUE BOOKS REQUESTED </t>
  </si>
  <si>
    <t xml:space="preserve"> CHEQUE BOOK REQUEST STATUS </t>
  </si>
  <si>
    <t xml:space="preserve"> CHEQUE BOOK PRODUCTION DATE </t>
  </si>
  <si>
    <t xml:space="preserve"> USER ID OF CHEQUE BOOK PRODUCER </t>
  </si>
  <si>
    <t xml:space="preserve"> RECEIVED BY BRANCH DATE </t>
  </si>
  <si>
    <t xml:space="preserve"> ISSUED TO CUSTOMER DATE </t>
  </si>
  <si>
    <t xml:space="preserve"> USER ID OF CHEQUE BOOK ISSUANCE PROCESSOR </t>
  </si>
  <si>
    <t xml:space="preserve"> CHEQUE NUMBER RANGE (FROM) </t>
  </si>
  <si>
    <t xml:space="preserve"> CHEQUE NUMBER RANGE (TO) </t>
  </si>
  <si>
    <t xml:space="preserve"> CHEQUE REQUEST DATE </t>
  </si>
  <si>
    <t xml:space="preserve"> CHEQUE BOOK REJECTION DATE </t>
  </si>
  <si>
    <t xml:space="preserve"> USER ID OF REJECTOR </t>
  </si>
  <si>
    <t xml:space="preserve"> REASON FOR CHEQUE BOOK REJECTION </t>
  </si>
  <si>
    <t xml:space="preserve"> CHEQUE BOOK PRODUCTION TIME </t>
  </si>
  <si>
    <t xml:space="preserve"> RECEIVED BY BRANCH TIME </t>
  </si>
  <si>
    <t xml:space="preserve"> ISSUED TO CUSTOMER TIME </t>
  </si>
  <si>
    <t xml:space="preserve"> CHEQUE BOOK REJECTION TIME </t>
  </si>
  <si>
    <t xml:space="preserve"> DELIVERY BRANCH CODE </t>
  </si>
  <si>
    <t xml:space="preserve"> REFERENCE NUMBER </t>
  </si>
  <si>
    <t xml:space="preserve"> REFERENCE REQUIRED FOR </t>
  </si>
  <si>
    <t xml:space="preserve"> REFERENCE TYPE </t>
  </si>
  <si>
    <t xml:space="preserve"> ARABIC FIRST NAME </t>
  </si>
  <si>
    <t xml:space="preserve"> ARABIC SECOND NAME </t>
  </si>
  <si>
    <t xml:space="preserve"> ARABIC THIRD NAME </t>
  </si>
  <si>
    <t xml:space="preserve"> ARABIC LAST NAME </t>
  </si>
  <si>
    <t xml:space="preserve"> ARABIC SHORT NAME </t>
  </si>
  <si>
    <t xml:space="preserve"> ENGLISH FIRST NAME </t>
  </si>
  <si>
    <t xml:space="preserve"> ENGLISH SECOND NAME </t>
  </si>
  <si>
    <t xml:space="preserve"> ENGLISH THIRD NAME </t>
  </si>
  <si>
    <t xml:space="preserve"> ENGLISH LAST NAME </t>
  </si>
  <si>
    <t xml:space="preserve"> ENGLISH SHORT NAME </t>
  </si>
  <si>
    <t xml:space="preserve"> REFERENCE STATUS </t>
  </si>
  <si>
    <t xml:space="preserve"> REFERENCE DISABLE DATE </t>
  </si>
  <si>
    <t xml:space="preserve"> RECORD CHANGE STATUS </t>
  </si>
  <si>
    <t xml:space="preserve"> CUSTOMER OPEN SOURCE </t>
  </si>
  <si>
    <t xml:space="preserve"> REFERENCE ACTIVE STATUS </t>
  </si>
  <si>
    <t xml:space="preserve"> CREATION DATE &amp; TIME </t>
  </si>
  <si>
    <t xml:space="preserve"> RECORD TYPE </t>
  </si>
  <si>
    <t xml:space="preserve"> BRANCH NAME IN ARABIC </t>
  </si>
  <si>
    <t xml:space="preserve"> BRANCH NAME IN ENGLISH </t>
  </si>
  <si>
    <t xml:space="preserve"> BRANCH ADDRESS IN ARABIC </t>
  </si>
  <si>
    <t xml:space="preserve"> BRANCH ADDRESS IN ENGLISH </t>
  </si>
  <si>
    <t xml:space="preserve"> CITY CODE </t>
  </si>
  <si>
    <t xml:space="preserve"> WELCOME LETTER REGION CODE </t>
  </si>
  <si>
    <t xml:space="preserve"> LAST REFRESH DATE &amp; TIME </t>
  </si>
  <si>
    <t xml:space="preserve"> TELEPHONE AREA CODE </t>
  </si>
  <si>
    <t xml:space="preserve"> TELEPHONE NUMBER </t>
  </si>
  <si>
    <t xml:space="preserve"> TELEPHONE EXTENSION </t>
  </si>
  <si>
    <t xml:space="preserve"> BRANCH TYPE </t>
  </si>
  <si>
    <t xml:space="preserve"> MAIN BRANCH CODE </t>
  </si>
  <si>
    <t xml:space="preserve"> CARD PRODUCTION AT BRANCH </t>
  </si>
  <si>
    <t xml:space="preserve"> PIN SELECTION AT BRANCH </t>
  </si>
  <si>
    <t xml:space="preserve"> PIN PRINTING AT BRANCH </t>
  </si>
  <si>
    <t xml:space="preserve"> CARD REQUEST INITIATION AT BRANCH </t>
  </si>
  <si>
    <t xml:space="preserve"> UPDATE RESTRICTION STATUS </t>
  </si>
  <si>
    <t xml:space="preserve"> MAIN BRANCH EDIT PERMISSION </t>
  </si>
  <si>
    <t xml:space="preserve"> TPIN SELECTION AT BRANCH </t>
  </si>
  <si>
    <t xml:space="preserve"> DORMANT ACCOUNT ACTIVATION FLAG </t>
  </si>
  <si>
    <t xml:space="preserve"> TPIN MANDATORY STATUS AT BRANCH </t>
  </si>
  <si>
    <t xml:space="preserve"> NAME SEARCH PERMISSION </t>
  </si>
  <si>
    <t xml:space="preserve"> STANDARD ORDER REQUEST PERMISSION </t>
  </si>
  <si>
    <t xml:space="preserve"> CUSTOMER NAME UPDATE PERMISSION </t>
  </si>
  <si>
    <t xml:space="preserve"> ADDRESS UNIFICATION FLAG </t>
  </si>
  <si>
    <t xml:space="preserve"> BALANCE ENQUIRY RESTRICTION FLAG </t>
  </si>
  <si>
    <t xml:space="preserve"> DISPLAY WARNING STATUS </t>
  </si>
  <si>
    <t xml:space="preserve"> CHIP CARD ENABLEMENT STATUS </t>
  </si>
  <si>
    <t xml:space="preserve"> NEW PENSION CARD FLAG </t>
  </si>
  <si>
    <t xml:space="preserve"> MAIL CENTER BRANCH STATUS </t>
  </si>
  <si>
    <t xml:space="preserve"> MANDATE BRANCH STATUS </t>
  </si>
  <si>
    <t xml:space="preserve"> CALL CENTER BRANCH STATUS </t>
  </si>
  <si>
    <t xml:space="preserve"> INTERNAL CUSTOMER OPENING PERMISSION </t>
  </si>
  <si>
    <t xml:space="preserve"> BRANCH CATEGORY </t>
  </si>
  <si>
    <t xml:space="preserve"> ISLAMIC BRANCH STATUS </t>
  </si>
  <si>
    <t xml:space="preserve"> LOCAL CHIP CARD ENABLEMENT </t>
  </si>
  <si>
    <t xml:space="preserve"> GENERAL CUSTOMER OPENING PERMISSION </t>
  </si>
  <si>
    <t xml:space="preserve"> PENSION CUSTOMER OPENING PERMISSION </t>
  </si>
  <si>
    <t xml:space="preserve"> FEE EXCLUSION UPDATE PERMISSION </t>
  </si>
  <si>
    <t xml:space="preserve"> GENERAL SAMA UPDATE PERMISSION </t>
  </si>
  <si>
    <t xml:space="preserve"> SWIFT CENTER BRANCH STATUS </t>
  </si>
  <si>
    <t xml:space="preserve"> SWIFT TRANSFER CENTRALIZATION STATUS </t>
  </si>
  <si>
    <t xml:space="preserve"> PAYROLL PROCESSING BRANCH STATUS </t>
  </si>
  <si>
    <t xml:space="preserve"> ACCOUNT FREEZING PERIOD </t>
  </si>
  <si>
    <t xml:space="preserve"> ACCOUNT OPENING CARD PRINT PERMISSION </t>
  </si>
  <si>
    <t xml:space="preserve"> BILLER IDENTIFIER </t>
  </si>
  <si>
    <t xml:space="preserve"> BILLER NAME IN ARABIC </t>
  </si>
  <si>
    <t xml:space="preserve"> BILLER NAME IN ENGLISH </t>
  </si>
  <si>
    <t xml:space="preserve"> TRANSACTION TYPE </t>
  </si>
  <si>
    <t xml:space="preserve"> CONTRA ACCOUNT NUMBER </t>
  </si>
  <si>
    <t xml:space="preserve"> CHECK DIGIT VALIDATION OPTION </t>
  </si>
  <si>
    <t xml:space="preserve"> PREPAYMENT ALLOWED STATUS </t>
  </si>
  <si>
    <t xml:space="preserve"> ALLOWED PREPAYMENT TYPES </t>
  </si>
  <si>
    <t xml:space="preserve"> ALLOWED POSTPAYMENT TYPES </t>
  </si>
  <si>
    <t xml:space="preserve"> BILLER DESCRIPTION IN ARABIC </t>
  </si>
  <si>
    <t xml:space="preserve"> BILLER DESCRIPTION IN ENGLISH </t>
  </si>
  <si>
    <t xml:space="preserve"> CASH ACCOUNT NUMBER </t>
  </si>
  <si>
    <t xml:space="preserve"> SERVICE TYPE </t>
  </si>
  <si>
    <t xml:space="preserve"> BILLER DISABLE STATUS FLAG </t>
  </si>
  <si>
    <t xml:space="preserve"> TRANSACTION REVERSAL ALLOWED STATUS </t>
  </si>
  <si>
    <t xml:space="preserve"> BANK CODE </t>
  </si>
  <si>
    <t xml:space="preserve"> BANK NAME IN ARABIC </t>
  </si>
  <si>
    <t xml:space="preserve"> BANK NAME IN ENGLISH </t>
  </si>
  <si>
    <t xml:space="preserve"> BANK ADDRESS IN ARABIC </t>
  </si>
  <si>
    <t xml:space="preserve"> BANK ADDRESS IN ENGLISH </t>
  </si>
  <si>
    <t xml:space="preserve"> CVR BANK CODE </t>
  </si>
  <si>
    <t xml:space="preserve"> SAMA MAIN CATEGORY </t>
  </si>
  <si>
    <t xml:space="preserve"> SAMA SUB CATEGORY </t>
  </si>
  <si>
    <t xml:space="preserve"> SHORT DESCRIPTION IN ARABIC </t>
  </si>
  <si>
    <t xml:space="preserve"> SHORT DESCRIPTION IN ENGLISH </t>
  </si>
  <si>
    <t xml:space="preserve"> COMMERCIAL LICENSE REQUIREMENT </t>
  </si>
  <si>
    <t xml:space="preserve"> ACCOUNT STATUS FOR FREEZE </t>
  </si>
  <si>
    <t xml:space="preserve"> ACCOUNT FREEZING GRACE PERIOD </t>
  </si>
  <si>
    <t xml:space="preserve"> FUND MOVEMENT MONITORING PERIOD </t>
  </si>
  <si>
    <t xml:space="preserve"> FUND MOVEMENT VALIDATION FLAG </t>
  </si>
  <si>
    <t xml:space="preserve"> FUND MOVEMENT APPLICABILITY FLAG </t>
  </si>
  <si>
    <t xml:space="preserve"> OWNER ID FOR EXPIRY REPORTING </t>
  </si>
  <si>
    <t xml:space="preserve"> SAMA APPROVAL REQUIRED </t>
  </si>
  <si>
    <t xml:space="preserve"> NONSAUDI SIGNATORY PERMISSION </t>
  </si>
  <si>
    <t xml:space="preserve"> MANDATORY LICENSE NUMBER REQUIREMENT </t>
  </si>
  <si>
    <t xml:space="preserve"> RESIDENT OPERATORS RESTRICTION </t>
  </si>
  <si>
    <t xml:space="preserve"> ACCOUNT OPENING PERMISSION </t>
  </si>
  <si>
    <t xml:space="preserve"> CHEQUE BOOK ISSUANCE PERMISSION </t>
  </si>
  <si>
    <t xml:space="preserve"> SECOND GRACE PERIOD APPLICABILITY </t>
  </si>
  <si>
    <t xml:space="preserve"> ACTION REQUIRED ON ID EXPIRY </t>
  </si>
  <si>
    <t xml:space="preserve"> ATM CARD ISSUANCE PERMISSION </t>
  </si>
  <si>
    <t xml:space="preserve"> COMPLIANCE REPORTING REQUIRED </t>
  </si>
  <si>
    <t xml:space="preserve"> CUSTOMER UPDATE ACTION NOT REQUIRED </t>
  </si>
  <si>
    <t xml:space="preserve"> NUMBER OF YEARS ELAPSED </t>
  </si>
  <si>
    <t xml:space="preserve"> CITY NAME IN ARABIC </t>
  </si>
  <si>
    <t xml:space="preserve"> CITY NAME IN ENGLISH </t>
  </si>
  <si>
    <t xml:space="preserve"> IDENTIFICATION ISSUANCE LOCATION </t>
  </si>
  <si>
    <t xml:space="preserve"> COMMERCIAL REGISTRATION ISSUANCE LOCATION </t>
  </si>
  <si>
    <t xml:space="preserve"> SAMA MAIN DOCUMENT CATEGORY </t>
  </si>
  <si>
    <t xml:space="preserve"> SAMA SUB DOCUMENT CATEGORY </t>
  </si>
  <si>
    <t xml:space="preserve"> EDUCATION CODE </t>
  </si>
  <si>
    <t xml:space="preserve"> LEDGER CODE </t>
  </si>
  <si>
    <t xml:space="preserve"> LEDGER NAME IN ARABIC </t>
  </si>
  <si>
    <t xml:space="preserve"> LEDGER NAME IN ENGLISH </t>
  </si>
  <si>
    <t xml:space="preserve"> ACCOUNT CREATION PERMISSION </t>
  </si>
  <si>
    <t xml:space="preserve"> SAMA BLOCKING ACCOUNT STATUS </t>
  </si>
  <si>
    <t xml:space="preserve"> OBLIGATION MEMO STATUS </t>
  </si>
  <si>
    <t xml:space="preserve"> FIXED DEPOSIT INTEREST RATE TOLERANCE </t>
  </si>
  <si>
    <t xml:space="preserve"> MINIMUM DEPOSIT AMOUNT </t>
  </si>
  <si>
    <t xml:space="preserve"> MAXIMUM DEPOSIT PERIOD </t>
  </si>
  <si>
    <t xml:space="preserve"> ATM CARD ISSUANCE STATUS </t>
  </si>
  <si>
    <t xml:space="preserve"> FIXED DEPOSIT VALUE DATE TOLERANCE </t>
  </si>
  <si>
    <t xml:space="preserve"> TIME DEPOSIT RENEWAL PERMISSION </t>
  </si>
  <si>
    <t xml:space="preserve"> IGNORE MEMO FOR BRANCH UPDATE STATUS </t>
  </si>
  <si>
    <t xml:space="preserve"> CHEQUE BOOK REQUEST PERMISSION </t>
  </si>
  <si>
    <t xml:space="preserve"> CHEQUE BOOK CODE </t>
  </si>
  <si>
    <t xml:space="preserve"> TERM DEPOSIT DEBIT MEMO REQUIREMENT </t>
  </si>
  <si>
    <t>tdDepositMemo</t>
  </si>
  <si>
    <t xml:space="preserve"> TERM DEPOSIT MEMO REQUIREMENT </t>
  </si>
  <si>
    <t xml:space="preserve">This field specifies whether cheque books can be requested under this ledger type.
Valid Values are :
 0 - No
 1 - Yes  </t>
  </si>
  <si>
    <t xml:space="preserve"> COUNTRY CODE </t>
  </si>
  <si>
    <t xml:space="preserve"> COUNTRY NAME IN ARABIC </t>
  </si>
  <si>
    <t xml:space="preserve"> COUNTRY NAME IN ENGLISH </t>
  </si>
  <si>
    <t xml:space="preserve"> ISO COUNTRY CODE </t>
  </si>
  <si>
    <t xml:space="preserve"> GCC COUNTRY STATUS </t>
  </si>
  <si>
    <t xml:space="preserve"> PACKAGE ACCOUNT CODE </t>
  </si>
  <si>
    <t xml:space="preserve"> PACKAGE NAME IN ARABIC </t>
  </si>
  <si>
    <t xml:space="preserve"> PACKAGE NAME IN ENGLISH </t>
  </si>
  <si>
    <t xml:space="preserve"> SHORT PACKAGE NAME IN ARABIC </t>
  </si>
  <si>
    <t xml:space="preserve"> SHORT PACKAGE NAME IN ENGLISH </t>
  </si>
  <si>
    <t xml:space="preserve"> SPECIAL CHEQUE BOOK REQUIRED STATUS </t>
  </si>
  <si>
    <t xml:space="preserve"> SPECIAL ATM CARD REQUIRED STATUS </t>
  </si>
  <si>
    <t xml:space="preserve"> PIN MAILER HEADING DESCRIPTION </t>
  </si>
  <si>
    <t xml:space="preserve"> ACCOUNT STATEMENT FREQUENCY </t>
  </si>
  <si>
    <t xml:space="preserve"> POSITION CODE </t>
  </si>
  <si>
    <t xml:space="preserve"> PROFESSION CODE </t>
  </si>
  <si>
    <t xml:space="preserve"> RANGE NUMBER </t>
  </si>
  <si>
    <t xml:space="preserve"> STARTING NUMBER </t>
  </si>
  <si>
    <t xml:space="preserve"> ENDING NUMBER </t>
  </si>
  <si>
    <t xml:space="preserve"> CURRENT NUMBER </t>
  </si>
  <si>
    <t xml:space="preserve">LAST UPDATE DATE &amp; TIME </t>
  </si>
  <si>
    <t xml:space="preserve"> SYSTEM CODE </t>
  </si>
  <si>
    <t xml:space="preserve"> AGE WHEN MINOR BECOMES MAJOR </t>
  </si>
  <si>
    <t xml:space="preserve"> Specifies the legal age at which a minor is recognized as an adult in financial transactions.</t>
  </si>
  <si>
    <t xml:space="preserve"> ACCOUNT FREEZING YEAR FOR SPECIAL CHILD </t>
  </si>
  <si>
    <t xml:space="preserve"> Defines the number of years before freezing accounts related to special child classifications.</t>
  </si>
  <si>
    <t xml:space="preserve"> END OF SAFAR DATE </t>
  </si>
  <si>
    <t xml:space="preserve"> Tracks the designated date marking the end of the Safar financial period or regulatory cycle.</t>
  </si>
  <si>
    <t xml:space="preserve"> NUMBER OF DAYS FOR INACTIVITY </t>
  </si>
  <si>
    <t xml:space="preserve"> Specifies the timeframe before an account is marked inactive due to lack of transactions.</t>
  </si>
  <si>
    <t xml:space="preserve"> NUMBER OF DAYS FOR DORMANCY </t>
  </si>
  <si>
    <t xml:space="preserve"> Tracks the duration before an account transitions from inactive to dormant status.</t>
  </si>
  <si>
    <t xml:space="preserve"> NUMBER OF MONTHS FOR UNCLAIMED ACCOUNTS </t>
  </si>
  <si>
    <t xml:space="preserve"> Maintains the duration before an account is classified as unclaimed.</t>
  </si>
  <si>
    <t xml:space="preserve"> SUPERVISOR ROLE CODE </t>
  </si>
  <si>
    <t xml:space="preserve"> Holds the identifier for the designated supervisor responsible for overseeing the system configuration.</t>
  </si>
  <si>
    <t xml:space="preserve"> UNCLAIMED ACCOUNT FOR FUND MOVEMENT BASED ON ID </t>
  </si>
  <si>
    <t xml:space="preserve"> Specifies the account number used for handling funds from unclaimed accounts associated with an ID.</t>
  </si>
  <si>
    <t xml:space="preserve"> ACCOUNT NUMBER FOR MOVING FUNDS FROM UNCLAIMED ACCOUNTS </t>
  </si>
  <si>
    <t xml:space="preserve"> Identifies the target account for transferring funds from unclaimed accounts.</t>
  </si>
  <si>
    <t xml:space="preserve"> FUND MOVEMENT SEQUENCE NUMBER </t>
  </si>
  <si>
    <t xml:space="preserve"> Maintains the sequence identifier for tracking fund movements in compliance with regulations.</t>
  </si>
  <si>
    <t xml:space="preserve"> LAST BACKEND PROCESS DATE </t>
  </si>
  <si>
    <t xml:space="preserve"> Stores the most recent date when backend processing actions were executed for system configuration.</t>
  </si>
  <si>
    <t xml:space="preserve"> STARTING GROUP HEAD CUSTOMER NUMBER </t>
  </si>
  <si>
    <t xml:space="preserve"> Holds the initial customer number for Group Head Accounts within the system.</t>
  </si>
  <si>
    <t xml:space="preserve"> ENDING GROUP HEAD CUSTOMER NUMBER </t>
  </si>
  <si>
    <t xml:space="preserve"> Maintains the final customer number for Group Head Accounts within the system.</t>
  </si>
  <si>
    <t xml:space="preserve"> STARTING PENSION CUSTOMER NUMBER </t>
  </si>
  <si>
    <t xml:space="preserve"> Stores the first customer number assigned to pension</t>
  </si>
  <si>
    <t xml:space="preserve"> ENDING PENSION CUSTOMER NUMBER </t>
  </si>
  <si>
    <t xml:space="preserve"> Records the last customer number allocated to pension</t>
  </si>
  <si>
    <t xml:space="preserve"> STARTING ONLINE CUSTOMER NUMBER </t>
  </si>
  <si>
    <t xml:space="preserve"> Tracks the initial customer number for online banking accounts.</t>
  </si>
  <si>
    <t xml:space="preserve"> ENDING ONLINE CUSTOMER NUMBER </t>
  </si>
  <si>
    <t xml:space="preserve"> Stores the final customer number for online banking accounts.</t>
  </si>
  <si>
    <t xml:space="preserve"> CURRENT ONLINE CUSTOMER NUMBER </t>
  </si>
  <si>
    <t xml:space="preserve"> Identifies the latest customer number registered within the online banking system.</t>
  </si>
  <si>
    <t xml:space="preserve"> CUSTOMER ACTION PERIOD </t>
  </si>
  <si>
    <t xml:space="preserve"> Defines the regulatory timeframe during which customers must take action on their accounts to remain active.</t>
  </si>
  <si>
    <t xml:space="preserve"> STANDARD ORDER TRANSACTION LIMIT </t>
  </si>
  <si>
    <t xml:space="preserve"> Specifies the transaction limit for standard orders processed under system regulations.</t>
  </si>
  <si>
    <t xml:space="preserve"> Stores the identifier of the user who last modified the system configuration details.</t>
  </si>
  <si>
    <t xml:space="preserve"> Maintains the timestamp of the most recent update made to the system configuration record.</t>
  </si>
  <si>
    <t>samaSubCategoryCode</t>
  </si>
  <si>
    <t xml:space="preserve"> SAMA SUBCATEGORY CODE </t>
  </si>
  <si>
    <t xml:space="preserve"> SUBCATEGORY NAME IN ARABIC </t>
  </si>
  <si>
    <t xml:space="preserve"> SUBCATEGORY NAME IN ENGLISH </t>
  </si>
  <si>
    <t xml:space="preserve"> Stores the identifier of the user who last modified the SAMA subcategory details.</t>
  </si>
  <si>
    <t xml:space="preserve"> Tracks the timestamp of the most recent modification made to the SAMA subcategory record.</t>
  </si>
  <si>
    <t xml:space="preserve"> Provides a brief description of the system configuration settings in Arabic for localization.</t>
  </si>
  <si>
    <t xml:space="preserve"> USER ACCOUNT BLOCKING DAYS </t>
  </si>
  <si>
    <t xml:space="preserve"> Specifies the number of days before a user account is blocked due to inactivity or security reasons.</t>
  </si>
  <si>
    <t xml:space="preserve"> ENABLE SADAD PROFILE STATUS </t>
  </si>
  <si>
    <t xml:space="preserve"> Indicates whether the SADAD payment profile is activated for system transactions. 1=&gt;Yes ; 0=&gt;No </t>
  </si>
  <si>
    <t xml:space="preserve"> MAXIMUM AGE LIMIT </t>
  </si>
  <si>
    <t xml:space="preserve"> Defines the upper age limit applied for certain system functionalities or customer eligibility.</t>
  </si>
  <si>
    <t xml:space="preserve"> Stores the identifier of the user who last modified the system server configuration details.</t>
  </si>
  <si>
    <t xml:space="preserve"> Tracks the timestamp of the most recent modification made to the system server configuration record.</t>
  </si>
  <si>
    <t xml:space="preserve"> TITLE CODE </t>
  </si>
  <si>
    <t xml:space="preserve"> Stores the unique identifier assigned to a specific title or designation (e.g., Mr., Mrs., Dr.).</t>
  </si>
  <si>
    <t xml:space="preserve"> TITLE NAME IN ARABIC </t>
  </si>
  <si>
    <t xml:space="preserve"> TITLE NAME IN ENGLISH </t>
  </si>
  <si>
    <t xml:space="preserve"> Stores the identifier of the user who last modified the title code details.</t>
  </si>
  <si>
    <t xml:space="preserve"> CURRENCY CODE </t>
  </si>
  <si>
    <t xml:space="preserve"> CURRENCY NAME IN ARABIC </t>
  </si>
  <si>
    <t xml:space="preserve"> CURRENCY NAME IN ENGLISH </t>
  </si>
  <si>
    <t xml:space="preserve"> ISO CURRENCY CODE </t>
  </si>
  <si>
    <t xml:space="preserve"> Stores the internationally recognized ISO 4217 code for the currency (e.g., USD for US Dollar, SAR for Saudi Riyal).</t>
  </si>
  <si>
    <t xml:space="preserve"> DECIMAL PLACES USED </t>
  </si>
  <si>
    <t xml:space="preserve"> Specifies the number of decimal places used for currency precision in foreign exchange transactions.</t>
  </si>
  <si>
    <t xml:space="preserve"> SHORT CURRENCY CODE IN ARABIC </t>
  </si>
  <si>
    <t xml:space="preserve"> Maintains the abbreviated version of the currency name in Arabic for documentation purposes.</t>
  </si>
  <si>
    <t xml:space="preserve"> FOREIGN EXCHANGE RATE TOLERANCE </t>
  </si>
  <si>
    <t xml:space="preserve"> Defines the acceptable fluctuation range allowed in foreign exchange rate calculations.</t>
  </si>
  <si>
    <t xml:space="preserve"> Tracks the timestamp of the most recent modification made to the foreign exchange record.</t>
  </si>
  <si>
    <t xml:space="preserve"> This field maintains the branch code associated with the customer’s account.</t>
  </si>
  <si>
    <t xml:space="preserve"> ISSUING AUTHORITY </t>
  </si>
  <si>
    <t xml:space="preserve"> IDENTIFICATION DATE TYPE </t>
  </si>
  <si>
    <t xml:space="preserve"> ISSUE DATE (HIJRI) </t>
  </si>
  <si>
    <t xml:space="preserve"> ISSUE DATE (GREGORIAN) </t>
  </si>
  <si>
    <t xml:space="preserve"> EXPIRY DATE (HIJRI) </t>
  </si>
  <si>
    <t xml:space="preserve"> EXPIRY DATE (GREGORIAN) </t>
  </si>
  <si>
    <t xml:space="preserve"> PREFERRED LANGUAGE </t>
  </si>
  <si>
    <t xml:space="preserve"> NATIONALITY </t>
  </si>
  <si>
    <t xml:space="preserve"> APPROVAL REFERENCE NUMBER </t>
  </si>
  <si>
    <t xml:space="preserve"> DATE OF BIRTH FORMAT </t>
  </si>
  <si>
    <t xml:space="preserve"> DATE OF BIRTH (HIJRI) </t>
  </si>
  <si>
    <t xml:space="preserve"> DATE OF BIRTH (GREGORIAN) </t>
  </si>
  <si>
    <t xml:space="preserve"> GENDER CODE </t>
  </si>
  <si>
    <t xml:space="preserve"> VIP CODE </t>
  </si>
  <si>
    <t xml:space="preserve"> MARITAL STATUS </t>
  </si>
  <si>
    <t xml:space="preserve"> NUMBER OF DEPENDENTS </t>
  </si>
  <si>
    <t xml:space="preserve"> RESIDENT STATUS </t>
  </si>
  <si>
    <t xml:space="preserve"> BUSINESS TYPE </t>
  </si>
  <si>
    <t xml:space="preserve"> COMMERCIAL REGISTRATION NUMBER </t>
  </si>
  <si>
    <t xml:space="preserve"> COMMERCIAL REGISTRATION ISSUED AT </t>
  </si>
  <si>
    <t xml:space="preserve"> COMMERCIAL REGISTRATION DATE FORMAT </t>
  </si>
  <si>
    <t xml:space="preserve"> COMMERCIAL REGISTRATION ISSUE DATE (HIJRI) </t>
  </si>
  <si>
    <t xml:space="preserve"> COMMERCIAL REGISTRATION ISSUE DATE (GREGORIAN) </t>
  </si>
  <si>
    <t xml:space="preserve"> ARABIC ORGANIZATION NAME 1 </t>
  </si>
  <si>
    <t xml:space="preserve"> ARABIC ORGANIZATION NAME 2 </t>
  </si>
  <si>
    <t xml:space="preserve"> ARABIC ORGANIZATION SHORT NAME </t>
  </si>
  <si>
    <t xml:space="preserve"> ENGLISH ORGANIZATION NAME 1 </t>
  </si>
  <si>
    <t xml:space="preserve"> ENGLISH ORGANIZATION NAME 2 </t>
  </si>
  <si>
    <t xml:space="preserve"> ENGLISH ORGANIZATION SHORT NAME </t>
  </si>
  <si>
    <t xml:space="preserve"> PRIMARY ADDRESS </t>
  </si>
  <si>
    <t xml:space="preserve"> SECONDARY ADDRESS </t>
  </si>
  <si>
    <t xml:space="preserve"> MONTHLY INCOME </t>
  </si>
  <si>
    <t xml:space="preserve"> OWNERSHIP STATUS </t>
  </si>
  <si>
    <t xml:space="preserve"> CUSTOMER SEGMENTATION </t>
  </si>
  <si>
    <t xml:space="preserve"> EMPLOYER NAME </t>
  </si>
  <si>
    <t xml:space="preserve"> DEPARTMENT NAME </t>
  </si>
  <si>
    <t xml:space="preserve"> EMPLOYER P.O. BOX </t>
  </si>
  <si>
    <t xml:space="preserve"> EMPLOYER CITY </t>
  </si>
  <si>
    <t xml:space="preserve"> EMPLOYER ZIP CODE </t>
  </si>
  <si>
    <t xml:space="preserve"> DOCUMENTS PROVIDED </t>
  </si>
  <si>
    <t xml:space="preserve"> ADDITIONAL DOCUMENTS </t>
  </si>
  <si>
    <t xml:space="preserve"> ACCOUNT TYPE (SINGLE OR JOINT) </t>
  </si>
  <si>
    <t xml:space="preserve"> PACKAGE ACCOUNT TYPE </t>
  </si>
  <si>
    <t xml:space="preserve"> NUMBER OF JOINT ACCOUNT HOLDERS </t>
  </si>
  <si>
    <t xml:space="preserve"> JOINT ACCOUNT NAME ON CHECKBOOK </t>
  </si>
  <si>
    <t xml:space="preserve"> JOINT ACCOUNT NAME ON REPORTS </t>
  </si>
  <si>
    <t xml:space="preserve"> NATURE OF SIGNATURE </t>
  </si>
  <si>
    <t xml:space="preserve"> ELECTRON CARD REQUIREMENT </t>
  </si>
  <si>
    <t xml:space="preserve"> ELECTRON CARD NAME </t>
  </si>
  <si>
    <t xml:space="preserve"> SUPPLEMENTARY ELECTRON CARD REQUIRED </t>
  </si>
  <si>
    <t xml:space="preserve"> SUPPLEMENTARY ELECTRON CARD NAME </t>
  </si>
  <si>
    <t xml:space="preserve"> INTERNATIONAL ELECTRON CARD REQUIRED </t>
  </si>
  <si>
    <t xml:space="preserve"> INTERNATIONAL ELECTRON CARD NAME </t>
  </si>
  <si>
    <t xml:space="preserve"> SUPPLEMENTARY INTERNATIONAL ELECTRON CARD REQUIRED </t>
  </si>
  <si>
    <t xml:space="preserve"> SUPPLEMENTARY INTERNATIONAL ELECTRON CARD NAME </t>
  </si>
  <si>
    <t xml:space="preserve"> CARD DELIVERY LOCATION </t>
  </si>
  <si>
    <t xml:space="preserve"> PRIMARY DELIVERY ADDRESS </t>
  </si>
  <si>
    <t xml:space="preserve"> SECONDARY DELIVERY ADDRESS </t>
  </si>
  <si>
    <t xml:space="preserve"> DELIVERY P.O. BOX </t>
  </si>
  <si>
    <t xml:space="preserve"> DELIVERY CITY NAME </t>
  </si>
  <si>
    <t xml:space="preserve"> DELIVERY ZIP CODE </t>
  </si>
  <si>
    <t xml:space="preserve"> FOUND IN LIST A </t>
  </si>
  <si>
    <t xml:space="preserve"> FOUND IN LIST B </t>
  </si>
  <si>
    <t xml:space="preserve"> FOUND IN LIST C </t>
  </si>
  <si>
    <t xml:space="preserve"> EXISTING CUSTOMER STATUS </t>
  </si>
  <si>
    <t xml:space="preserve"> CUSTOMER NAME CHANGE STATUS </t>
  </si>
  <si>
    <t xml:space="preserve"> CUSTOMER ADDRESS CHANGE STATUS </t>
  </si>
  <si>
    <t xml:space="preserve"> CARD ADDRESS UPDATE REQUIRED </t>
  </si>
  <si>
    <t xml:space="preserve"> INTERNET BANKING ACCOUNT STATUS </t>
  </si>
  <si>
    <t xml:space="preserve"> CUSTOMER ADVICE REQUIRED FLAG </t>
  </si>
  <si>
    <t xml:space="preserve"> ALTERNATE BRANCH CODE </t>
  </si>
  <si>
    <t xml:space="preserve"> ORGANIZATION ALPHABETICAL SEARCH CODE </t>
  </si>
  <si>
    <t xml:space="preserve"> UPDATED FOR SAMA COMPLIANCE </t>
  </si>
  <si>
    <t xml:space="preserve"> RELATIONSHIP MANAGER ASSIGNMENT </t>
  </si>
  <si>
    <t xml:space="preserve"> GENERAL MEMO RECORD </t>
  </si>
  <si>
    <t xml:space="preserve"> PASSPORT NUMBER </t>
  </si>
  <si>
    <t xml:space="preserve"> HAFIZA NUMBER </t>
  </si>
  <si>
    <t xml:space="preserve"> FAMILY REGISTRATION NUMBER </t>
  </si>
  <si>
    <t xml:space="preserve"> LICENSE NUMBER </t>
  </si>
  <si>
    <t xml:space="preserve"> SAMA AUTHORIZATION NUMBER </t>
  </si>
  <si>
    <t xml:space="preserve"> DIPLOMATIC CARD NUMBER </t>
  </si>
  <si>
    <t xml:space="preserve"> VISA NUMBER </t>
  </si>
  <si>
    <t xml:space="preserve"> CONTRACT NUMBER </t>
  </si>
  <si>
    <t xml:space="preserve"> HOME COUNTRY IDENTIFICATION NUMBER </t>
  </si>
  <si>
    <t xml:space="preserve"> CERTIFICATE OF BIRTH NUMBER </t>
  </si>
  <si>
    <t xml:space="preserve">INTER GROUP ACCOUNT NUMBER </t>
  </si>
  <si>
    <t xml:space="preserve"> SPECIAL REFERENCE NUMBER </t>
  </si>
  <si>
    <t xml:space="preserve"> ACCOUNT PURPOSE </t>
  </si>
  <si>
    <t xml:space="preserve"> GOVERNMENT SHAREHOLDING PERCENTAGE </t>
  </si>
  <si>
    <t xml:space="preserve"> SAUDI SHAREHOLDING PERCENTAGE </t>
  </si>
  <si>
    <t xml:space="preserve"> FOREIGN SHAREHOLDING PERCENTAGE </t>
  </si>
  <si>
    <t xml:space="preserve"> DOCUMENTS PROVIDED STATUS </t>
  </si>
  <si>
    <t xml:space="preserve"> OVERRIDE FOR CLIST MATCH </t>
  </si>
  <si>
    <t xml:space="preserve"> OVERRIDE FOR NON SAUDI RULES </t>
  </si>
  <si>
    <t xml:space="preserve"> OVERRIDE FOR LACK OF SAMA AUTHORIZATION </t>
  </si>
  <si>
    <t xml:space="preserve"> OVERRIDE FOR EXISTING CUSTOMER </t>
  </si>
  <si>
    <t xml:space="preserve"> MINOR OR MAJOR STATUS </t>
  </si>
  <si>
    <t xml:space="preserve"> SPECIAL CASE STATUS FOR CHILD </t>
  </si>
  <si>
    <t xml:space="preserve"> EXPIRY ACTION NOT REQUIRED </t>
  </si>
  <si>
    <t xml:space="preserve"> REFERENCE REQUIREMENTS </t>
  </si>
  <si>
    <t xml:space="preserve"> QUICK SCREEN CREATION STATUS </t>
  </si>
  <si>
    <t xml:space="preserve"> CARD TYPE ISSUED </t>
  </si>
  <si>
    <t xml:space="preserve"> MARKETING MEMO RECORD </t>
  </si>
  <si>
    <t xml:space="preserve"> CUSTOMER OPENING SOURCE </t>
  </si>
  <si>
    <t xml:space="preserve"> EXCLUSION FROM ATM FEES </t>
  </si>
  <si>
    <t xml:space="preserve"> EXCLUSION FROM MINIMUM BALANCE FEES </t>
  </si>
  <si>
    <t xml:space="preserve"> SUCCESSION DEED NUMBER </t>
  </si>
  <si>
    <t xml:space="preserve"> PACKAGE STATEMENT FREQUENCY OVERRIDE </t>
  </si>
  <si>
    <t xml:space="preserve"> STATEMENT DELIVERY METHOD </t>
  </si>
  <si>
    <t xml:space="preserve"> IDENTIFICATION CATEGORY </t>
  </si>
  <si>
    <t xml:space="preserve"> FIRST GRACE PERIOD ACTION </t>
  </si>
  <si>
    <t xml:space="preserve"> FIRST GRACE PERIOD ACTION DATE </t>
  </si>
  <si>
    <t xml:space="preserve"> SECOND GRACE PERIOD ACTION </t>
  </si>
  <si>
    <t xml:space="preserve"> SECOND GRACE PERIOD ACTION DATE </t>
  </si>
  <si>
    <t xml:space="preserve"> IDENTIFICATION REFERENCE NUMBER </t>
  </si>
  <si>
    <t xml:space="preserve"> IDENTIFICATION REFERENCE NAME </t>
  </si>
  <si>
    <t xml:space="preserve"> IQAMA TYPE </t>
  </si>
  <si>
    <t xml:space="preserve"> INTERNET BANKING ACCESS STATUS </t>
  </si>
  <si>
    <t xml:space="preserve"> Indicates whether the customer has internet banking enabled.</t>
  </si>
  <si>
    <t xml:space="preserve"> CUSTOMER ADVISORY FLAG </t>
  </si>
  <si>
    <t xml:space="preserve"> Defines whether advisory notifications should be sent to the customer.</t>
  </si>
  <si>
    <t xml:space="preserve"> Stores the alternate branch code associated with the customer's account.</t>
  </si>
  <si>
    <t xml:space="preserve"> ORGANIZATION ALPHA SEARCH CODE </t>
  </si>
  <si>
    <t xml:space="preserve"> Maintains the alphanumeric search code for the customer's organization details.</t>
  </si>
  <si>
    <t xml:space="preserve"> UPDATED FOR SAMA REGULATIONS </t>
  </si>
  <si>
    <t xml:space="preserve"> Specifies whether the customer's data has been updated per SAMA (Saudi Arabian Monetary Authority) regulations.</t>
  </si>
  <si>
    <t xml:space="preserve"> RELATIONSHIP MANAGER CODE </t>
  </si>
  <si>
    <t xml:space="preserve"> Stores the code identifying the relationship manager assigned to the customer.</t>
  </si>
  <si>
    <t xml:space="preserve"> GENERAL MEMO </t>
  </si>
  <si>
    <t xml:space="preserve"> Tracks general notes or remarks related to the customer.</t>
  </si>
  <si>
    <t xml:space="preserve"> Defines the main classification under SAMA regulations.</t>
  </si>
  <si>
    <t xml:space="preserve"> SAMA SUB CATEGORY</t>
  </si>
  <si>
    <t xml:space="preserve">  Defines the sub classification under SAMA regulations.</t>
  </si>
  <si>
    <t xml:space="preserve"> Stores the customer's passport number, if applicable.</t>
  </si>
  <si>
    <t xml:space="preserve"> Tracks the customer's Hafiza number for local regulatory purposes.</t>
  </si>
  <si>
    <t xml:space="preserve"> Records the family registration number associated with the customer.</t>
  </si>
  <si>
    <t xml:space="preserve"> Holds the authorization number assigned by SAMA regulations.</t>
  </si>
  <si>
    <t xml:space="preserve"> Tracks the diplomatic identification card number, if applicable.</t>
  </si>
  <si>
    <t xml:space="preserve"> Records the customer's visa details for reference.</t>
  </si>
  <si>
    <t xml:space="preserve"> Stores the unique contract number associated with the customer.</t>
  </si>
  <si>
    <t xml:space="preserve"> HOME COUNTRY IDENTIFIER </t>
  </si>
  <si>
    <t xml:space="preserve"> Maintains the identifier representing the customer's country of origin.</t>
  </si>
  <si>
    <t xml:space="preserve"> Tracks the customer's birth certificate number.</t>
  </si>
  <si>
    <t xml:space="preserve"> INTER GROUP ACCOUNT NUMBER </t>
  </si>
  <si>
    <t xml:space="preserve"> Stores the account number related to inter group transactions.</t>
  </si>
  <si>
    <t xml:space="preserve"> Tracks any special reference number assigned to the customer.</t>
  </si>
  <si>
    <t xml:space="preserve"> PURPOSE OF ACCOUNT </t>
  </si>
  <si>
    <t xml:space="preserve"> Defines the primary purpose for which the account is maintained.</t>
  </si>
  <si>
    <t xml:space="preserve"> Specifies the percentage of government ownership in customer related entities.</t>
  </si>
  <si>
    <t xml:space="preserve"> Records the percentage of Saudi ownership associated with the customer.</t>
  </si>
  <si>
    <t xml:space="preserve"> Tracks the percentage of foreign ownership linked to the customer.</t>
  </si>
  <si>
    <t xml:space="preserve"> Specifies whether all necessary documents have been supplied by the customer.</t>
  </si>
  <si>
    <t xml:space="preserve"> OVERRIDE FOR CLIST STATUS </t>
  </si>
  <si>
    <t xml:space="preserve"> Defines whether special override permissions are applied for C</t>
  </si>
  <si>
    <t xml:space="preserve"> OVERRIDE FOR NON SAUDI CUSTOMER STATUS </t>
  </si>
  <si>
    <t xml:space="preserve"> Specifies override permissions for non Saudi customers.</t>
  </si>
  <si>
    <t xml:space="preserve"> OVERRIDE FOR NO SAMA AUTHORIZATION STATUS </t>
  </si>
  <si>
    <t xml:space="preserve"> Indicates whether an override exists for missing SAMA authorization.</t>
  </si>
  <si>
    <t xml:space="preserve"> OVERRIDE FOR EXISTING CUSTOMER STATUS </t>
  </si>
  <si>
    <t xml:space="preserve"> Tracks override permissions applied to long standing customers.</t>
  </si>
  <si>
    <t xml:space="preserve"> Defines whether the customer is categorized as a minor or a legal adult.</t>
  </si>
  <si>
    <t xml:space="preserve"> CHILD WITH SPECIAL CASE STATUS </t>
  </si>
  <si>
    <t xml:space="preserve"> Indicates whether the customer falls under special regulatory child related classifications.</t>
  </si>
  <si>
    <t xml:space="preserve"> ID EXPIRY ACTION NOT REQUIRED STATUS </t>
  </si>
  <si>
    <t xml:space="preserve"> Specifies whether actions related to ID expiry are necessary or waived.</t>
  </si>
  <si>
    <t xml:space="preserve"> REFERENCE REQUIREMENT DETAILS </t>
  </si>
  <si>
    <t xml:space="preserve"> Tracks any references required for customer verification.</t>
  </si>
  <si>
    <t xml:space="preserve"> Indicates whether the customer record was generated from the quick screening system.</t>
  </si>
  <si>
    <t xml:space="preserve"> MARKETING MEMO DETAILS </t>
  </si>
  <si>
    <t xml:space="preserve"> Stores promotional or marketing related notes about the customer.</t>
  </si>
  <si>
    <t xml:space="preserve"> CUSTOMER ACCOUNT OPENING SOURCE </t>
  </si>
  <si>
    <t xml:space="preserve"> Tracks the origin of the customer account creation </t>
  </si>
  <si>
    <t xml:space="preserve"> EXCLUSION FROM ATM FEES STATUS </t>
  </si>
  <si>
    <t xml:space="preserve"> Defines whether the customer is exempt from ATM withdrawal fees.</t>
  </si>
  <si>
    <t xml:space="preserve"> EXCLUSION FROM MINIMUM BALANCE FEES STATUS </t>
  </si>
  <si>
    <t xml:space="preserve"> Specifies whether the customer is exempt from minimum balance maintenance charges.</t>
  </si>
  <si>
    <t xml:space="preserve"> Indicates whether the customer's statement frequency differs from the default package settings.</t>
  </si>
  <si>
    <t xml:space="preserve"> Tracks the user who last modified the customer record.</t>
  </si>
  <si>
    <t xml:space="preserve"> Stores the unique succession deed number, if applicable.</t>
  </si>
  <si>
    <t xml:space="preserve"> Maintains the timestamp of the most recent modification made to the customer record.</t>
  </si>
  <si>
    <t xml:space="preserve"> CUSTOMER TYPE </t>
  </si>
  <si>
    <t xml:space="preserve"> Defines the classification of the customer (e.g., individual, corporate, joint account holder).</t>
  </si>
  <si>
    <t xml:space="preserve"> NAME CHANGE STATUS </t>
  </si>
  <si>
    <t xml:space="preserve"> Indicates whether the customer's name has been modified in the records.</t>
  </si>
  <si>
    <t xml:space="preserve"> ADDRESS CHANGE STATUS </t>
  </si>
  <si>
    <t xml:space="preserve"> Specifies whether the customer's address has been updated.</t>
  </si>
  <si>
    <t xml:space="preserve"> INCORRECT NAME FLAG </t>
  </si>
  <si>
    <t xml:space="preserve"> Tracks whether the customer's name is incorrect and needs correction.</t>
  </si>
  <si>
    <t xml:space="preserve"> CUSTOMER ACCOUNT OPENING DATE </t>
  </si>
  <si>
    <t xml:space="preserve"> Records the date when the customer's account was first opened.</t>
  </si>
  <si>
    <t xml:space="preserve"> CUSTOMER UPDATE WARNING LETTER GENERATED STATUS </t>
  </si>
  <si>
    <t xml:space="preserve"> Tracks whether a warning letter regarding customer data updates has been issued.</t>
  </si>
  <si>
    <t xml:space="preserve"> CUSTOMER UPDATE ACTION NOT REQUIRED STATUS </t>
  </si>
  <si>
    <t xml:space="preserve"> Specifies whether updates to the customer's details are unnecessary based on regulatory or internal guidelines.</t>
  </si>
  <si>
    <t xml:space="preserve"> CUSTOMER UPDATE ACTION TAKEN STATUS </t>
  </si>
  <si>
    <t xml:space="preserve"> Indicates whether customer details have been updated based on compliance or administrative requirements.</t>
  </si>
  <si>
    <t xml:space="preserve"> Stores the identifier of the user who created the customer record in the system.</t>
  </si>
  <si>
    <t xml:space="preserve"> Tracks the timestamp when the customer record was first created.</t>
  </si>
  <si>
    <t xml:space="preserve"> FUND MOVEMENT DATE </t>
  </si>
  <si>
    <t xml:space="preserve"> UNCLAIMED ACCOUNT NUMBER </t>
  </si>
  <si>
    <t xml:space="preserve"> CUSTOMER ACCOUNT NUMBER </t>
  </si>
  <si>
    <t xml:space="preserve"> FUND MOVEMENT AMOUNT </t>
  </si>
  <si>
    <t xml:space="preserve"> Stores the total monetary value transferred between accounts during the fund movement process.</t>
  </si>
  <si>
    <t xml:space="preserve"> DATE &amp; TIME OF ACTION </t>
  </si>
  <si>
    <t xml:space="preserve"> NEW OR UPDATED STATUS </t>
  </si>
  <si>
    <t xml:space="preserve"> HEIR NUMBER </t>
  </si>
  <si>
    <t xml:space="preserve"> HEIR TYPE </t>
  </si>
  <si>
    <t xml:space="preserve"> HEIR STATUS </t>
  </si>
  <si>
    <t xml:space="preserve"> HEIR DISABLE DATE </t>
  </si>
  <si>
    <t xml:space="preserve"> CUSTOMER RECORD CREATION SOURCE </t>
  </si>
  <si>
    <t xml:space="preserve"> PROXY NUMBER </t>
  </si>
  <si>
    <t xml:space="preserve"> PROXY DATE FORMAT TYPE </t>
  </si>
  <si>
    <t xml:space="preserve"> PROXY ISSUE DATE (HIJRI) </t>
  </si>
  <si>
    <t xml:space="preserve"> PROXY ISSUE DATE (GREGORIAN) </t>
  </si>
  <si>
    <t xml:space="preserve"> CREATED USER IDENTIFIER </t>
  </si>
  <si>
    <t xml:space="preserve">  CREATED  DATE &amp; TIME OF ACTION </t>
  </si>
  <si>
    <t xml:space="preserve">DATE &amp; TIME </t>
  </si>
  <si>
    <r>
      <t>IDENTIFICATION ISSUANCE LOCATION</t>
    </r>
    <r>
      <rPr>
        <sz val="11"/>
        <color theme="1"/>
        <rFont val="Calibri"/>
        <family val="2"/>
        <scheme val="minor"/>
      </rPr>
      <t xml:space="preserve"> </t>
    </r>
  </si>
  <si>
    <t>This field stores the location where the customer's identification document was officially issued. It helps in tracking the origin of the ID for verification and regulatory purposes.</t>
  </si>
  <si>
    <t xml:space="preserve">IDENTIFICATION REFERENCE NUMBER </t>
  </si>
  <si>
    <t>This field stores the unique reference number linked to the customer's identification document. It helps in tracking and validating the customer's ID for compliance and verification purposes.</t>
  </si>
  <si>
    <t>This field tracks whether updates have been processed in the banking system.
Valid Values are :
0-entered
1-pending with supervisor
2-pending with teller
3-rejected
9-completed</t>
  </si>
  <si>
    <t xml:space="preserve"> JOINT CUSTOMER NUMBER </t>
  </si>
  <si>
    <t xml:space="preserve"> IDENTIFICATION DATE FORMAT TYPE </t>
  </si>
  <si>
    <t xml:space="preserve"> ID ISSUE DATE (HIJRI) </t>
  </si>
  <si>
    <t xml:space="preserve"> ID ISSUE DATE (GREGORIAN) </t>
  </si>
  <si>
    <t xml:space="preserve"> ID EXPIRY DATE (HIJRI) </t>
  </si>
  <si>
    <t xml:space="preserve"> ID EXPIRY DATE (GREGORIAN) </t>
  </si>
  <si>
    <t xml:space="preserve"> DATE OF BIRTH FORMAT TYPE </t>
  </si>
  <si>
    <t xml:space="preserve"> VIP CUSTOMER STATUS </t>
  </si>
  <si>
    <t xml:space="preserve"> RESIDENCY STATUS </t>
  </si>
  <si>
    <t xml:space="preserve"> ZIP CODE </t>
  </si>
  <si>
    <t xml:space="preserve"> OFFICE TELEPHONE AREA CODE </t>
  </si>
  <si>
    <t xml:space="preserve"> OFFICE TELEPHONE NUMBER </t>
  </si>
  <si>
    <t xml:space="preserve"> OFFICE TELEPHONE EXTENSION </t>
  </si>
  <si>
    <t xml:space="preserve"> HOME TELEPHONE AREA CODE </t>
  </si>
  <si>
    <t xml:space="preserve"> HOME TELEPHONE NUMBER </t>
  </si>
  <si>
    <t xml:space="preserve"> HOME TELEPHONE EXTENSION </t>
  </si>
  <si>
    <t xml:space="preserve"> MOBILE NUMBER </t>
  </si>
  <si>
    <t xml:space="preserve"> SEGMENTATION TYPE </t>
  </si>
  <si>
    <t xml:space="preserve"> EMPLOYER P.O. BOX NUMBER </t>
  </si>
  <si>
    <t xml:space="preserve"> JOINT ACCOUNT OPENING DATE </t>
  </si>
  <si>
    <t xml:space="preserve"> JOINT ACCOUNT ACTIVE STATUS </t>
  </si>
  <si>
    <t xml:space="preserve"> CREATION USER IDENTIFIER </t>
  </si>
  <si>
    <t xml:space="preserve"> OWNER NUMBER </t>
  </si>
  <si>
    <t xml:space="preserve"> OWNER TYPE </t>
  </si>
  <si>
    <t xml:space="preserve"> PARENT COMPANY NAME </t>
  </si>
  <si>
    <t xml:space="preserve"> SHAREHOLDING PERCENTAGE </t>
  </si>
  <si>
    <t xml:space="preserve"> OWNER STATUS </t>
  </si>
  <si>
    <t xml:space="preserve"> LAST UPDATE DATE </t>
  </si>
  <si>
    <t xml:space="preserve"> CORE BANKING OWNER CIF NUMBER </t>
  </si>
  <si>
    <t xml:space="preserve"> TRANSACTION DATE &amp; TIME </t>
  </si>
  <si>
    <t xml:space="preserve"> TELLER IDENTIFIER </t>
  </si>
  <si>
    <t xml:space="preserve"> TRANSACTION POSTING STATUS </t>
  </si>
  <si>
    <t xml:space="preserve"> LANGUAGE INDICATOR </t>
  </si>
  <si>
    <t xml:space="preserve"> COMPANY IDENTIFIER </t>
  </si>
  <si>
    <t xml:space="preserve"> SUBSCRIPTION NUMBER </t>
  </si>
  <si>
    <t xml:space="preserve"> SUBSCRIPTION OR BILL NUMBER </t>
  </si>
  <si>
    <t xml:space="preserve"> BILL AMOUNT </t>
  </si>
  <si>
    <t xml:space="preserve"> PAYMENT TYPE </t>
  </si>
  <si>
    <t xml:space="preserve"> CASH OR ACCOUNT TRANSACTION TYPE </t>
  </si>
  <si>
    <t xml:space="preserve"> DEBIT ACCOUNT NUMBER </t>
  </si>
  <si>
    <t xml:space="preserve"> TRANSACTION REFERENCE NUMBER </t>
  </si>
  <si>
    <t xml:space="preserve"> VALUE DATE </t>
  </si>
  <si>
    <t xml:space="preserve"> TRANSACTION PROCESSING DATE &amp; TIME </t>
  </si>
  <si>
    <t xml:space="preserve"> PREPAID OR POSTPAID INDICATOR </t>
  </si>
  <si>
    <t xml:space="preserve"> BANK TRANSACTION IDENTIFIER </t>
  </si>
  <si>
    <t xml:space="preserve"> SADAD TRANSACTION IDENTIFIER </t>
  </si>
  <si>
    <t xml:space="preserve"> REVERSAL PROCESS TIME </t>
  </si>
  <si>
    <t xml:space="preserve"> REVERSAL STATUS </t>
  </si>
  <si>
    <t xml:space="preserve"> This field maintains the ID of the user who created/updated the account.</t>
  </si>
  <si>
    <t xml:space="preserve"> This field records the date and time when creation or upate initiated.</t>
  </si>
  <si>
    <t xml:space="preserve"> LAST CHANGED DATE </t>
  </si>
  <si>
    <t xml:space="preserve"> CONTROL CODE </t>
  </si>
  <si>
    <t xml:space="preserve"> CONTROL NAME IN ARABIC </t>
  </si>
  <si>
    <t xml:space="preserve"> CONTROL NAME IN ENGLISH </t>
  </si>
  <si>
    <t xml:space="preserve"> ADDITIONAL CONTROL DETAILS </t>
  </si>
  <si>
    <t xml:space="preserve"> TRANSACTION REVERSAL PERMISSION STATUS </t>
  </si>
  <si>
    <t xml:space="preserve"> ADDITIONAL BILLER DETAILS </t>
  </si>
  <si>
    <t xml:space="preserve"> ACCOUNT STATUS </t>
  </si>
  <si>
    <t xml:space="preserve"> PREVIOUS ACCOUNT STATUS </t>
  </si>
  <si>
    <t xml:space="preserve"> UPDATED ACCOUNT STATUS </t>
  </si>
  <si>
    <t xml:space="preserve"> ACCOUNT STATUS CHANGE REASON </t>
  </si>
  <si>
    <t xml:space="preserve"> ACTION TYPE </t>
  </si>
  <si>
    <t xml:space="preserve"> SIGNATORY NUMBER </t>
  </si>
  <si>
    <t xml:space="preserve"> DIPLOMATIC PASSPORT NUMBER </t>
  </si>
  <si>
    <t xml:space="preserve"> REASON FOR SIGNATORY DESIGNATION </t>
  </si>
  <si>
    <t xml:space="preserve"> SIGNATORY ACTIVE STATUS </t>
  </si>
  <si>
    <t xml:space="preserve"> SIGNATORY ACTION DATE </t>
  </si>
  <si>
    <t xml:space="preserve"> SIGNATORY FOR OTHER ACCOUNTS </t>
  </si>
  <si>
    <t xml:space="preserve"> OVERRIDE FOR OTHER EXPAT SIGNATORY STATUS </t>
  </si>
  <si>
    <t>This field tracks whether updates have been processed in the banking system.
Valid Values are :
0-entered;
1-pending with supervisor
2-pending with teller
3-rejected
9-completed</t>
  </si>
  <si>
    <t xml:space="preserve"> LAST BRANCH MASTER UPDATE DATE </t>
  </si>
  <si>
    <t>ACCOUNT NUMBER</t>
  </si>
  <si>
    <t>This field contains the account number to which this record relates.</t>
  </si>
  <si>
    <t>Standing Order  Number</t>
  </si>
  <si>
    <t>This field contains the Standing Order Number</t>
  </si>
  <si>
    <t>PAYMENT TYPE</t>
  </si>
  <si>
    <t>Valid values are:
 0 - Pay Until further notice
 1 - Pay until specified total has been paid
 2 - Pay until specified date has been reached
 3 - Pay until specified number of payments have been made
 4 - Payment stopped
 5 - Final payment made</t>
  </si>
  <si>
    <t>PAYMENT MODE</t>
  </si>
  <si>
    <t>Valid values are:
0 Customers beneficiary.
Pay from/to account at our bank.
1 Customer is not beneficiary.
Pay from/to account at our bank.
2 Credit transfer.
Pay to account at another bank.
3 Payby cheque.
4 Credit transfer.
Pay account specified in Payee's account number.
5 Pay by cheque.
Pay account specified in Payee's account number.</t>
  </si>
  <si>
    <t>DATE OF FIRST PAYMENT</t>
  </si>
  <si>
    <t>This field contains the date on which the
first payment will be made</t>
  </si>
  <si>
    <t xml:space="preserve">DATE OF FINAL PAYMENT
</t>
  </si>
  <si>
    <t>This field contains the date on which the
final payment will be made.This field is only relevant if the
PAYMENT TYPE field is set to "2".</t>
  </si>
  <si>
    <t>NUMBER OF PAYMENTS TO BE MADE</t>
  </si>
  <si>
    <t>NUMBER OF PAYMENTS MADE</t>
  </si>
  <si>
    <t>This field maintain total number of payment which are to be made</t>
  </si>
  <si>
    <t>AMOUNT OF EACH PAYMENT</t>
  </si>
  <si>
    <t>This field maintains the amount is tobe paid with each paymnet.Valid Values are + to - 99999999999999
Decimal places are currency dependent.</t>
  </si>
  <si>
    <t>TOTAL TO PAY</t>
  </si>
  <si>
    <t>This field maintains the total amount is tobe paid with each paymnet.This field is relevant if the PAYMENT TYPE set to be '1'.
Decimal places are currency dependent.</t>
  </si>
  <si>
    <t>TOTAL PAID TO DATE</t>
  </si>
  <si>
    <t>This field maintains the total amount  paid to date</t>
  </si>
  <si>
    <t>Valid Values are :  D - Daily
    W - Weekly
    M - Monthly
    Q - Quarterly
    H - Half yearly
    Y - Yearly</t>
  </si>
  <si>
    <t>DATE OF NEXT PAYMENT</t>
  </si>
  <si>
    <t>This field contains the date on which the
next payment will be made</t>
  </si>
  <si>
    <t>LIMIT IN EXCESS FLAG</t>
  </si>
  <si>
    <t>This field indicates the action to be taken in
the event of an account limit being
exceeded. Valid values are:
0 Pay.
1 Donot pay in limit excess situation.
2 Manual run. (Allows payment in limit
‘excess situation).</t>
  </si>
  <si>
    <t xml:space="preserve">NARRATIVE - LINE 1
</t>
  </si>
  <si>
    <t>This field contains the first line of
narrative input at time of posting.</t>
  </si>
  <si>
    <t xml:space="preserve">NARRATIVE - LINE 2
</t>
  </si>
  <si>
    <t>This field contains the second line of
narrative input at time of posting.</t>
  </si>
  <si>
    <t xml:space="preserve">NARRATIVE - LINE 3
</t>
  </si>
  <si>
    <t>This field contains the third line of narrative
input at time of posting.</t>
  </si>
  <si>
    <t xml:space="preserve">PAYEE’S ACCOUNT NUMBER
</t>
  </si>
  <si>
    <t>This field maintains the number of the
payee’s account. The payee is the person to whom the
standing order amount will be credited.</t>
  </si>
  <si>
    <t>PAYEE NAME - LINE 1</t>
  </si>
  <si>
    <t>PAYEE NAME - LINE 2</t>
  </si>
  <si>
    <t>CUSTOMERADDRESS - LINE 3</t>
  </si>
  <si>
    <t>This field maintains the third line of the customer's address.</t>
  </si>
  <si>
    <t>CUSTOMERADDRESS - LINE 4</t>
  </si>
  <si>
    <t>This field maintains the fourth line of the customer's address.</t>
  </si>
  <si>
    <t>CUSTOMERADDRESS - LINE 5</t>
  </si>
  <si>
    <t>This field maintains the fifth line of the customer's address.</t>
  </si>
  <si>
    <t>NAME OF PAYEE’S BANK</t>
  </si>
  <si>
    <t>BANKACCOUNT NUMBERIN
OTHER BANK (REDEFINED FIELD)</t>
  </si>
  <si>
    <t>This field contains the account number to
Which the standing order is to be paid, if the
account is in a different branch,</t>
  </si>
  <si>
    <t>CHEQUE CHARGESFLAG</t>
  </si>
  <si>
    <t>Valid values are:
© No charge to be applied for cheques.
1 Charge to be applied for cheques.</t>
  </si>
  <si>
    <t xml:space="preserve">COMMISSION CHARGESFLAG
</t>
  </si>
  <si>
    <t>Valid values are:
0 No commission to be charged.
1 Commission to be charged.</t>
  </si>
  <si>
    <t>STANDING ORDER TYPE</t>
  </si>
  <si>
    <t>Valid values are: 0 Specific standing order.
1 Automatic funds transfer FROM
standing order account.
2 Automatic funds transfer TO standing
order account.</t>
  </si>
  <si>
    <t>PROCESS NEXT DAY FLAG</t>
  </si>
  <si>
    <t>Valid values are:
0 Process todzy, during today's
end-of-day routine.
1 Process next day, during next day's
start-of-day routine. (This means an
entry is made on the Tag file).</t>
  </si>
  <si>
    <t xml:space="preserve"> LISTONLYFLAG</t>
  </si>
  <si>
    <t>Valid values are:
0 Process normally and update.
1 Only list standing order. Do not update.</t>
  </si>
  <si>
    <t>TRANSFER LIMIT FOR AUTO</t>
  </si>
  <si>
    <t>This limit is checked against the balance of
the standing order account.
Any excess if the "STANDING ORDER
TYPE’ field is set to "1") will be transferred
to the other account (specified in the
"PAYEE'S ACCOUNT NUMBER’ field).
Any shortfall (if the *STANDING ORDER
TYPE field is set to "2") will be transferred
from the other account (specified in the
*PAYEE’S ACCOUNT NUMBER’ field).</t>
  </si>
  <si>
    <t>THRESHOULD AMOUNT</t>
  </si>
  <si>
    <t xml:space="preserve">DEBIT  NARRATIVE - LINE 1
</t>
  </si>
  <si>
    <t>This field contains the first line of
narrative used for debit standing order transactions</t>
  </si>
  <si>
    <t xml:space="preserve">DEBIT  NARRATIVE - LINE 2
</t>
  </si>
  <si>
    <t xml:space="preserve">This field contains the second line of
narrative used for debit standing order transactions </t>
  </si>
  <si>
    <t xml:space="preserve">CREDIT  NARRATIVE - LINE 1
</t>
  </si>
  <si>
    <t>This field contains the first line of
narrative used for credit standing order transactions</t>
  </si>
  <si>
    <t xml:space="preserve">CREDIT  NARRATIVE - LINE 2
</t>
  </si>
  <si>
    <t>This field contains the second line of
narrative used for credit standing order transactions</t>
  </si>
  <si>
    <t>TRANSACTION DATE FLAG</t>
  </si>
  <si>
    <t>Valid values are:
0 Userundate.
1 Use due date.</t>
  </si>
  <si>
    <t>DATELAST PROCESSED.</t>
  </si>
  <si>
    <t xml:space="preserve">GENERATE ADVICE FLAG
</t>
  </si>
  <si>
    <t>Valid values are:
0 Confirmation may be generated for the
standing order.
1 Confirmation will not be generated for
the standing order.</t>
  </si>
  <si>
    <t xml:space="preserve">NEW PAYMENT AMOUNT
</t>
  </si>
  <si>
    <t>Valid values are: + to - 9999999999999.
Decimal places are currency dependent.</t>
  </si>
  <si>
    <t>CHARGE COMMISSION ON UNPAID
STANDING ORDERS</t>
  </si>
  <si>
    <t xml:space="preserve">This field indicates what action is to be.
taken in relation to a standing order with
insufficient funds. Valid values are:
Valid values are:
0 No commission to be charged.
1-9 Charge commission amount 1-9.
</t>
  </si>
  <si>
    <t xml:space="preserve">BRANCH CODE
</t>
  </si>
  <si>
    <t>REMARKS</t>
  </si>
  <si>
    <t xml:space="preserve">REMARKS </t>
  </si>
  <si>
    <t xml:space="preserve">SOD BRANCH CODE
</t>
  </si>
  <si>
    <t xml:space="preserve"> CHEQUE NUMBER </t>
  </si>
  <si>
    <t xml:space="preserve"> CHEQUE AMOUNT </t>
  </si>
  <si>
    <t xml:space="preserve"> STOP REQUEST DATE </t>
  </si>
  <si>
    <t xml:space="preserve"> PAYEE NAME </t>
  </si>
  <si>
    <t xml:space="preserve"> CHEQUE DESTRUCTION STATUS </t>
  </si>
  <si>
    <t xml:space="preserve">SUPERVISOR IDENTIFIER </t>
  </si>
  <si>
    <t xml:space="preserve"> TERM DEPOSIT ACCOUNT NUMBER </t>
  </si>
  <si>
    <t xml:space="preserve"> TERM DEPOSIT CURRENCY </t>
  </si>
  <si>
    <t xml:space="preserve"> TERM DEPOSIT LEDGER ACCOUNT </t>
  </si>
  <si>
    <t xml:space="preserve"> DEPOSIT AMOUNT </t>
  </si>
  <si>
    <t xml:space="preserve"> TENOR TYPE </t>
  </si>
  <si>
    <t xml:space="preserve"> TENOR PERIOD </t>
  </si>
  <si>
    <t xml:space="preserve"> FUNDED INTEREST RATE </t>
  </si>
  <si>
    <t xml:space="preserve"> EXCHANGE RATE </t>
  </si>
  <si>
    <t xml:space="preserve"> MATURITY AMOUNT </t>
  </si>
  <si>
    <t xml:space="preserve"> MATURITY DATE </t>
  </si>
  <si>
    <t xml:space="preserve"> OVERRIDE EXCHANGE RATE </t>
  </si>
  <si>
    <t xml:space="preserve"> OVERRIDE INTEREST RATE </t>
  </si>
  <si>
    <t xml:space="preserve"> ORIGINAL FUNDED INTEREST RATE </t>
  </si>
  <si>
    <t xml:space="preserve"> ORIGINAL EXCHANGE RATE </t>
  </si>
  <si>
    <t xml:space="preserve"> AUTORENEWAL STATUS </t>
  </si>
  <si>
    <t xml:space="preserve"> DIFFERENCE IN DAYS </t>
  </si>
  <si>
    <t xml:space="preserve"> INTEREST APPLICATION METHOD </t>
  </si>
  <si>
    <t xml:space="preserve"> PAYMENT ACCOUNT NUMBER </t>
  </si>
  <si>
    <t xml:space="preserve"> DEBIT AMOUNT </t>
  </si>
  <si>
    <t xml:space="preserve"> BOOKING DATE </t>
  </si>
  <si>
    <t xml:space="preserve"> PAYEE ACCOUNT NUMBER </t>
  </si>
  <si>
    <t xml:space="preserve"> OVERRIDE VALUE DATE FLAG</t>
  </si>
  <si>
    <t xml:space="preserve"> USER LIVE STATUS </t>
  </si>
  <si>
    <t xml:space="preserve"> EMPLOYEE NUMBER </t>
  </si>
  <si>
    <t xml:space="preserve"> USER FIRST NAME </t>
  </si>
  <si>
    <t xml:space="preserve"> USER SECOND NAME </t>
  </si>
  <si>
    <t xml:space="preserve"> USER THIRD NAME </t>
  </si>
  <si>
    <t xml:space="preserve"> USER LAST NAME </t>
  </si>
  <si>
    <t xml:space="preserve"> PRIMARY AUTHORITY LEVEL </t>
  </si>
  <si>
    <t xml:space="preserve"> LOGIN STATUS </t>
  </si>
  <si>
    <t xml:space="preserve"> LAST LOGIN DATE &amp; TIME </t>
  </si>
  <si>
    <t xml:space="preserve"> GLOBAL UPDATE PRIVILEGE STATUS </t>
  </si>
  <si>
    <t xml:space="preserve"> LOGIN IP ADDRESS </t>
  </si>
  <si>
    <t xml:space="preserve"> SECONDARY AUTHORITY LEVEL </t>
  </si>
  <si>
    <t xml:space="preserve"> BUSINESS PROCESS USER IDENTIFIER </t>
  </si>
  <si>
    <t>PASSWORD</t>
  </si>
  <si>
    <t>Current password of user</t>
  </si>
  <si>
    <t>LAST PASSWORD 10</t>
  </si>
  <si>
    <t xml:space="preserve">Lat 10 Password are stored </t>
  </si>
  <si>
    <t>NUMBER OF BRANCH SUPPORTED</t>
  </si>
  <si>
    <t>BRANCH CODE 1</t>
  </si>
  <si>
    <t>BRANCH CODE 2</t>
  </si>
  <si>
    <t>BRANCH CODE 3</t>
  </si>
  <si>
    <t>BRANCH CODE 4</t>
  </si>
  <si>
    <t>BRANCH CODE 5</t>
  </si>
  <si>
    <t>POSTING DATE</t>
  </si>
  <si>
    <t>This field maintains the posting date as
entered with the transaction at time of
posting.</t>
  </si>
  <si>
    <t xml:space="preserve">VALUE DATE
</t>
  </si>
  <si>
    <t>This field maintains the date on which the
ransaction took effect</t>
  </si>
  <si>
    <t xml:space="preserve">TRANSACTION TYPE
</t>
  </si>
  <si>
    <t>This field maintains the type of transaction,
as defined on the TTABLE parameter file</t>
  </si>
  <si>
    <t xml:space="preserve">STATEMENT FLAG
</t>
  </si>
  <si>
    <t>This field indicates whether the transaction
is to be included on statements.
Valid values are:
0 Print on statement.
1 Do not print on statement.</t>
  </si>
  <si>
    <t xml:space="preserve">TRANSACTION AMOUNT
</t>
  </si>
  <si>
    <t>This field maintains the amount of the
transaction.
Decimal places are currency dependent.</t>
  </si>
  <si>
    <t xml:space="preserve">ACCRUED INTEREST
</t>
  </si>
  <si>
    <t>This field maintains the interest accrued by
the transaction.</t>
  </si>
  <si>
    <t xml:space="preserve">TRANSACTION REFERENCE
</t>
  </si>
  <si>
    <t>This field maintains the reference which
accompanied the transaction on posting.
For Foreign Exchange records, ths field
holds the "BASE CURRENCY EQUIVALENT’ amount.</t>
  </si>
  <si>
    <t>NARRATIVE - LINE 1</t>
  </si>
  <si>
    <t xml:space="preserve"> FOREIGN EXCHANGE INDICATOR
</t>
  </si>
  <si>
    <t>This field indicates whether the transaction
‘was a foreign exchange transaction. Valid
values are:
0 No.
1 Yes Foreign Exchange transaction.
2 Yes- Foreign Exchange Profit and
Loss Revaluation transaction.
3 Multi Currency from BNK0OI Auto
Foreign Exchange Position posting.</t>
  </si>
  <si>
    <t>SERVICE FEE THIS TRANSACTION</t>
  </si>
  <si>
    <t>INCLUDE IN SECOND INDEX</t>
  </si>
  <si>
    <t>Indicates whether to include this record in
the THI1BB index. Valid values are:
0 Reconciliation records generated by
programs other than the Posting
program (BNKO0O1).
1 Posting program (BNKOO) sets the
flag to "1" to indicate that a
successful reconciliation has
occurred.
2 Posting program (BNKOOI) sets the.
flag to "2" to indicate the presence.
of an alternate index record that has
yet to be reconciled.</t>
  </si>
  <si>
    <t xml:space="preserve">A USER LD.
</t>
  </si>
  <si>
    <t>This field maintains the LD. of the teller
who posted the transaction.</t>
  </si>
  <si>
    <t xml:space="preserve">SUPERVISOR ID. </t>
  </si>
  <si>
    <t>(IF ANY)
If a supervisor's password was required
during the transaction, the supervisor LD.
will be stamped here.</t>
  </si>
  <si>
    <t xml:space="preserve">TRANSACTION INDICATOR
</t>
  </si>
  <si>
    <t>Valid values are:
I Interest appliction,
B Blocking transaction.
S Special repayment (Leasing only).
E Effective rate change (BNK151 stamps
it at end of day for tiered rate changes).</t>
  </si>
  <si>
    <t>NOMINAL/ADJUSTMENT AMOUNT</t>
  </si>
  <si>
    <t>This field maintains:
1. The nominal transaction amount for
Bills, C.D.’s and Securities.
2. The adjustment amount calculated by
the Interest Recalculation program</t>
  </si>
  <si>
    <t>INTERFACE FLAG</t>
  </si>
  <si>
    <t>Valid values are:
A Transaction originates from the ATM
system.
B Transaction originates from the
BranchPower system.</t>
  </si>
  <si>
    <t xml:space="preserve">BASE CURRENCY EQUIVALENT
</t>
  </si>
  <si>
    <t>This field contains the base equivalent if the
transaction is a foreign exchange or cross
currency transaction.</t>
  </si>
  <si>
    <t>OPPOSITE CURRENCY CODE</t>
  </si>
  <si>
    <t>This field is only relevant to Foreign
Exchange currency records. It is the other
currency in a Foreign Exchange deal.</t>
  </si>
  <si>
    <t>TRANSACTION AMOUNT</t>
  </si>
  <si>
    <t>This field contains:
1. The nominal transaction amount for
Bills, C.D.’s and Securities.
2. The adjustment amount calculated by
the Interest Recalculation program
(BNK145).</t>
  </si>
  <si>
    <t xml:space="preserve"> NARRATIVE - LINE 2
</t>
  </si>
  <si>
    <t>This field is auto stamped with
"XXX XXXXXX', where XXX. XXXXXX
is the new rate.</t>
  </si>
  <si>
    <t>NEW CREDIT INTEREST RATE</t>
  </si>
  <si>
    <t>Valid values are: 0 -999.999999.</t>
  </si>
  <si>
    <t>NEW DEBIT INTEREST RATE</t>
  </si>
  <si>
    <t xml:space="preserve">ACTIVERATEFLAG
</t>
  </si>
  <si>
    <t>Valid values are:
0 Debit.
1 Credit</t>
  </si>
  <si>
    <t>NEWBASE CODE</t>
  </si>
  <si>
    <t>MARGIN OVER BASE RATE</t>
  </si>
  <si>
    <t xml:space="preserve">DEBIT/CREDIT BASE CODE
</t>
  </si>
  <si>
    <t>0 Debit base code.
1 Credit base code.</t>
  </si>
  <si>
    <t xml:space="preserve">ACCOUNT NUMBER
</t>
  </si>
  <si>
    <t>This field contains the account number on
which the limit was exceeded.</t>
  </si>
  <si>
    <t xml:space="preserve">EXCEPTION CODE
</t>
  </si>
  <si>
    <t>This code identifies the type of limit excess
which occurred. Valid values are:
80 Account limit exceeded.
81 Customer limit exceeded.
82 Group limit exceeded.
83 Line limit exceeded.
85 Customer Foreign Exchange limit
exceeded.
86 Group Foreign Exchange limit
exceeded.
90 Invalid customer nmber.
91 Invalid group number.
92 Too many group leaders. (Maximum
nesting=10).
93 Line not found.</t>
  </si>
  <si>
    <t>TRANSACTION NUMBER</t>
  </si>
  <si>
    <t>This field contains the customer facility or
line number on which the limit was</t>
  </si>
  <si>
    <t xml:space="preserve">CUSTOMER/FACILITY/GROUP
NUMBER
</t>
  </si>
  <si>
    <t xml:space="preserve">POSTING DATE
</t>
  </si>
  <si>
    <t>This field contains the date on which the
transaction was posted.</t>
  </si>
  <si>
    <t>This field contains the value date of the
transaction</t>
  </si>
  <si>
    <t>This field contains the transaction type used
to post the transaction.</t>
  </si>
  <si>
    <t>This field contains the amount that was
posted.</t>
  </si>
  <si>
    <t>NEW BALANCE</t>
  </si>
  <si>
    <t>This field contains the new balance as a
resut of the tranaction.</t>
  </si>
  <si>
    <t>FACILITY NUMBER</t>
  </si>
  <si>
    <t>This field contains the number of the
facility, if a facility limit was exceeded.</t>
  </si>
  <si>
    <t xml:space="preserve">LIMIT
</t>
  </si>
  <si>
    <t>This field contains the value of the limit
exceeded.</t>
  </si>
  <si>
    <t>LIMIT NAME</t>
  </si>
  <si>
    <t>This field contains the name of the limit exceeded.</t>
  </si>
  <si>
    <t>PTN NUMBER</t>
  </si>
  <si>
    <t>This field contains the number of the
‘partition from which the transaction was
posted.</t>
  </si>
  <si>
    <t>USER IDENTITY CODE</t>
  </si>
  <si>
    <t>REFERENCE/DEAL NUMBER</t>
  </si>
  <si>
    <t>This field contains the reference number of
the transaction or deal.</t>
  </si>
  <si>
    <t>LIMIT CURRENCY CODE</t>
  </si>
  <si>
    <t>This field contains the currency code that
the limit is monitored against.</t>
  </si>
  <si>
    <t>This field contain  branch code</t>
  </si>
  <si>
    <t>RISK CLASS</t>
  </si>
  <si>
    <t>LIMIT FLAG</t>
  </si>
  <si>
    <t>This field contain risk class</t>
  </si>
  <si>
    <t>This field contain limit flag</t>
  </si>
  <si>
    <t xml:space="preserve"> SERVICE BRANCH CODE </t>
  </si>
  <si>
    <t xml:space="preserve"> SERVICE NUMBER </t>
  </si>
  <si>
    <t xml:space="preserve"> BRANCH OR DELIVERY MODE </t>
  </si>
  <si>
    <t xml:space="preserve"> STANDARD SERVICE FEE AMOUNT </t>
  </si>
  <si>
    <t xml:space="preserve"> CHARGEABLE AMOUNT </t>
  </si>
  <si>
    <t xml:space="preserve"> ACTUAL CHARGED AMOUNT </t>
  </si>
  <si>
    <t xml:space="preserve"> CHARGED CATEGORY TYPE </t>
  </si>
  <si>
    <t xml:space="preserve"> CHARGE TYPE </t>
  </si>
  <si>
    <t xml:space="preserve"> TRANSACTION REMARKS </t>
  </si>
  <si>
    <t xml:space="preserve"> TRANSACTION AMOUNT </t>
  </si>
  <si>
    <t xml:space="preserve"> ORIGINAL REFERENCE NUMBER </t>
  </si>
  <si>
    <t xml:space="preserve"> TRANSACTION RUN DATE </t>
  </si>
  <si>
    <t>BLOCK BALANCE (REDEFINED
FIELD)</t>
  </si>
  <si>
    <t>This field maintains the amount in the
cleared balance which has not yet been
cleared. This is used to accrue interest on
uncleared items.
Decimal places are currency dependent.</t>
  </si>
  <si>
    <t xml:space="preserve"> LOAN REPAYMENT DATE </t>
  </si>
  <si>
    <t xml:space="preserve"> LOAN STATUS </t>
  </si>
  <si>
    <t xml:space="preserve"> LOAN CURRENCY </t>
  </si>
  <si>
    <t xml:space="preserve"> STATUS UPDATE DATE </t>
  </si>
  <si>
    <t xml:space="preserve"> LOAN START DATE </t>
  </si>
  <si>
    <t xml:space="preserve"> LOAN MATURITY DATE </t>
  </si>
  <si>
    <t xml:space="preserve"> LOAN PROCESSING DATE </t>
  </si>
  <si>
    <t xml:space="preserve"> LOAN REPAYMENT AMOUNT </t>
  </si>
  <si>
    <t xml:space="preserve"> LOAN FUNDING INTEREST RATE </t>
  </si>
  <si>
    <t xml:space="preserve"> FUNDED INTEREST AMOUNT </t>
  </si>
  <si>
    <t xml:space="preserve"> LOAN RECONCILIATION STATUS </t>
  </si>
  <si>
    <t>9,3</t>
  </si>
  <si>
    <t>EMI AMOUNT</t>
  </si>
  <si>
    <t>DEBIT ACCOUNT NUMBER</t>
  </si>
  <si>
    <t>CREDIT ACCOUNT NUMBER</t>
  </si>
  <si>
    <t xml:space="preserve">RECORD TYPE </t>
  </si>
  <si>
    <t>TF-Transfer or DF-Draft or DR-Draft Range</t>
  </si>
  <si>
    <t>VALUE DATE</t>
  </si>
  <si>
    <t xml:space="preserve"> PAYMENT CURRENCY CODE </t>
  </si>
  <si>
    <t xml:space="preserve"> PAYMENT AMOUNT </t>
  </si>
  <si>
    <t xml:space="preserve"> BASE CURRENCY EQUIVALENT </t>
  </si>
  <si>
    <t xml:space="preserve"> TRANSACTION STATUS FLAG </t>
  </si>
  <si>
    <t xml:space="preserve"> PREVIOUS STATUS FLAG </t>
  </si>
  <si>
    <t xml:space="preserve"> EXCHANGE ADVICE FLAG </t>
  </si>
  <si>
    <t xml:space="preserve"> ACTION DATE </t>
  </si>
  <si>
    <t xml:space="preserve"> INTERMEDIARY BANK CODE </t>
  </si>
  <si>
    <t xml:space="preserve"> BRANCH SORT CODE </t>
  </si>
  <si>
    <t xml:space="preserve"> RESERVED SYSTEM FIELD </t>
  </si>
  <si>
    <t xml:space="preserve"> TRANSACTION RECORD NUMBER </t>
  </si>
  <si>
    <t xml:space="preserve"> PAYMENT STATUS </t>
  </si>
  <si>
    <t xml:space="preserve"> ISSUING BANK CODE </t>
  </si>
  <si>
    <t xml:space="preserve"> DRAWEE BANK CODE </t>
  </si>
  <si>
    <t xml:space="preserve"> COVERING BANK DETAILS </t>
  </si>
  <si>
    <t xml:space="preserve"> ISSUE COUNTRY CODE </t>
  </si>
  <si>
    <t xml:space="preserve"> TOTAL AMOUNT </t>
  </si>
  <si>
    <t xml:space="preserve"> PAYMENT METHOD TYPE </t>
  </si>
  <si>
    <t xml:space="preserve"> PENSION PROXY NAME </t>
  </si>
  <si>
    <t xml:space="preserve"> PENSIONER NAME </t>
  </si>
  <si>
    <t xml:space="preserve"> BENEFICIARY ADDRESS LINE 2 </t>
  </si>
  <si>
    <t xml:space="preserve"> BENEFICIARY ADDRESS LINE 3 </t>
  </si>
  <si>
    <t xml:space="preserve"> BENEFICIARY ADDRESS LINE 4 </t>
  </si>
  <si>
    <t xml:space="preserve"> ISSUING BANK SORT CODE </t>
  </si>
  <si>
    <t xml:space="preserve"> CONTRA ACCOUNT SORT CODE </t>
  </si>
  <si>
    <t xml:space="preserve"> ADDITIONAL STATUS FLAG </t>
  </si>
  <si>
    <t xml:space="preserve"> BENEFICIARY COUNTRY CODE </t>
  </si>
  <si>
    <t xml:space="preserve"> BENEFICIARY BANK IDENTIFIER </t>
  </si>
  <si>
    <t xml:space="preserve"> BENEFICIARY BANK BIC CODE </t>
  </si>
  <si>
    <t xml:space="preserve"> BENEFICIARY ADDRESS LINE 5 </t>
  </si>
  <si>
    <t xml:space="preserve"> SENDER ADDRESS LINE 1 </t>
  </si>
  <si>
    <t xml:space="preserve"> SENDER ADDRESS LINE 2 </t>
  </si>
  <si>
    <t xml:space="preserve"> SENDER ADDRESS LINE 3 </t>
  </si>
  <si>
    <t xml:space="preserve"> PENSION CLASSIFICATION CODE </t>
  </si>
  <si>
    <t xml:space="preserve"> SENDER REMAINING ADDRESS DETAILS </t>
  </si>
  <si>
    <t xml:space="preserve"> SENDER ADDRESS LINE 4 </t>
  </si>
  <si>
    <t xml:space="preserve"> SECONDARY COVERING BANK </t>
  </si>
  <si>
    <t xml:space="preserve"> BENEFICIARY ACCOUNT NUMBER </t>
  </si>
  <si>
    <t xml:space="preserve"> TRANSACTION MESSAGE LINE 1 </t>
  </si>
  <si>
    <t xml:space="preserve"> TRANSACTION MESSAGE LINE 2 </t>
  </si>
  <si>
    <t xml:space="preserve"> TRANSACTION MESSAGE LINE 3 </t>
  </si>
  <si>
    <t xml:space="preserve"> TRANSACTION MESSAGE LINE 4 </t>
  </si>
  <si>
    <t xml:space="preserve"> PURPOSE OF FUND TRANSFER </t>
  </si>
  <si>
    <t>Valid values are:
00 Batch header.
01 Daily transactions.
02 Scheduled repayments.
03 Transaction applied.
04 Forward dated Money Market
transaction - from Posting program.
05 Forward dated Money Market
transaction - from Diary processing.
06 NBT Update transaction.
07 ATM Request transaction.</t>
  </si>
  <si>
    <t xml:space="preserve"> RECORD TYPE</t>
  </si>
  <si>
    <t>RECORD TYPE</t>
  </si>
  <si>
    <t xml:space="preserve">BATCH NUMBER
</t>
  </si>
  <si>
    <t>This field maintains the unique number
assigned to the batch at time of posting.</t>
  </si>
  <si>
    <t>Valid values are:
L Thisis the last record for the.
transaction.
C The transaction is continued on another
record.</t>
  </si>
  <si>
    <t>CONTINUATION CHARACTER</t>
  </si>
  <si>
    <t>This field contains the account number of
the account to which the transaction applies.</t>
  </si>
  <si>
    <t>This field contains the transaction type of
the transaction.</t>
  </si>
  <si>
    <t xml:space="preserve">DEBIT/CREDIT INDICATOR
</t>
  </si>
  <si>
    <t>This field indicates whether this is a debit
or a credit transaction. Valid values are:
0 Debit transaction.
1 Credit transaction.</t>
  </si>
  <si>
    <t xml:space="preserve">REFERENCE
</t>
  </si>
  <si>
    <t>This field contains the cheque/reference
‘number as input/generated.</t>
  </si>
  <si>
    <t>This field contains the first line of narrative
that was entered when the transaction was
posted.</t>
  </si>
  <si>
    <t>This field contains the second line of
narrative that was entered when the
transaction was posted.</t>
  </si>
  <si>
    <t>This field contains the third line of
narrative that was entered when the
transaction was posted.</t>
  </si>
  <si>
    <t xml:space="preserve"> NARRATIVE - LINE 3
</t>
  </si>
  <si>
    <t>This field contains the book balance PRIOR
to the transaction.
Decimal places are currency dependent</t>
  </si>
  <si>
    <t>OLD BALANCE</t>
  </si>
  <si>
    <t>AMOUNT</t>
  </si>
  <si>
    <t>Decimal places are currency dependent.</t>
  </si>
  <si>
    <t>This field contains the monetary amount of
the transaction.
Decimal places are currency dependent.</t>
  </si>
  <si>
    <t>This field contains the book balance
AFTER the transaction.
Decimal places are currency dependent.</t>
  </si>
  <si>
    <t>This field contains the posting date.</t>
  </si>
  <si>
    <t>This field contains the date on which the.
transaction will be processed.</t>
  </si>
  <si>
    <t>This field contains the exception code.
Valid values are:
00 No exceptions.
01 Account over limit.
02 Debit/Credit balance change.
03 Interest threshold crossed.
04 Transaction to fixed deposit accounts.
05 Value date before last rate change.
06 Value date before last interest
application date.
07 Date before last accrual of account
rates unequal.
08 Maturity record deleted on a future
reversal,
09 Automatically generated account.
10 Inactive account.
11 Inactive account reactivated.
12 Inactive account transacted but not
reactivated.
13 Rejected reversal of a money market
deal.</t>
  </si>
  <si>
    <t>EXCEPTION CODE</t>
  </si>
  <si>
    <t>This field indicates whether the transaction
‘was auto-generated by the system. Valid
values are:
0 Normally entered.
1 Auto-generated.</t>
  </si>
  <si>
    <t>AUTO GENERATED TRANSACTION
FLAG</t>
  </si>
  <si>
    <t>INTEREST RATE FOR REFIXES AND
PLACEMENTS</t>
  </si>
  <si>
    <t>Tf the transaction is a placement or a refix
then this is the new maturity date for the
transaction. When this date is reached the
transaction will be processed and take
effect.</t>
  </si>
  <si>
    <t>MATURITY DATE FOR REFIXES
AND PLACEMENTS</t>
  </si>
  <si>
    <t>BROKER NUMBER</t>
  </si>
  <si>
    <t>(For interbank transactions only).
This field maintains a unique five digit code
identifying the broker, if any, associated
with the transaction.</t>
  </si>
  <si>
    <t xml:space="preserve">SETTLEMENT INSTRUCTIONS
</t>
  </si>
  <si>
    <t>(For interbank transactions only).</t>
  </si>
  <si>
    <t xml:space="preserve">OLDMATURITY DATE
</t>
  </si>
  <si>
    <t>The old maturity date of a rolled over fixture</t>
  </si>
  <si>
    <t>OLD INTEREST RATE</t>
  </si>
  <si>
    <t>The old interest rae of a matured fixture.</t>
  </si>
  <si>
    <t>CONFIRMATIONSFLAG</t>
  </si>
  <si>
    <t>This field is taken from the General Ledger
file (GLDOBB.FILE) and indicates whether
the Advices/Confirmations are to be printed
for the transaction. Valid values are:
0 Donot print.
1 Print Advices/Confirmations.</t>
  </si>
  <si>
    <t>LAST START DATE</t>
  </si>
  <si>
    <t>The previous start date of a fixture</t>
  </si>
  <si>
    <t>INTEREST AMOUNT</t>
  </si>
  <si>
    <t>The amount of interest applied by the
transaction.</t>
  </si>
  <si>
    <t>ACCOUNT LIMIT</t>
  </si>
  <si>
    <t>This field maintains the account's balance
limit If positive, the credit balance must
always exceed this figure. If negative, the
debit balance must never exceed this figure.</t>
  </si>
  <si>
    <t>SERVICE FEE</t>
  </si>
  <si>
    <t>This field maintains the service fee, if any,
applicable to the transaction.
Decimal places are currency dependent.</t>
  </si>
  <si>
    <t>CONFIRMATIONS FORMAT CODE</t>
  </si>
  <si>
    <t>STAFF ACCOUNT INDICATOR</t>
  </si>
  <si>
    <t>Valid values are:
0 Not a staff account.
1 Staff account.
2 Intemal account.
Note: An internal account is one
maintained by the bank for the bank.</t>
  </si>
  <si>
    <t>NON-RESIDENT FLAG</t>
  </si>
  <si>
    <t>This field indicates whether the account
holder is a non-resident of the country in
which the bank is operating. Valid values
are:
0 Resident.
1 Non-resident.</t>
  </si>
  <si>
    <t>CONTRA ACCOUNT NUMBER</t>
  </si>
  <si>
    <t>This field contains the account number of
the contra account to which *balancing’
‘amounts will be posted.</t>
  </si>
  <si>
    <t>CONTRA ACCOUNT TYPE</t>
  </si>
  <si>
    <t>This field contains the account type of the
contra account.</t>
  </si>
  <si>
    <t>INTEREST APPLICATION FLAG</t>
  </si>
  <si>
    <t>This field indicates the method of interest
application. Valid values are:
0 Capitalise.
1 Pay to another account.
2 Pay by cheque.
3 Memo interest only.
4 Automaturities (Capitalise) Nostro.
5 Automaturities (Interest to Nostro,
Capital to Pay account).
6 Automaturities (Interest to Pay account,
Capital to Match account).</t>
  </si>
  <si>
    <t>DATE TELEXED</t>
  </si>
  <si>
    <t>This field contains the date on which the
transaction was telexed, if applicable.</t>
  </si>
  <si>
    <t>CUSTOMER NAME</t>
  </si>
  <si>
    <t>This field contains the name of the
customer to whose account the transaction
has been posted.</t>
  </si>
  <si>
    <t xml:space="preserve">TELLER LD. FOR THIS
TRANSACTION
</t>
  </si>
  <si>
    <t>This field contains a unique 3 character
code which identifies the teller who
accepted and posted this transaction.</t>
  </si>
  <si>
    <t>BASE EQUIVALENT</t>
  </si>
  <si>
    <t>MEMO NOTE</t>
  </si>
  <si>
    <t>SORT CODE</t>
  </si>
  <si>
    <t>ISSUE DATE</t>
  </si>
  <si>
    <t>COUNTRY CODE</t>
  </si>
  <si>
    <t>REVERSAL FLAG</t>
  </si>
  <si>
    <t>This field contains the equivalent amount
expressed in base currency.
Decimal places are currency dependent.</t>
  </si>
  <si>
    <t>COUPON/DISCOUNT RATE</t>
  </si>
  <si>
    <t>This field contains the coupon rate for
C.D.’s and Securities and the discount rate
for Bills.
Valid values are: 0 -999.999999</t>
  </si>
  <si>
    <t>MULTIPLY/DIVIDE</t>
  </si>
  <si>
    <t>This field contains the conversion basis
used to calculate the base equivalent. Valid
values are:
M Multiply.
D Divide.</t>
  </si>
  <si>
    <t>LIMIT CHECK SUPERVISOR LD.</t>
  </si>
  <si>
    <t>This field contains the user i.d. of the
supervisor who authorised this transaction
in the event of a limit excess (ic. this user's
‘password limit excess was flagged).</t>
  </si>
  <si>
    <t xml:space="preserve"> WITHHOLDING TAX AMOUNT</t>
  </si>
  <si>
    <t>This field contains the withholding tax
retained if the transactionwas an interest
application.</t>
  </si>
  <si>
    <t>MULTI-CURRENCY MAIN ACCOUNT INDICATOR</t>
  </si>
  <si>
    <t>Valid values are:
0 Main account.
1 Contra account.
2 Main account in multi-currency posting.
3 Contra account in multi-currency posting.</t>
  </si>
  <si>
    <t>If the "MEMO NOTE’ field on the.
TTABLE parameter file is set to "1", then a
‘memo note can be recorded for the
transaction.</t>
  </si>
  <si>
    <t>EXCHANGE RATE</t>
  </si>
  <si>
    <t>This field contains the exchange rate used
to convert the transaction amount to its base
currency equivalent.
Valid values are: 0 - 999.999999999</t>
  </si>
  <si>
    <t>NOMINAL VALUE OF BILL, C.D. OR SECURITY</t>
  </si>
  <si>
    <t>The sort code is supplied when the "SORT CODE" field on the TTABLE parameter
file is setto "1".</t>
  </si>
  <si>
    <t>VERIFY FOREIGN EXCHANGE DEAL FLAG</t>
  </si>
  <si>
    <t>Valid values are:
0 Not verified yet.
1 Verified.
2 Reversed deal.
3 Reversal deal.</t>
  </si>
  <si>
    <t>DEAL NUMBER (FOREIGN EXCHANGE)</t>
  </si>
  <si>
    <t>RECOVERABLE</t>
  </si>
  <si>
    <t>TIMESTAMP</t>
  </si>
  <si>
    <t>SOURCEFLAG</t>
  </si>
  <si>
    <t xml:space="preserve">PRINTED INPASSBOOK FLAG
</t>
  </si>
  <si>
    <t>Valid values are:
0 Normal.
1 Printed in passbook.
2 Not printed in passbook.
3 NBT printed only.</t>
  </si>
  <si>
    <t>The time is in the format HHMMSS</t>
  </si>
  <si>
    <t xml:space="preserve"> ISSUE DATE/DATE DRAWN</t>
  </si>
  <si>
    <t>This field contains the issue date or date
drawn of a Bill, C.D. or Security.</t>
  </si>
  <si>
    <t>Valid values are:
A ATM transaction.
B BranchPower transaction.</t>
  </si>
  <si>
    <t>INTEREST RECALCULATION FLAG</t>
  </si>
  <si>
    <t xml:space="preserve">This field is used by the Interest History
Recalculation program (BNK145). Valid
values are:
5 Set tothis value when exception code
is "05".
6 Settothis value when exception code
is "06" or "07",
</t>
  </si>
  <si>
    <t>BRANCHNET SOURCE BRANCH NUMBER</t>
  </si>
  <si>
    <t>The branch number relevant to the posting.
Its the Distributed Multi-branch database
branch umber.</t>
  </si>
  <si>
    <t>DESTINATION ACCOUNT</t>
  </si>
  <si>
    <t>The destination account for the transaction
in an inter-branch transfer transaction.</t>
  </si>
  <si>
    <t xml:space="preserve">COUNTRY BRANCH CODE </t>
  </si>
  <si>
    <t xml:space="preserve">SOURCE BRANCH CODE </t>
  </si>
  <si>
    <t>This field store transsactions reversal flag</t>
  </si>
  <si>
    <t xml:space="preserve"> maintains the country  branch code associated with the customer’s account.</t>
  </si>
  <si>
    <t xml:space="preserve"> maintains the source  branch code associated with the customer’s account.</t>
  </si>
  <si>
    <t xml:space="preserve"> maintains the branch code associated with the customer’s account.</t>
  </si>
  <si>
    <t>If this transaction is a refix or an interest
rate change then will contain the
new interest rate.
Valid value are: 0 -999.999999</t>
  </si>
  <si>
    <t>This field indicates the format in which
confirmations are to be printed.
The valid values of depend on the
range of confirmation types in use and the
user-defined codes set up to identify the
various confirmation types.
A full list of codes is given in the Central
Bankmaster - Money Market manual.</t>
  </si>
  <si>
    <t xml:space="preserve"> stores the unique identification number assigned to the customer.</t>
  </si>
  <si>
    <t xml:space="preserve"> maintains the issuance date  transfer or draft </t>
  </si>
  <si>
    <t>This field maintains the last known status of the transaction before the latest update.</t>
  </si>
  <si>
    <t>This field contains an indicator determining whether exchange rate advice is applicable.</t>
  </si>
  <si>
    <t>This field stores the date on which the fund transfer action was initiated or modified.</t>
  </si>
  <si>
    <t>This field maintains the country code associated with the payment recipient or destination.</t>
  </si>
  <si>
    <t>This field records the unique identifier of the intermediary financial institution handling the transfer.</t>
  </si>
  <si>
    <t>This field stores the unique code for the initiating branch handling the transaction.</t>
  </si>
  <si>
    <t>This field maintains the code linked to the branch manager overseeing the transfer.</t>
  </si>
  <si>
    <t>This field records the sort code assigned to the originating bank branch.</t>
  </si>
  <si>
    <t>This field contains system reserved information required for processing.</t>
  </si>
  <si>
    <t>This field stores the unique systemgenerated reference for tracking the transaction.</t>
  </si>
  <si>
    <t>This field maintains the finalized status of the fund transfer (e.g., completed, pending, failed).</t>
  </si>
  <si>
    <t>This field records the bank responsible for issuing the transfer request.</t>
  </si>
  <si>
    <t>This field stores the financial institution from which funds are debited.</t>
  </si>
  <si>
    <t>This field maintains the details of any covering bank involved in processing the payment.</t>
  </si>
  <si>
    <t>This field contains the country code of the issuing bank handling the transfer.</t>
  </si>
  <si>
    <t>This field records the complete amount being transferred, inclusive of fees if applicable.</t>
  </si>
  <si>
    <t>This field stores the mode of payment used for the transaction (e.g., wire transfer, EFT, direct debit).</t>
  </si>
  <si>
    <t>This field maintains the name of the authorized pension proxy managing fund distribution.</t>
  </si>
  <si>
    <t>This field records the recipient's full name if the transfer is related to pension payments.</t>
  </si>
  <si>
    <t>This field stores additional address details of the recipient.</t>
  </si>
  <si>
    <t>This field maintains extended address details for communication purposes.</t>
  </si>
  <si>
    <t>This field contains further locationspecific information of the beneficiary.</t>
  </si>
  <si>
    <t>This field records the sort code linked to the issuing financial institution.</t>
  </si>
  <si>
    <t>This field stores the corresponding sort code for transaction balancing.</t>
  </si>
  <si>
    <t>This field records the destination country code of the payment recipient.</t>
  </si>
  <si>
    <t>This field stores the primary identifier of the bank receiving the transferred funds.</t>
  </si>
  <si>
    <t>This field maintains the unique SWIFT/BIC code for international transactions.</t>
  </si>
  <si>
    <t>This field contains any additional extended details for address accuracy.</t>
  </si>
  <si>
    <t>This field stores the primary address details of the sender initiating the transfer.</t>
  </si>
  <si>
    <t>This field maintains additional address information related to the sender.</t>
  </si>
  <si>
    <t>This field records further address details for sender verification.</t>
  </si>
  <si>
    <t>This field contains the category or classification of pension related transactions.</t>
  </si>
  <si>
    <t>This field stores additional sender related address information.</t>
  </si>
  <si>
    <t>This field maintains extended sender location details for accuracy.</t>
  </si>
  <si>
    <t>This field records any additional financial institution involved in the transaction processing.</t>
  </si>
  <si>
    <t>This field stores the account number where the transferred funds will be deposited.</t>
  </si>
  <si>
    <t>This field maintains payment related details for the transfer request.</t>
  </si>
  <si>
    <t>This field records additional instructions or notes related to the transfer.</t>
  </si>
  <si>
    <t>This field stores further transaction specific remarks.</t>
  </si>
  <si>
    <t>This field contains final details for financial processing.</t>
  </si>
  <si>
    <t>This field records the reason for the transaction (e.g., business payment, loan repayment, remittance).</t>
  </si>
  <si>
    <t>This field stores the unique identifier for the financial ledger associated with the loan account.</t>
  </si>
  <si>
    <t>This field records the scheduled date for loan repayment.</t>
  </si>
  <si>
    <t>This field maintains the current operational status of the loan
0-Outstanding
1-Processed on Maturity
2-Deleted &amp; not reconciled
3-Refinanced
4-Early setteled
5-Modified
6-Written-off
7-Topped-up
8-Resheduled</t>
  </si>
  <si>
    <t>This field stores the currency type in which the loan is processed and repaid.</t>
  </si>
  <si>
    <t>This field contains the most recent date when the loan status was updated.</t>
  </si>
  <si>
    <t>This field stores the expected date when the loan term concludes.</t>
  </si>
  <si>
    <t>This field maintains the date on which the loan transaction was processed in the system.</t>
  </si>
  <si>
    <t>This field contains the total monetary value required for repayment on the scheduled date.</t>
  </si>
  <si>
    <t>This field records the applied interest rate on the funded loan amount.</t>
  </si>
  <si>
    <t>This field stores the calculated interest amount based on the loan funding rate.</t>
  </si>
  <si>
    <t>This field maintains whether the loan records have been reconciled and verified for accuracy.
0-Outstanding
 2-Deleted &amp; not reconciled</t>
  </si>
  <si>
    <t>This field is relevant if the PAYMENT TYPE set to be '3'.This field maintain to total number of payment which are to be made</t>
  </si>
  <si>
    <t>The branch code to which the standing
order is applicable.This field is only
relevant for sites with a Centralised
Multi-branch database</t>
  </si>
  <si>
    <t>This field stores the unique identifier of the branch where the service fee transaction is initiated or processed.</t>
  </si>
  <si>
    <t>This field maintains the unique reference number assigned to the specific service provided.</t>
  </si>
  <si>
    <t>This field defines whether the service was conducted at the branch or delivered remotely.0 - Branch; 1- Delivery Channel</t>
  </si>
  <si>
    <t>This field records the branch associated with the customer receiving the service.</t>
  </si>
  <si>
    <t>This field contains the unique account number linked to the service fee transaction.</t>
  </si>
  <si>
    <t>This field stores the predefined fee applicable to the requested service.</t>
  </si>
  <si>
    <t>This field maintains the amount that is eligible for charging based on service conditions.</t>
  </si>
  <si>
    <t>This field records the final amount deducted or charged to the customer’s account.</t>
  </si>
  <si>
    <t xml:space="preserve">This field defines the category under which the fee is charged </t>
  </si>
  <si>
    <t>This field stores the classification of the charge applied0-Excluded; 1-Fully charged; 2- Partially charged; 3-NoFund; 4-Manual</t>
  </si>
  <si>
    <t>This field maintains any relevant notes or comments related to the service fee processing.</t>
  </si>
  <si>
    <t>This field records the corresponding account used for balancing the service fee transaction.</t>
  </si>
  <si>
    <t>This field contains the total amount involved in the service fee process.</t>
  </si>
  <si>
    <t>This field stores the reference ID linked to the original transaction or request.</t>
  </si>
  <si>
    <t>This field maintains the date when the service fee transaction was executed in the system.</t>
  </si>
  <si>
    <t>This field categorizes the customer based on predefined classifications under the ABC list.</t>
  </si>
  <si>
    <t>This field maintains the unique identification number assigned to the customer.</t>
  </si>
  <si>
    <t>This field stores the full name of the customer for identification and record</t>
  </si>
  <si>
    <t>This field specifies the type of identification used (e.g., passport, national ID, business registration).</t>
  </si>
  <si>
    <t>This field holds the unique identification number assigned to the customer based on the selected identification type.</t>
  </si>
  <si>
    <t>This field records the name of the bank where the customer’s account or financial transactions were reported.</t>
  </si>
  <si>
    <t>This field stores the date when the customer details or transactions were reported.</t>
  </si>
  <si>
    <t>This field stores the unique account number associated with the customer's bank account.</t>
  </si>
  <si>
    <t>This field maintains the amount that has been blocked or restricted from use in the customer’s account.</t>
  </si>
  <si>
    <t>This field records the date on which the amount was blocked in the bank account.</t>
  </si>
  <si>
    <t>This field stores the ID of the user who initiated the blocking request.</t>
  </si>
  <si>
    <t>This field identifies the branch from which the blocking request originated.</t>
  </si>
  <si>
    <t>This field holds the ID of the user who most recently modified or blocked the amount in the account.</t>
  </si>
  <si>
    <t>This field maintains the timestamp of the latest blocking action applied to the account.</t>
  </si>
  <si>
    <t>This field stores the unique identifier code assigned to the customer’s bank branch.</t>
  </si>
  <si>
    <t>This field maintains the ID of the user managing customer account details.</t>
  </si>
  <si>
    <t>This field records the date and time of the latest update or transaction related to the customer’s account.</t>
  </si>
  <si>
    <t>This field stores the unique identification number assigned to the customer in the banking system.</t>
  </si>
  <si>
    <t>This field holds the unique number assigned to the customer’s bank account.</t>
  </si>
  <si>
    <t>This field maintains the IBAN associated with the customer’s bank account for international transactions.</t>
  </si>
  <si>
    <t>This field stores the full name of the customer for identification and record keeping purposes.</t>
  </si>
  <si>
    <t xml:space="preserve">This field specifies the customer's chosen language for communication and account statements.0-Arabic ; 1-English </t>
  </si>
  <si>
    <t>This field stores the date when the customer's bank account was first opened.</t>
  </si>
  <si>
    <t>This field tracks the branch code linked to the customer’s account.</t>
  </si>
  <si>
    <t>This field stores the identifier of the user who last modified the customer account details.</t>
  </si>
  <si>
    <t>This field maintains the timestamp for the latest modification of the customer record.</t>
  </si>
  <si>
    <t>This field stores the ID of the user who last updated the record.</t>
  </si>
  <si>
    <t>This field stores the DATE TIME of the last updated the record.</t>
  </si>
  <si>
    <t>This field indicates whether the record is new or has been updated.</t>
  </si>
  <si>
    <t>This field maintains the P.O. Box number linked to the customer.</t>
  </si>
  <si>
    <t>This field stores the name of the customer's city.</t>
  </si>
  <si>
    <t>This field maintains the postal or zip code for the customer’s address.</t>
  </si>
  <si>
    <t>This field stores the name of the country where the customer resides.</t>
  </si>
  <si>
    <t>This field holds the area code for the customer’s office phone number.</t>
  </si>
  <si>
    <t>This field maintains the office telephone number of the customer.</t>
  </si>
  <si>
    <t>This field holds the extension number for the customer’s office telephone.</t>
  </si>
  <si>
    <t>This field stores the area code for the customer’s home phone number.</t>
  </si>
  <si>
    <t>This field maintains the home telephone number of the customer.</t>
  </si>
  <si>
    <t>This field holds the extension number for the customer’s home telephone.</t>
  </si>
  <si>
    <t>This field stores the area code for the customer's fax number.</t>
  </si>
  <si>
    <t>This field maintains the fax number of the customer.</t>
  </si>
  <si>
    <t>This field holds the extension number for the customer’s fax.</t>
  </si>
  <si>
    <t>This field maintains the customer’s mobile phone number.</t>
  </si>
  <si>
    <t>This field stores the pager number associated with the customer.</t>
  </si>
  <si>
    <t>This field maintains the customer's email address for communication.</t>
  </si>
  <si>
    <t>This field holds the date of the last update made to the customer’s records.</t>
  </si>
  <si>
    <t xml:space="preserve">This field stores the type of address  Valid Values are: 0-PO Box;1-Saudi Post </t>
  </si>
  <si>
    <t xml:space="preserve">This field maintains the GPRS number associated with the customer. Applicable for Saudi postal address </t>
  </si>
  <si>
    <t xml:space="preserve">This field stores the unit or apartment number of the customer’s address.Applicable for Saudi postal address </t>
  </si>
  <si>
    <t>This field maintains the ID of the user who created the record.</t>
  </si>
  <si>
    <t>This field holds the date and time when the record was created.</t>
  </si>
  <si>
    <t>This field stores the date in Gregorian calendar format, which is widely used internationally for standard date representation.</t>
  </si>
  <si>
    <t>This field maintains the date in Hijri (Islamic) calendar format, which is commonly used in Islamic countries for religious and cultural purposes.</t>
  </si>
  <si>
    <t>This field stores the unique identifier code assigned to the customer's bank branch.</t>
  </si>
  <si>
    <t>This field maintains the ID of the user managing card  related processes.</t>
  </si>
  <si>
    <t>This field records the timestamp of any updates or requests related to the customer card.</t>
  </si>
  <si>
    <t>This field indicates whether the card record is newly created or modified.</t>
  </si>
  <si>
    <t xml:space="preserve">This field tracks whether updates have been processed within the banking system. 
Valid Values are : 
 1 - Pending with Supervisor
 2 - Pending with CSO
 3 - Rejected
 9 - Completed </t>
  </si>
  <si>
    <t>This field stores the ID of the supervisor responsible for reviewing the card request or update.</t>
  </si>
  <si>
    <t>This field maintains the unique card number assigned to the customer.</t>
  </si>
  <si>
    <t>This field indicates the status of the card request 
Valid Values are : 
0-Requested
1-Approved
2-Processed
3-GeneratedAtDc9000
4-ReceivedByBranch
5-ReceivedByCustomer
8-Canceled by Branch
9-Rejected</t>
  </si>
  <si>
    <t>This field specifies the type of card issued 
Valid Values are : 
R-Regular
I-International
V-VIP
A-Administrative
D-Deposit only, C-CPS
S-International chip card
L-Local chip card</t>
  </si>
  <si>
    <t>This field identifies whether the issued card is new or a replacement for an existing card.
Valid Values are : 
N-New
 R-Replacement</t>
  </si>
  <si>
    <t>This field tracks whether the card is a primary card or an additional supplementary card.
Valid Values are : 
P-Primary
S-Secondary</t>
  </si>
  <si>
    <t>This field shows the current state of the card 
Valid Values are : 
0-Requested
1-Open
2-Lost
3-Stolen
4-Restricted
9-Closed/Damaged</t>
  </si>
  <si>
    <t>This field maintains the geographical region associated with the cardholder.
Valid Values are : 
1-Central
2-West
3-East</t>
  </si>
  <si>
    <t>This field stores the bank account number linked to the issued card.</t>
  </si>
  <si>
    <t>This field records the preferred language for card usage in ATM.
Valid Values are : 
 0-Arabic
 1-English
 2-Arabic/English</t>
  </si>
  <si>
    <t>This field tracks the branch where the customer is registered for card issuance.</t>
  </si>
  <si>
    <t>This field stores the name printed on the customer’s issued card.</t>
  </si>
  <si>
    <t>This field maintains the primary address of the customer for card related correspondence.</t>
  </si>
  <si>
    <t>This field stores additional address details, if needed.</t>
  </si>
  <si>
    <t>This field stores the postal box number for receiving customer card related documents.</t>
  </si>
  <si>
    <t>This field maintains the city of the customer’s residence or business.</t>
  </si>
  <si>
    <t>This field stores the postal or ZIP code associated with the customer’s card delivery address.</t>
  </si>
  <si>
    <t>This field records the initial date when the card was first issued to the customer.</t>
  </si>
  <si>
    <t>This field tracks the date when the card is scheduled for renewal.</t>
  </si>
  <si>
    <t>This field maintains the date when the card expires.</t>
  </si>
  <si>
    <t>This field stores the date when the card request was rejected, if applicable.</t>
  </si>
  <si>
    <t>This field identifies the user who rejected the card request.</t>
  </si>
  <si>
    <t>This field records the reason why the card request was rejected.</t>
  </si>
  <si>
    <t>This field stores the date when the card was deactivated.</t>
  </si>
  <si>
    <t>This field identifies the user responsible for deactivating the card.</t>
  </si>
  <si>
    <t>This field holds the title or honorific associated with the cardholder</t>
  </si>
  <si>
    <t>This field maintains the identification number of the cardholder.</t>
  </si>
  <si>
    <t>This field specifies whether the customer prefers delivery to a bank branch or a P.O. Box.
Valid Values are : 
B-Branch
P-PO Box</t>
  </si>
  <si>
    <t>This field maintains the encrypted offset value used for secure PIN verification.</t>
  </si>
  <si>
    <t>This field stores the encrypted personal identification number (PIN) linked to the card.</t>
  </si>
  <si>
    <t>This field maintains the security code printed on the card for transaction authentication.</t>
  </si>
  <si>
    <t>This field records the PIN verification value used in secure transactions.</t>
  </si>
  <si>
    <t>This field specifies the nature of the card request VALID values are
0 - Initial Card
1 - Renewal
2 - Force Card
3 - Force Pin
4 - Deactivation
5 - Activation
6 - Change Address
7 - Restrictioin
8 - Unrestriction
C - Converted to Intl card
9 - Rejected</t>
  </si>
  <si>
    <t>This field tracks whether a new PIN request status
Valid Values are : 
0-Requested
 1-Approved
 2-Processed
 3-GeneratedAtDc9000
 4-ReceivedByBranch
 5-ReceivedByCustomer
 8-Canceled by Branch
 9-Rejected</t>
  </si>
  <si>
    <t>This field stores the date when the card was generated for issuance.</t>
  </si>
  <si>
    <t>This field identifies the user responsible for generating the card.</t>
  </si>
  <si>
    <t>This field tracks the date when the card arrived at the customer’s branch.</t>
  </si>
  <si>
    <t>This field stores the ID of the user who processed the card receipt at the branch.</t>
  </si>
  <si>
    <t>This field tracks the date when the card was handed over to the customer.</t>
  </si>
  <si>
    <t>This field stores the ID of the user who issued the card to the customer.</t>
  </si>
  <si>
    <t>This field records the date when the PIN was generated for the customer's card.</t>
  </si>
  <si>
    <t>This field stores the identifier of the user who generated the PIN.</t>
  </si>
  <si>
    <t>This field maintains the date when the PIN was received at the customer’s branch.</t>
  </si>
  <si>
    <t>This field stores the ID of the user responsible for processing the PIN receipt at the branch.</t>
  </si>
  <si>
    <t>This field records the date when the PIN was handed over to the customer.</t>
  </si>
  <si>
    <t>This field maintains the identifier of the user who issued the PIN to the customer.</t>
  </si>
  <si>
    <t>This field contains remarks or feedback provided by the supervisor regarding the card issuance process.</t>
  </si>
  <si>
    <t xml:space="preserve">This field indicates whether the customer selected a PIN at the branch.Valid Values are : 
Y - Pin select successful from branch 
N - Pin select failure from branch </t>
  </si>
  <si>
    <t xml:space="preserve">This field tracks whether the card was produced and issued at the branch level.Valid Values are : 
Y - Pin select successful from branch 
N - Pin select failure from branch </t>
  </si>
  <si>
    <t>This field records the specific time when the card request was rejected.</t>
  </si>
  <si>
    <t>This field maintains the exact time when the card was generated for issuance.</t>
  </si>
  <si>
    <t>This field stores the time when the card was received at the branch.</t>
  </si>
  <si>
    <t>This field records the precise time when the card was handed over to the customer.</t>
  </si>
  <si>
    <t>This field stores the time when the PIN was generated for the customer's card.</t>
  </si>
  <si>
    <t>This field maintains the time when the PIN was received at the customer’s branch.</t>
  </si>
  <si>
    <t>This field tracks the time when the PIN was handed over to the customer.</t>
  </si>
  <si>
    <t>This field records the exact time when the card was deactivated.</t>
  </si>
  <si>
    <t>This field tracks whether the card was deactivated due to Some type
	Valid Values are : 
 L - Lost
 S-Stolen
 D-Damaged</t>
  </si>
  <si>
    <t>This field stores the old card number if the customer was issued a replacement card.</t>
  </si>
  <si>
    <t>This field records the expiry date of the customer’s previous card.</t>
  </si>
  <si>
    <t>This field stores the identifier of the user who last modified the card details.</t>
  </si>
  <si>
    <t>This field maintains the timestamp for the last modification of the card record.</t>
  </si>
  <si>
    <t>This field tracks when the card request or update was processed.</t>
  </si>
  <si>
    <t>This field stores the main bank account number associated with the cardholder.</t>
  </si>
  <si>
    <t>This field records the date when the card was first used for a transaction.</t>
  </si>
  <si>
    <t>This field maintains the most recent date the card was used for a transaction.</t>
  </si>
  <si>
    <t>This field tracks the origin of the card request, such as branch, online, or direct application.</t>
  </si>
  <si>
    <t xml:space="preserve">This field indicates whether the card has been converted from one type to another. 
Valid Values are :
 0 - No
 1 - Yes 
 </t>
  </si>
  <si>
    <t>This field stores the card number that was previously issued before replacement or renewal.</t>
  </si>
  <si>
    <t>This field specifies the type of card issued under the Bank 24 classification. P,PA,P1,P2, etc</t>
  </si>
  <si>
    <t>This field tracks whether the card request originated from a closed or reactivated account.</t>
  </si>
  <si>
    <t>This field specifies the reason why the card was restricted or blocked. 
 Valid Values are
  1 - Restricted with Warning for SAMA;
 2 - Restricted with card blocking
 0 - Not Restricted for SAMA requirement</t>
  </si>
  <si>
    <t>This field records the year in which the card fees were applied.</t>
  </si>
  <si>
    <t>This field stores the year in which the old card expired before renewal or replacement.</t>
  </si>
  <si>
    <t>This field tracks whether a new pension linked card has been issued.</t>
  </si>
  <si>
    <t>This field holds the secondary security code for card transactions, typically used for online purchases.</t>
  </si>
  <si>
    <t>This field maintains the identifier of the user who last modified the card details.</t>
  </si>
  <si>
    <t>This field stores the timestamp for the last modification of the card record.</t>
  </si>
  <si>
    <t>This field tracks the reason for the card 
	Valid Values are : 
 L - Lost
 S-Stolen
 D-Damaged</t>
  </si>
  <si>
    <t>This field records the last date when a card related charge was applied.</t>
  </si>
  <si>
    <t>This field maintains the most recent date when a card related fee was charged.</t>
  </si>
  <si>
    <t>This field tracks whether the card has been successfully delivered to the customer.</t>
  </si>
  <si>
    <t>This field identifies the branch responsible for delivering the card to the customer.</t>
  </si>
  <si>
    <t>This field stores the name of the corporation linked to the customer’s business or corporate card.</t>
  </si>
  <si>
    <t>This field maintains the employee ID number if the card is issued under a corporate plan.</t>
  </si>
  <si>
    <t>This field stores the expiration date of the old card before renewal or replacement.</t>
  </si>
  <si>
    <t>This field stores the unique account number associated with the cheque request.</t>
  </si>
  <si>
    <t>This field maintains the identifier for the branch handling the cheque deletion request.</t>
  </si>
  <si>
    <t>This field specifies the type of cheque requested for deletion (e.g. 1- personal; 2- corporate).</t>
  </si>
  <si>
    <t>This field tracks the number of cheque books that were requested before deletion.</t>
  </si>
  <si>
    <t>This field stores the ID of the user who initiated the cheque deletion request.</t>
  </si>
  <si>
    <t>This field records the date and time when the cheque deletion request was made.</t>
  </si>
  <si>
    <t>This field indicates the current status of the deletion request  1 - Requested
 2 - Produced
 3 - Received by Branch
 4 - Issued to customer
 9 - Rejected by branch</t>
  </si>
  <si>
    <t>This field maintains the branch code associated with the customer’s account linked to the cheque deletion request.</t>
  </si>
  <si>
    <t>This field records the exact date and time when the cheque was deleted from the system.</t>
  </si>
  <si>
    <t>This field stores the ID of the user who processed the cheque deletion.</t>
  </si>
  <si>
    <t>This field tracks the reason for deleting the cheque (e.g., lost cheque, cancellation request, fraud prevention).</t>
  </si>
  <si>
    <t>This field stores the identifier of the user who last modified the cheque deletion request details.</t>
  </si>
  <si>
    <t>This field maintains the timestamp for the latest modification of the cheque deletion record.</t>
  </si>
  <si>
    <t>This field stores the unique account number associated with the cheque book request.</t>
  </si>
  <si>
    <t>This field maintains the identifier for the branch processing the cheque book request.</t>
  </si>
  <si>
    <t>This field records the quantity of cheque books requested by the customer.</t>
  </si>
  <si>
    <t>This field stores the ID of the user who initiated the cheque book request.</t>
  </si>
  <si>
    <t>This field records the timestamp when the cheque book request was made.</t>
  </si>
  <si>
    <t>This field stores the date when the cheque book was produced and prepared for issuance.</t>
  </si>
  <si>
    <t>This field identifies the user responsible for processing and generating the cheque book.</t>
  </si>
  <si>
    <t>This field tracks the date when the cheque book was received at the customer’s branch for collection.</t>
  </si>
  <si>
    <t>This field maintains the identifier of the user who processed the cheque book receipt at the branch.</t>
  </si>
  <si>
    <t>This field records the date when the cheque book was handed over to the customer.</t>
  </si>
  <si>
    <t>This field identifies the user who issued the cheque book to the customer.</t>
  </si>
  <si>
    <t>This field maintains the branch code associated with the customer’s account linked to the cheque book request.</t>
  </si>
  <si>
    <t>This field stores the starting cheque number in the issued cheque book.</t>
  </si>
  <si>
    <t>This field maintains the last cheque number in the issued cheque book.</t>
  </si>
  <si>
    <t>This field records the date when the customer formally requested a cheque book.</t>
  </si>
  <si>
    <t>This field tracks the date when the cheque book request was rejected.</t>
  </si>
  <si>
    <t>This field maintains the identifier of the user who processed the rejection of the cheque book request.</t>
  </si>
  <si>
    <t>This field specifies the reason why the cheque book request was denied.</t>
  </si>
  <si>
    <t>This field records the time when the cheque book was generated and finalized.</t>
  </si>
  <si>
    <t>This field stores the exact time when the cheque book was received by the branch.</t>
  </si>
  <si>
    <t>This field tracks the precise time when the cheque book was handed over to the customer.</t>
  </si>
  <si>
    <t>This field records the exact time when the cheque book request was rejected.</t>
  </si>
  <si>
    <t>This field maintains the identifier for the branch responsible for delivering the cheque book.</t>
  </si>
  <si>
    <t>This field stores the identifier of the user who last modified the cheque book details.</t>
  </si>
  <si>
    <t>This field maintains the timestamp for the latest modification of the cheque book record.</t>
  </si>
  <si>
    <t>This field stores the unique identifier for the branch handling the reference record.</t>
  </si>
  <si>
    <t>This field maintains the ID of the user managing the reference details.</t>
  </si>
  <si>
    <t>This field records the timestamp when the reference record was created or updated.</t>
  </si>
  <si>
    <t>This field indicates whether the reference record is newly created or modified.</t>
  </si>
  <si>
    <t>This field stores the unique identification number assigned to the customer in the reference system.</t>
  </si>
  <si>
    <t>This field maintains the unique reference number assigned to the customer for verification purposes.</t>
  </si>
  <si>
    <t>This field specifies the purpose of the reference request.Reference for
 1 - Blind person
 2 - Veiled woman
 3 - Incompetent person
 4 - Minor
 5 - Minor with special circumstances
 6 - Mentally disabled</t>
  </si>
  <si>
    <t>This field categorizes the reference For 0-Personal Reference
1-Legal reporesentative
2-Foster parents
3-Guardian</t>
  </si>
  <si>
    <t>This field stores the ID of the supervisor reviewing the reference request.</t>
  </si>
  <si>
    <t>This field maintains the branch code linked to the customer’s reference record.</t>
  </si>
  <si>
    <t>This field holds the customer's first name in Arabic.</t>
  </si>
  <si>
    <t>This field maintains the customer's second name in Arabic.</t>
  </si>
  <si>
    <t>This field stores the customer's third name in Arabic.</t>
  </si>
  <si>
    <t>This field holds the customer's last name in Arabic.</t>
  </si>
  <si>
    <t>This field stores a short form version of the customer's Arabic name.</t>
  </si>
  <si>
    <t>This field maintains the customer's first name in English.</t>
  </si>
  <si>
    <t>This field stores the customer's second name in English.</t>
  </si>
  <si>
    <t>This field holds the customer's third name in English.</t>
  </si>
  <si>
    <t>This field records the customer's last name in English.</t>
  </si>
  <si>
    <t>This field maintains the customer's short  form English name.</t>
  </si>
  <si>
    <t>This field specifies the type of identification used (e.g.,  I - Saudi ID ; Q - Iqama ; P - passport).</t>
  </si>
  <si>
    <t>This field stores the unique identification number associated with the reference record.</t>
  </si>
  <si>
    <t>This field tracks whether the reference is active, pending, or expired.</t>
  </si>
  <si>
    <t>This field records the date when the reference record was deactivated.</t>
  </si>
  <si>
    <t>This field maintains the date when the reference record was last updated in the banking system.</t>
  </si>
  <si>
    <t>This field indicates whether modifications were made to the reference record.Y-changed ; N-Not changed</t>
  </si>
  <si>
    <t>This field stores the origin of the customer record creation (e.g., online, branch, referral).</t>
  </si>
  <si>
    <t>This field holds the identifier of the user who last modified the reference record.P-customer created through phone; otherValue-created through branc</t>
  </si>
  <si>
    <t>This field stores the timestamp of the last modification to the reference record.</t>
  </si>
  <si>
    <t>This field indicates whether the reference record is currently active or has been disabled.</t>
  </si>
  <si>
    <t>This field records the date when the reference was deactivated.</t>
  </si>
  <si>
    <t>This field maintains the date when the reference record was last modified in the banking system.</t>
  </si>
  <si>
    <t>This field tracks the origin of the customer record creation .P-customer created through phone otherValue-created through branc</t>
  </si>
  <si>
    <t>This field stores the identifier of the user who initially created the reference record.</t>
  </si>
  <si>
    <t>This field maintains the timestamp of when the reference record was created in the system.</t>
  </si>
  <si>
    <t>This field holds the identifier of the user who last modified the reference record</t>
  </si>
  <si>
    <t>This field stores the unique identifier assigned to the branch.</t>
  </si>
  <si>
    <t>This field stores the complete address of the branch in Arabic.</t>
  </si>
  <si>
    <t>This field records the complete address of the branch in English.</t>
  </si>
  <si>
    <t>This field maintains the code representing the city where the branch is located.</t>
  </si>
  <si>
    <t>This field stores the postal box number linked to the branch.</t>
  </si>
  <si>
    <t>This field records the zip or postal code for the branch location.</t>
  </si>
  <si>
    <t>This field specifies the region code used for sending welcome letters to branch customers.</t>
  </si>
  <si>
    <t>This field maintains the timestamp of the last data refresh or update.</t>
  </si>
  <si>
    <t>This field stores the area code for the branch’s telephone contact.</t>
  </si>
  <si>
    <t>This field records the primary telephone number for branch communications.</t>
  </si>
  <si>
    <t>This field holds any extension number associated with the branch phone system.</t>
  </si>
  <si>
    <t>This field identifies whether the branch is a physical (real) or virtual (pseudo) entity	Valid Values are : 
 1- realBranch
 0- PseudoBranch
 2-Pseudo branch facing customer</t>
  </si>
  <si>
    <t>This field stores the identifier of the main branch overseeing operations.</t>
  </si>
  <si>
    <t>This field tracks whether card production services are available at the branch.</t>
  </si>
  <si>
    <t xml:space="preserve">This field records whether customers can select PINs at the branch.
Valid Values are :
 0 - No
 1 - Yes 
 </t>
  </si>
  <si>
    <t xml:space="preserve">This field indicates whether PIN printing services are supported at the branch.
Valid Values are :
 0 - No
 1 - Yes 
 </t>
  </si>
  <si>
    <t xml:space="preserve">This field tracks whether card requests can be initiated directly at the branch.
Valid Values are :
 0 - No
 1 - Yes 
 </t>
  </si>
  <si>
    <t xml:space="preserve">This field identifies if updates to branch records are restricted.
Valid Values are :
 0 - No
 1 - Yes 
 </t>
  </si>
  <si>
    <t xml:space="preserve">This field specifies whether editing of main branch details is permitted.
Valid Values are :
 0 - No
 1 - Yes 
 </t>
  </si>
  <si>
    <t xml:space="preserve">This field tracks whether customers can select their TPIN (Transaction PIN) at the branch.
Valid Values are :
 0 - No
 1 - Yes 
 </t>
  </si>
  <si>
    <t xml:space="preserve">This field indicates whether the branch supports the activation of dormant accounts.
Valid Values are :
 0 - No
 1 - Yes 
 </t>
  </si>
  <si>
    <t xml:space="preserve">This field specifies if TPIN selection is a mandatory requirement at the branch.
Valid Values are :
 0 - No
 1 - Yes 
 </t>
  </si>
  <si>
    <t xml:space="preserve">This field determines whether customer name searches are allowed within the branch.
Valid Values are :
 0 - No
 1 - Yes 
 </t>
  </si>
  <si>
    <t xml:space="preserve">This field tracks whether standard order requests can be processed by the branch.
Valid Values are :
 0 - No
 1 - Yes 
 </t>
  </si>
  <si>
    <t xml:space="preserve">This field specifies whether the branch is allowed to modify customer names.
Valid Values are :
 0 - No
 1 - Yes 
 </t>
  </si>
  <si>
    <t xml:space="preserve">This field identifies whether customer address unification is supported at the branch.
Valid Values are :
 0 - No
 1 - Yes 
 </t>
  </si>
  <si>
    <t xml:space="preserve">This field indicates if balance inquiries are restricted at the branch.
Valid Values are :
 0 - No
 1 - Yes 
 </t>
  </si>
  <si>
    <t xml:space="preserve">This field maintains whether warning messages are displayed in the branch system.
Valid Values are :
 0 - No
 1 - Yes 
 </t>
  </si>
  <si>
    <t xml:space="preserve">This field tracks whether the branch supports chip card transactions.
Valid Values are :
 0 - No
 1 - Yes 
 </t>
  </si>
  <si>
    <t xml:space="preserve">This field records whether new pensionlinked cards can be issued at the branch.
Valid Values are :
 0 - No
 1 - Yes 
 </t>
  </si>
  <si>
    <t xml:space="preserve">This field identifies whether the branch operates as a mail distribution center.
Valid Values are :
 0 - No
 1 - Yes 
 </t>
  </si>
  <si>
    <t xml:space="preserve">This field tracks whether the branch is designated for mandaterelated processing.
Valid Values are :
 0 - No
 1 - Yes 
 </t>
  </si>
  <si>
    <t xml:space="preserve">This field indicates if the branch functions as a call center for customer support.
Valid Values are :
 0 - No
 1 - Yes 
 </t>
  </si>
  <si>
    <t xml:space="preserve">This field maintains whether internal customer account openings are permitted at the branch.
Valid Values are :
 0 - No
 1 - Yes 
 </t>
  </si>
  <si>
    <t xml:space="preserve">This field stores the code representing the region in which the branch operates.
Valid Values are :
  1-Central
  2-Western
  3-Eastern 
</t>
  </si>
  <si>
    <t xml:space="preserve">This field classifies the branch by its operational category (e.g., retail, corporate, digital).
Valid Values are :
0-Retail
1-Commercial
  2-Corporate  </t>
  </si>
  <si>
    <t xml:space="preserve">This field identifies whether the branch operates under Islamic banking principles.
Valid Values are :
 0 - No
 1 - Yes 
 </t>
  </si>
  <si>
    <t xml:space="preserve">This field tracks whether locallyissued chip cards are supported at the branch.
Valid Values are :
 0 - No
 1 - Yes 
 </t>
  </si>
  <si>
    <t xml:space="preserve">This field specifies whether new customer accounts can be opened at the branch.
Valid Values are :
 0 - No
 1 - Yes 
 </t>
  </si>
  <si>
    <t xml:space="preserve">This field indicates whether pensionrelated accounts can be opened at the branch.
Valid Values are :
 0 - No
 1 - Yes 
 </t>
  </si>
  <si>
    <t xml:space="preserve">This field maintains whether feerelated exclusions can be updated at the branch level.
Valid Values are :
 0 - No
 1 - Yes 
 </t>
  </si>
  <si>
    <t xml:space="preserve">This field determines if general updates related to SAMA compliance can be processed at the branch.
Valid Values are :
 0 - No
 1 - Yes 
 </t>
  </si>
  <si>
    <t xml:space="preserve">This field specifies whether the branch serves as a SWIFT banking transaction center.
Valid Values are :
 0 - No
 1 - Yes 
 </t>
  </si>
  <si>
    <t xml:space="preserve">This field tracks whether SWIFT transfers are centrally processed.
Valid Values are :
 0 - No
 1 - Yes 
 </t>
  </si>
  <si>
    <t xml:space="preserve">This field records whether the branch handles payroll transactions.
Valid Values are :
 0 - No
 1 - Yes 
 </t>
  </si>
  <si>
    <t>This field specifies the duration for which accounts may be frozen due to inactivity or regulatory restrictions.</t>
  </si>
  <si>
    <t xml:space="preserve">This field tracks whether the branch supports printing cards upon account opening.
Valid Values are :
 0 - No
 1 - Yes 
 </t>
  </si>
  <si>
    <t>This field stores the identifier of the user who last modified the branch data record.</t>
  </si>
  <si>
    <t>This field maintains the unique identification number assigned to the biller.</t>
  </si>
  <si>
    <t>This field specifies the type of transactions allowed with the biller (e.g., payments, refunds, adjustments).</t>
  </si>
  <si>
    <t>This field maintains the linked account number used for biller transactions.</t>
  </si>
  <si>
    <t>This field defines the validation method used for verifying transaction accuracy with the biller.</t>
  </si>
  <si>
    <t xml:space="preserve">This field indicates whether customers are permitted to prepay their bills. 
Valid Values are :
 0 - No
 1 - Yes </t>
  </si>
  <si>
    <t xml:space="preserve">This field lists the prepayment options accepted by the biller  5 Types with 4 characters each </t>
  </si>
  <si>
    <t>This field defines the postpayment methods supported by the biller.5 Types with 4 characters each</t>
  </si>
  <si>
    <t>This field provides additional descriptive information about the biller in Arabic.</t>
  </si>
  <si>
    <t>This field provides additional descriptive information about the biller in English.</t>
  </si>
  <si>
    <t>This field stores the account number used for handling cash transactions with the biller.</t>
  </si>
  <si>
    <t>This field categorizes the services provided by the biller (e.g., utilities, telecom, government services).</t>
  </si>
  <si>
    <t xml:space="preserve">This field indicates whether the biller is currently disabled or inactive.
Valid Values are :
 0 - No
 1 - Yes </t>
  </si>
  <si>
    <t>This field tracks whether reversals for biller related transactions are permitted.</t>
  </si>
  <si>
    <t>This field stores the identifier of the user who last modified the biller record.</t>
  </si>
  <si>
    <t>This field maintains the timestamp of the most recent update to the biller record.</t>
  </si>
  <si>
    <t>This field maintains the complete address of the CVR bank in Arabic.</t>
  </si>
  <si>
    <t>This field maintains the identifier of the user who last modified the CVR bank details.</t>
  </si>
  <si>
    <t>This field stores the timestamp of the most recent modification to the CVR bank record.</t>
  </si>
  <si>
    <t>This field stores the primary classification of the customer or business under SAMA (Saudi Arabian Monetary Authority) regulations.</t>
  </si>
  <si>
    <t>This field records the secondary classification of the customer or business under SAMA guidelines.</t>
  </si>
  <si>
    <t>This field provides a brief description of the category in Arabic.</t>
  </si>
  <si>
    <t>This field provides a brief description of the category in English.</t>
  </si>
  <si>
    <t>This field stores the due date for the first notification or compliance letter.</t>
  </si>
  <si>
    <t>This field maintains the due date for the second notification or follow up compliance letter.</t>
  </si>
  <si>
    <t>This field tracks the due date for the third and final compliance notification.</t>
  </si>
  <si>
    <t xml:space="preserve">This field specifies whether a commercial registration license is mandatory for this category.
Valid Values are :
 0 - No
 1 - Yes </t>
  </si>
  <si>
    <t>This field defines the account status that triggers freezing actions under compliance regulations.</t>
  </si>
  <si>
    <t>This field tracks the allowed grace period before freezing the account due to inactivity or compliance requirements.</t>
  </si>
  <si>
    <t>This field stores the time frame within which fund movements are monitored for regulatory compliance.</t>
  </si>
  <si>
    <t>This field indicates whether fund movement monitoring is currently valid for this category.
	Valid Values are : 
0-Valid
 1-Invalid</t>
  </si>
  <si>
    <t xml:space="preserve">This field tracks whether fund movement rules apply to accounts under this category.
Valid Values are :
 0 - No
 1 - Yes </t>
  </si>
  <si>
    <t xml:space="preserve">This field maintains the identifier for the owner responsible for expiry related reporting.
Valid Values are :
 0 - No
 1 - Yes </t>
  </si>
  <si>
    <t xml:space="preserve">This field specifies whether transactions under this category require SAMA regulatory approval.
Valid Values are :
 0 - No
 1 - Yes </t>
  </si>
  <si>
    <t xml:space="preserve">This field tracks whether non Saudi individuals are allowed as signatories for accounts or contracts.
Valid Values are :
 0 - No
 1 - Yes </t>
  </si>
  <si>
    <t xml:space="preserve">This field specifies whether a license number is a required field for entities in this category.
Valid Values are :
 0 - No
 1 - Yes </t>
  </si>
  <si>
    <t xml:space="preserve">This field indicates if only resident individuals are allowed to operate accounts under this category.
Valid Values are :
 0 - No
 1 - Yes </t>
  </si>
  <si>
    <t xml:space="preserve">This field tracks whether new account openings are permitted for customers under this category.
Valid Values are :
 0 - No
 1 - Yes </t>
  </si>
  <si>
    <t xml:space="preserve">This field specifies whether cheque books can be issued under this category.
Valid Values are :
 0 - No
 1 - Yes </t>
  </si>
  <si>
    <t xml:space="preserve">This field determines whether a second grace period is applicable before compliance actions are enforced.
Valid Values are :
 0 - No
 1 - Yes </t>
  </si>
  <si>
    <t xml:space="preserve">This field tracks whether compliance actions must be taken when a customer’s ID expires.
Valid Values are :
 0 - No
 1 - Yes </t>
  </si>
  <si>
    <t xml:space="preserve">This field specifies whether ATM cards can be issued under this category.
Valid Values are :
 0 - No
 1 - Yes </t>
  </si>
  <si>
    <t xml:space="preserve">This field tracks whether general customers are allowed to open accounts under this category.
Valid Values are :
 0 - No
 1 - Yes </t>
  </si>
  <si>
    <t xml:space="preserve">This field defines whether accounts in this category require reporting to compliance departments.
Valid Values are :
 0 - No
 1 - Yes </t>
  </si>
  <si>
    <t>This field tracks the elapsed years since the account or entity was registered under the category.</t>
  </si>
  <si>
    <t>This field stores the identifier of the user who last modified this category configuration.</t>
  </si>
  <si>
    <t>This field maintains the timestamp of the most recent modification of the category configuration record.</t>
  </si>
  <si>
    <t>This field records the standard area code used for telephone communications within the city.</t>
  </si>
  <si>
    <t>This field maintains whether commercial registrations are processed for the city.</t>
  </si>
  <si>
    <t>This field stores the identifier of the user who last modified the city information.</t>
  </si>
  <si>
    <t>This field maintains the timestamp of the most recent modification to the city record.</t>
  </si>
  <si>
    <t>This field stores the primary classification of the document under SAMA (Saudi Arabian Monetary Authority) regulations.</t>
  </si>
  <si>
    <t>This field records the secondary classification of the document under SAMA guidelines.</t>
  </si>
  <si>
    <t>This field stores the identifier of the user who last modified the document category details.</t>
  </si>
  <si>
    <t>This field records the timestamp of the latest modification made to the document category record.</t>
  </si>
  <si>
    <t>This field maintains the unique identifier associated with a specific ledger type.</t>
  </si>
  <si>
    <t>This field specifies whether account creation is allowed under this ledger type.
Valid Values are :
 0 - No
 1 - Yes</t>
  </si>
  <si>
    <t xml:space="preserve">This field tracks whether SAMA (Saudi Arabian Monetary Authority) restrictions apply to accounts under this ledger type.
Valid Values are :
 0 - No
 1 - Yes </t>
  </si>
  <si>
    <t xml:space="preserve">This field indicates whether obligation memos are required for accounts under this ledger type.
Valid Values are :
 0 - No
 1 - Yes </t>
  </si>
  <si>
    <t xml:space="preserve">This field tracks whether specific memos related to time deposits must be attached to accounts in this ledger.
Valid Values are :
 0 - No
 1 - Yes </t>
  </si>
  <si>
    <t>This field defines the acceptable range for interest rate variation in fixed deposits.</t>
  </si>
  <si>
    <t xml:space="preserve">This field indicates whether term deposit debit memos are required for transactions under this ledger type.
Valid Values are :
 0 - No
 1 - Yes </t>
  </si>
  <si>
    <t>This field stores the minimum amount required for deposits under this ledger type.</t>
  </si>
  <si>
    <t>This field maintains the longest allowable period for deposits under this ledger type.</t>
  </si>
  <si>
    <t>This field specifies whether ATM cards can be issued under this ledger type.</t>
  </si>
  <si>
    <t>This field tracks the acceptable range of value date variations for fixed deposits.</t>
  </si>
  <si>
    <t>This field specifies whether time deposits can be renewed under this ledger type.</t>
  </si>
  <si>
    <t xml:space="preserve">This field indicates whether memos should be disregarded when branches update records in this ledger.
Valid Values are :
 0 - No
 1 - Yes </t>
  </si>
  <si>
    <t>This field maintains the unique identifier for cheque books issued under this ledger type.</t>
  </si>
  <si>
    <t>This field stores the identifier of the user who last modified the ledger type details.</t>
  </si>
  <si>
    <t>This field records the timestamp of the most recent update made to the ledger record.</t>
  </si>
  <si>
    <t>This field holds the unique identifier assigned to a country for classification and reference purposes.</t>
  </si>
  <si>
    <t>This field records the internationally recognized ISO code for the country (e.g., SA for Saudi Arabia, 084 for United States).</t>
  </si>
  <si>
    <t xml:space="preserve">This field specifies whether the country is part of the Gulf Cooperation Council (GCC).
Valid Values are :
 0 - No
 1 - Yes </t>
  </si>
  <si>
    <t>This field stores the identifier of the user who last modified the country details.</t>
  </si>
  <si>
    <t>This field records the timestamp of the most recent modification made to the country record.</t>
  </si>
  <si>
    <t>This field maintains a unique identifier representing the specific account package type.</t>
  </si>
  <si>
    <t>This field holds a brief version of the package account name in Arabic.</t>
  </si>
  <si>
    <t>This field maintains a condensed form of the package account name in English.</t>
  </si>
  <si>
    <t xml:space="preserve">This field indicates whether a specialized cheque book is required for accounts under this package.
Valid Values are :
 0 - No
 1 - Yes </t>
  </si>
  <si>
    <t xml:space="preserve">This field specifies whether a unique ATM card is issued for package accounts.
Valid Values are :
 0 - No
 1 - Yes </t>
  </si>
  <si>
    <t>This field records the heading or title used for PIN mailers associated with accounts in this package.</t>
  </si>
  <si>
    <t>This field tracks how frequently account statements are generated for this package type 
Valid Values are : 
Q - Quater
 H - half year</t>
  </si>
  <si>
    <t>This field stores the identifier of the user who last modified the package account details.</t>
  </si>
  <si>
    <t>This field maintains the timestamp of the most recent modification made to the package account record.</t>
  </si>
  <si>
    <t>This field stores the initial number of the defined range.</t>
  </si>
  <si>
    <t>This field holds the final number of the range, marking its limit.</t>
  </si>
  <si>
    <t>This field tracks the most recent number used within the range.</t>
  </si>
  <si>
    <t>This field records the identifier of the user who last modified the range details.</t>
  </si>
  <si>
    <t>This field maintains the timestamp of the most recent update made to the range record.</t>
  </si>
  <si>
    <t>This field stores the unique code identifying the branch where the customer account is maintained.</t>
  </si>
  <si>
    <t>This field maintains the ID of the user managing customer details.</t>
  </si>
  <si>
    <t>This field records the date and time when customer details were modified or updated.</t>
  </si>
  <si>
    <t>This field indicates whether the customer record is newly created or has been modified.  N - New ; U - Update</t>
  </si>
  <si>
    <t>This field stores the unique identification number assigned to the customer.</t>
  </si>
  <si>
    <t>This field holds the ID of the supervisor responsible for reviewing customer updates.</t>
  </si>
  <si>
    <t>This field maintains the branch code associated with the customer’s account.</t>
  </si>
  <si>
    <t>This field specifies the type of identification used (e.g., passport, national ID, residency permit).</t>
  </si>
  <si>
    <t>This field records the location or organization that issued the customer’s identification.</t>
  </si>
  <si>
    <t>This field specifies whether the identification dates are in Hijri or Gregorian format.</t>
  </si>
  <si>
    <t>This field maintains the issuance date of the customer’s identification in Hijri format.</t>
  </si>
  <si>
    <t>This field maintains the issuance date of the customer’s identification in Gregorian format.</t>
  </si>
  <si>
    <t>This field stores the expiration date of the customer's identification in Hijri format.</t>
  </si>
  <si>
    <t>This field stores the expiration date of the customer's identification in Gregorian format.</t>
  </si>
  <si>
    <t>This field specifies the customer's preferred language for communication.</t>
  </si>
  <si>
    <t>This field stores the nationality of the customer.</t>
  </si>
  <si>
    <t>This field holds the approval reference number linked to the customer record.</t>
  </si>
  <si>
    <t>This field maintains the title or honorific associated with the customer (e.g., Mr., Dr.).</t>
  </si>
  <si>
    <t>This field specifies whether the customer’s date of birth is recorded in Hijri or Gregorian format.</t>
  </si>
  <si>
    <t>This field stores the customer's birth date in Hijri format.</t>
  </si>
  <si>
    <t>This field stores the customer's birth date in Gregorian format.</t>
  </si>
  <si>
    <t>This field specifies the customer's gender.</t>
  </si>
  <si>
    <t>This field holds a code indicating whether the customer has VIP status.</t>
  </si>
  <si>
    <t>This field stores the customer’s marital status (e.g., single, married, divorced).</t>
  </si>
  <si>
    <t>This field indicates how many dependents are associated with the customer.</t>
  </si>
  <si>
    <t>This field tracks the customer’s residency type (e.g., resident, non</t>
  </si>
  <si>
    <t>This field specifies the type of business or economic activity associated with the customer.</t>
  </si>
  <si>
    <t>This field maintains the unique registration number assigned to a customer's business.</t>
  </si>
  <si>
    <t>This field stores the location or authority that issued the customer's commercial registration.</t>
  </si>
  <si>
    <t>This field specifies whether the commercial registration issue date is recorded in Hijri or Gregorian format.</t>
  </si>
  <si>
    <t>This field maintains the issuance date of the customer's commercial registration in Hijri format.</t>
  </si>
  <si>
    <t>This field maintains the issuance date of the customer's commercial registration in Gregorian format.</t>
  </si>
  <si>
    <t>This field stores the first Arabic name of the customer's organization.</t>
  </si>
  <si>
    <t>This field stores the second Arabic name of the customer's organization, if applicable.</t>
  </si>
  <si>
    <t>This field maintains the short form Arabic name of the customer's organization.</t>
  </si>
  <si>
    <t>This field stores the first English name of the customer's organization.</t>
  </si>
  <si>
    <t>This field stores the second English name of the customer's organization, if applicable.</t>
  </si>
  <si>
    <t>This field maintains the short form English name of the customer's organization.</t>
  </si>
  <si>
    <t>This field holds the customer's second name in Arabic.</t>
  </si>
  <si>
    <t>This field holds the customer's third name in Arabic.</t>
  </si>
  <si>
    <t>This field holds the customer's first name in English.</t>
  </si>
  <si>
    <t>This field holds the customer's second name in English.</t>
  </si>
  <si>
    <t>This field holds the customer's last name in English.</t>
  </si>
  <si>
    <t>This field stores a short form version of the customer's English name.</t>
  </si>
  <si>
    <t>This field stores the customer's main address.</t>
  </si>
  <si>
    <t>This field stores additional address details, if necessary.</t>
  </si>
  <si>
    <t>This field stores the customer's postal box number.</t>
  </si>
  <si>
    <t>This field holds the customer's city of residence.</t>
  </si>
  <si>
    <t>This field stores the postal or ZIP code of the customer's address.</t>
  </si>
  <si>
    <t>This field maintains the name of the country where the customer resides.</t>
  </si>
  <si>
    <t>This field specifies whether the customer's address is Types
Valid Values are :
 0-PO Box
 1-Saudi Post</t>
  </si>
  <si>
    <t>This field records the General Packet Radio Service (GPRS) number if applicable.Added for Saudi postal address</t>
  </si>
  <si>
    <t>This field holds the unit or apartment number within the customer's address.Added for Saudi postal address</t>
  </si>
  <si>
    <t>This field tracks the grace period allowed before an account is frozen due to inactivity or regulatory requirements.</t>
  </si>
  <si>
    <t>This field stores the area code of the customer's office phone number.</t>
  </si>
  <si>
    <t>This field holds the customer's office telephone number.</t>
  </si>
  <si>
    <t>This field maintains the extension number for the customer's office telephone.</t>
  </si>
  <si>
    <t>This field stores the area code for the customer's home phone number.</t>
  </si>
  <si>
    <t>This field holds the customer's home telephone number.</t>
  </si>
  <si>
    <t>This field maintains the extension number for the customer's home telephone.</t>
  </si>
  <si>
    <t>This field maintains the customer's fax number.</t>
  </si>
  <si>
    <t>This field holds the extension number for the customer's fax number.</t>
  </si>
  <si>
    <t>This field stores the customer's mobile phone number.</t>
  </si>
  <si>
    <t>This field holds the pager number associated with the customer.</t>
  </si>
  <si>
    <t>This field indicates the customer's education level or qualifications.</t>
  </si>
  <si>
    <t>This field specifies the customer's profession or occupation.</t>
  </si>
  <si>
    <t>This field tracks the customer’s job position within their organization or company.</t>
  </si>
  <si>
    <t>This field stores the customer's monthly income for financial assessment.</t>
  </si>
  <si>
    <t>This field tracks whether the customer owns assets such as real estate or vehicles.
Valid Values are :
         Position 0-RentHouse; Value 1 means RentHouse else no RentHouse
         Position 1-OwnHouse; Value 1 means OwnHouse else no OwnHouse
         Position 2-CompanyAccomodation; Value 1 means Comp.House else Comp.House
         Position 3-RentCar; Value 1 means RentCar else no RentCar
         Position 4-OwnCar; Value 1 means ownCar else no ownCar
         Position 5-CompanyTransport; Value 1 means Comp.Car else no Comp.Car</t>
  </si>
  <si>
    <t>This field categorizes customers based on financial status, business type, or relationship tier.</t>
  </si>
  <si>
    <t>This field stores the name of the customer’s employer or company.</t>
  </si>
  <si>
    <t>This field specifies the department within the employer’s organization where the customer works.</t>
  </si>
  <si>
    <t>This field stores the postal box number for the customer’s employer.</t>
  </si>
  <si>
    <t>This field holds the city where the customer’s employer is located.</t>
  </si>
  <si>
    <t>This field stores the postal or ZIP code for the employer’s address.</t>
  </si>
  <si>
    <t>This field tracks any extra or non standard documents provided by the customer.</t>
  </si>
  <si>
    <t>This field indicates whether the customer account is single or jointly held. 
Valid Values are :
0-single
1-joint 
2-Unknow</t>
  </si>
  <si>
    <t>This field categorizes the customer’s account under specific banking packages or services.
Valid Values are :
 0 - None
 1 - Munafa
 2 - Wahat
 3 - Al Safwa
 4 - Mubarak
 5 - Private Banking</t>
  </si>
  <si>
    <t>This field records the number of individuals sharing the joint account.</t>
  </si>
  <si>
    <t>This field determines how the joint account holder’s name appears on issued checks.</t>
  </si>
  <si>
    <t>This field maintains the account name format used in financial reports.</t>
  </si>
  <si>
    <t>This field records the customer's signature preferences for verification purposes.
Valid Values are :
0-single
1-joint</t>
  </si>
  <si>
    <t>This field tracks whether the customer has requested an electron banking card.</t>
  </si>
  <si>
    <t>This field stores the name printed on the electron banking card.</t>
  </si>
  <si>
    <t>This field maintains whether the customer requested an additional electron card.</t>
  </si>
  <si>
    <t>This field records the name associated with the supplementary card.</t>
  </si>
  <si>
    <t>This field tracks whether the customer has requested an internationally usable electron card.</t>
  </si>
  <si>
    <t>This field maintains the name printed on the international electron card.</t>
  </si>
  <si>
    <t>This field tracks whether the customer has requested an additional international electron card.</t>
  </si>
  <si>
    <t>This field maintains the name associated with the supplementary international electron card.</t>
  </si>
  <si>
    <t>This field specifies whether the customer prefers delivery to a branch or a P.O. Box.
Valid Values are :
B-Branch 
P - PoBox</t>
  </si>
  <si>
    <t>This field stores the primary address for delivering banking materials.</t>
  </si>
  <si>
    <t>This field maintains additional address details for deliveries.</t>
  </si>
  <si>
    <t>This field holds the postal box number for receiving customer documents or materials.</t>
  </si>
  <si>
    <t>This field specifies the city where the customer receives banking deliveries.</t>
  </si>
  <si>
    <t>This field stores the postal or ZIP code of the delivery address.</t>
  </si>
  <si>
    <t>This field contains remarks or feedback provided by the supervisor regarding customer account management.</t>
  </si>
  <si>
    <t xml:space="preserve">This field tracks whether the customer appears in a predefined reference list (List A).
Valid Values are :
 0 - No
 1 - Yes </t>
  </si>
  <si>
    <t xml:space="preserve">This field tracks whether the customer appears in a predefined reference list (List B).
Valid Values are :
 0 - No
 1 - Yes </t>
  </si>
  <si>
    <t xml:space="preserve">This field tracks whether the customer appears in a predefined reference list (List C).
Valid Values are :
 0 - No
 1 - Yes </t>
  </si>
  <si>
    <t xml:space="preserve">This field indicates whether the individual is a previously registered customer.
Valid Values are :
 0 - No
 1 - Yes </t>
  </si>
  <si>
    <t xml:space="preserve">This field tracks whether the customer’s registered name has changed.
Valid Values are :
 0 - No
 1 - Yes </t>
  </si>
  <si>
    <t xml:space="preserve">This field maintains whether the customer’s registered address has been updated.
Valid Values are :
 0 - No
 1 - Yes </t>
  </si>
  <si>
    <t>This field stores the date when the customer account was first opened.</t>
  </si>
  <si>
    <t>This field records the last update made to the customer’s records.</t>
  </si>
  <si>
    <t xml:space="preserve">This field indicates whether the customer’s address needs to be updated for card deliveries.
Valid Values are :
 0 - No
 1 - Yes </t>
  </si>
  <si>
    <t xml:space="preserve">This field tracks whether the customer has registered for internet banking services.
Valid Values are :
 0 - No
 1 - Yes </t>
  </si>
  <si>
    <t xml:space="preserve">This field maintains whether the customer has requested advisory services.
Valid Values are :
 0 - No
 1 - Yes </t>
  </si>
  <si>
    <t>This field stores an alternate branch code for customer banking purposes.</t>
  </si>
  <si>
    <t>This field tracks an identifier used for searching organizational records alphabetically.</t>
  </si>
  <si>
    <t xml:space="preserve">This field indicates whether the customer details comply with the regulatory requirements of SAMA (Saudi Arabian Monetary Authority).
Valid Values are :
 0 - No
 1 - Yes </t>
  </si>
  <si>
    <t>This field stores the name or ID of the customer’s assigned relationship manager.</t>
  </si>
  <si>
    <t>This field holds additional notes or memos related to the customer’s record.</t>
  </si>
  <si>
    <t>This field tracks the primary classification of the customer for regulatory reporting.</t>
  </si>
  <si>
    <t>This field stores the sub classification of the customer under regulatory guidelines.</t>
  </si>
  <si>
    <t>This field stores the passport number associated with the customer for identification purposes.</t>
  </si>
  <si>
    <t>This field holds the unique Hafiza number linked to the customer's identification.</t>
  </si>
  <si>
    <t>This field records the customer's family registration number for legal and documentation use.</t>
  </si>
  <si>
    <t>This field maintains the customer’s license number, such as a driver’s license or business license.</t>
  </si>
  <si>
    <t>This field stores the authorization number assigned by the Saudi Arabian Monetary Authority (SAMA).</t>
  </si>
  <si>
    <t>This field holds the diplomatic identification card number if applicable to the customer.</t>
  </si>
  <si>
    <t>This field stores the visa number issued to the customer for travel or residency purposes.</t>
  </si>
  <si>
    <t>This field maintains the reference number of agreements or contracts linked to the customer.</t>
  </si>
  <si>
    <t>This field holds the national identification number assigned in the customer’s home country.</t>
  </si>
  <si>
    <t>This field records the customer’s birth certificate number for verification.</t>
  </si>
  <si>
    <t>This field stores the account number used for inter group financial transactions.</t>
  </si>
  <si>
    <t>This field maintains any unique reference number associated with the customer’s account.</t>
  </si>
  <si>
    <t>This field specifies the intended use of the customer’s account (e.g., personal savings, business transactions).</t>
  </si>
  <si>
    <t>This field records the percentage of government owned shares linked to the customer or business.</t>
  </si>
  <si>
    <t>This field stores the proportion of shares owned by Saudi nationals in a business or investment.</t>
  </si>
  <si>
    <t>This field maintains the percentage of shares held by foreign investors.</t>
  </si>
  <si>
    <t>This field tracks whether the customer has submitted all required documents.</t>
  </si>
  <si>
    <t>This field records whether any override was performed for customers found in Clist Checks</t>
  </si>
  <si>
    <t>This field indicates whether specific account  opening conditions were overridden for non Saudi customers.</t>
  </si>
  <si>
    <t>This field specifies whether exceptions were made for accounts without SAMA authorization.</t>
  </si>
  <si>
    <t>This field maintains whether special provisions were allowed for pre existing customers.</t>
  </si>
  <si>
    <t>This field identifies whether the customer is legally a minor or an adult.
Valid Values are :
 0 - Major
 1 - Minor</t>
  </si>
  <si>
    <t xml:space="preserve">This field records whether the child customer has exceptional conditions requiring specialized banking services.
Valid Values are :
 0 - No
 1 - Yes </t>
  </si>
  <si>
    <t xml:space="preserve">This field tracks whether action upon ID expiry is necessary for the customer.
Valid Values are :
 0 - No
 1 - Yes </t>
  </si>
  <si>
    <t>This field maintains records of additional references needed for customer verification.</t>
  </si>
  <si>
    <t>This field records whether the customer’s profile was created using a simplified onboarding system
Valid Values are : 
 0-No
 1-Normal customer
 2-Internal customer
 3-Pension customer.</t>
  </si>
  <si>
    <t>This field specifies the type of banking card issued to the customer.
Valid Values are : 
 I-International card
 S-Smart Card</t>
  </si>
  <si>
    <t>This field stores General memo marketing related notes .</t>
  </si>
  <si>
    <t>This field records the source through which the customer registered their account 
Valid Values are : 
P-customer created through phone
B-created through branch
O-created Online</t>
  </si>
  <si>
    <t xml:space="preserve">This field tracks whether the customer’s account is exempt from ATM transaction fees.
Valid Values are :
 0 - No
 1 - Yes </t>
  </si>
  <si>
    <t xml:space="preserve">This field records whether the customer is exempt from minimum balance maintenance charges.
Valid Values are :
 0 - No
 1 - Yes </t>
  </si>
  <si>
    <t>This field holds the legal reference number for succession related cases.</t>
  </si>
  <si>
    <t xml:space="preserve">This field specifies whether a customer’s statement frequency differs from their banking package settings.
Valid Values are :
 0 - No
 1 - Yes </t>
  </si>
  <si>
    <t xml:space="preserve">This field tracks how the customer receives account statements 
Valid Values are : 
0-Print only
1-Mail only
2-Both </t>
  </si>
  <si>
    <t>This field stores the identifier of the user who last modified the customer details.</t>
  </si>
  <si>
    <t>This field maintains the timestamp for the last modification of the customer record.</t>
  </si>
  <si>
    <t>This field maintains the title or honorific associated with the customer .</t>
  </si>
  <si>
    <t xml:space="preserve">This field stores the customer’s marital status </t>
  </si>
  <si>
    <t xml:space="preserve">This field tracks the customer’s residency type </t>
  </si>
  <si>
    <t>This field stores the unique code identifying the branch associated with the heir record.</t>
  </si>
  <si>
    <t>This field maintains the ID of the user responsible for creating or updating the heir record.</t>
  </si>
  <si>
    <t>This field records the timestamp marking the heir information entry or update.</t>
  </si>
  <si>
    <t>This field contains a flag indicating whether the record is newly created or modified.</t>
  </si>
  <si>
    <t>This field stores the unique identifier of the customer associated with the heir.</t>
  </si>
  <si>
    <t>This field maintains the unique identifier assigned to the heir within the system.</t>
  </si>
  <si>
    <t>This field contains the classification of the heir (Valid Values are : 
 0 - Heir
 1 - Proxy)</t>
  </si>
  <si>
    <t>This field stores the ID of the supervisor responsible for overseeing heir related processes.</t>
  </si>
  <si>
    <t>This field maintains the branch code associated with the customer's account.</t>
  </si>
  <si>
    <t>This field maintains the heir’s second name in Arabic.</t>
  </si>
  <si>
    <t>This field contains the heir’s third name in Arabic.</t>
  </si>
  <si>
    <t>This field stores the abbreviated version of the heir’s name in Arabic.</t>
  </si>
  <si>
    <t>This field maintains the heir’s first name in English.</t>
  </si>
  <si>
    <t>This field contains the heir’s second name in English.</t>
  </si>
  <si>
    <t>This field records the heir’s third name in English.</t>
  </si>
  <si>
    <t>This field stores the heir’s last name in English for documentation.</t>
  </si>
  <si>
    <t>This field maintains the heir’s short name for identification purposes.</t>
  </si>
  <si>
    <t>This field contains the type of ID associated with the heir (I - Saudi Id   H - Hafiza  P - Passport  F-Family registration).</t>
  </si>
  <si>
    <t>This field records the unique identification number assigned to the heir.</t>
  </si>
  <si>
    <t>This field stores the current status of the heir (e.g., 0-Invalid ; 1-Valid).</t>
  </si>
  <si>
    <t>This field maintains the date when the heir status was disabled or marked inactive.</t>
  </si>
  <si>
    <t>This field informs whether modifications have been made to the heir record.</t>
  </si>
  <si>
    <t>This field stores the source through which the heir information was recorded( Valid values P-customer created through phone; OtherVialue-created through branch)</t>
  </si>
  <si>
    <t>This field maintains the unique identifier for any proxy assigned to the heir.</t>
  </si>
  <si>
    <t>This field contains whether the proxy related dates are stored in Hijri or Gregorian format. (0-Hijri ; 1-Gregorian)</t>
  </si>
  <si>
    <t>This field records the issuance date of the proxy in the Hijri calendar.</t>
  </si>
  <si>
    <t>This field stores the issuance date of the proxy in the Gregorian calendar.</t>
  </si>
  <si>
    <t>This field maintains the identifier of the user who last modified the heir record.</t>
  </si>
  <si>
    <t>This field records the timestamp of the most recent update to the heir information.</t>
  </si>
  <si>
    <t>This field maintains the ID of the user responsible for creating the heir record.</t>
  </si>
  <si>
    <t>This field records the timestamp marking the heir information entry</t>
  </si>
  <si>
    <t xml:space="preserve">This field stores the unique code identifying the branch associated with  ID created /Updated </t>
  </si>
  <si>
    <t>This field stores the identifier of the user who created or modified the customer’s identification record.</t>
  </si>
  <si>
    <t>This field maintains the timestamp for when the identification record was created or modified .</t>
  </si>
  <si>
    <t>This field indicates whether the customer record is newly created or has been modified. N - New ; U - Update</t>
  </si>
  <si>
    <t>This field specifies the type of identification used .Valid Values are :--      
  I - Saudi ID
 Q - Iqama
 P - Passport
 H - Hafiza
 F - Family Registration
 C - CR NO
 S - Sama Authorization No
 V - Visa No
 T - Contract
 D - Diplomatic passport no
 L - License number
 M - Home country Id
 A - Approval Document Reference number
 E - Succession deed number</t>
  </si>
  <si>
    <t>This field holds the unique number assigned to the customer based on the selected identification type.</t>
  </si>
  <si>
    <t>This field indicates the classification of the identification Valid Values are
S-Signatory
 C-Customer
 W-oWner 
 R-Reference 
 J-Joint 
 H-Heirs</t>
  </si>
  <si>
    <t xml:space="preserve">This field specifies whether the identification dates are in Hijri or Gregorian format. 0 - Hijri ; 1 - Gregorian </t>
  </si>
  <si>
    <t>This field records the last update made to the customer’s identification information.</t>
  </si>
  <si>
    <t xml:space="preserve">This field indicates whether an action upon expiry is necessary. 0-No ; 1-Yes </t>
  </si>
  <si>
    <t>This field tracks the action taken during the first grace period after identification expiry.0-Not Taken ; 1 - Taken</t>
  </si>
  <si>
    <t>This field records the date when the first grace period action was taken.Blank when the above flag is 0</t>
  </si>
  <si>
    <t>This field tracks the action taken during the second grace period after identification expiry.0-Not Taken ; 1 - Taken</t>
  </si>
  <si>
    <t>This field records the date when the second grace period action was taken.Blank when the above flag is 0</t>
  </si>
  <si>
    <t>This field indicates whether the identification record is newly added or modified.</t>
  </si>
  <si>
    <t>This field holds a reference number associated with the customer's identification. N - New ; U - Update</t>
  </si>
  <si>
    <t>This field stores the name associated with the identification reference number.</t>
  </si>
  <si>
    <t>This field holds the identifier of the user who last modified the identification record.</t>
  </si>
  <si>
    <t>This field maintains the timestamp for the last modification of the identification record</t>
  </si>
  <si>
    <t>This field specifies the type of identification used .Valid Values are :--         I - Saudi ID
 Q - Iqama
 P - Passport
 H - Hafiza
 F - Family Registration
 C - CR NO
 S - Sama Authorization No
 V - Visa No
 T - Contract
 D - Diplomatic passport no
 L - License number
 M - Home country Id
 A - Approval Document Reference number
 E - Succession deed number</t>
  </si>
  <si>
    <t>This field stores the location or organization that issued the customer’s identification.</t>
  </si>
  <si>
    <t xml:space="preserve">This field specifies the type of residency permit (Iqama) issued to the customer. 0-Book ; 1-Plastic </t>
  </si>
  <si>
    <t>This field stores the identifier of the user who created the customer’s identification record.</t>
  </si>
  <si>
    <t>This field maintains the timestamp for when the identification record was created.</t>
  </si>
  <si>
    <t>This field stores the unique code identifying the branch associated with the joint account record  CREATED/MODIFIED</t>
  </si>
  <si>
    <t>This field maintains the ID of the user responsible for creating or updating the joint account information.</t>
  </si>
  <si>
    <t>This field records the timestamp marking the joint account entry or update.</t>
  </si>
  <si>
    <t>This field contains the unique identifier assigned to the primary account holder.</t>
  </si>
  <si>
    <t>This field maintains the unique identifier of the joint account holder.</t>
  </si>
  <si>
    <t>This field informs whether the record represents a new joint account or an update to an existing one. N - New ; U - Update</t>
  </si>
  <si>
    <t>This field stores the ID of the supervisor responsible for approving joint account</t>
  </si>
  <si>
    <t>This field maintains the unique identification number of the joint account holder.</t>
  </si>
  <si>
    <t>This field stores the category of ID associated with the joint account holder (e.g., passport, national ID).</t>
  </si>
  <si>
    <t>This field records the location where the joint account holder's identification document was issued.</t>
  </si>
  <si>
    <t>This field defines whether the ID</t>
  </si>
  <si>
    <t>This field maintains the date of ID issuance in the Hijri calendar.</t>
  </si>
  <si>
    <t>This field records the date of ID issuance in the Gregorian calendar.</t>
  </si>
  <si>
    <t>This field stores the expiration date of the ID in the Hijri calendar.</t>
  </si>
  <si>
    <t>This field maintains the expiration date of the ID in the Gregorian calendar.</t>
  </si>
  <si>
    <t>This field contains the preferred language of communication for the joint account holder.</t>
  </si>
  <si>
    <t>This field records the nationality of the joint account holder.</t>
  </si>
  <si>
    <t>This field stores the title of the joint account holder (e.g., Mr., Mrs., Dr.).</t>
  </si>
  <si>
    <t>This field defines whether the DOB is recorded in Hijri or Gregorian format.</t>
  </si>
  <si>
    <t>This field maintains the joint account holder’s birth date in Hijri calendar.</t>
  </si>
  <si>
    <t>This field records the joint account holder’s birth date in Gregorian calendar.</t>
  </si>
  <si>
    <t>This field stores the gender of the joint account holder.</t>
  </si>
  <si>
    <t>This field maintains whether the joint account holder has VIP status.</t>
  </si>
  <si>
    <t>This field contains the marital status of the joint account holder.</t>
  </si>
  <si>
    <t>This field records the count of dependents associated with the joint account holder.</t>
  </si>
  <si>
    <t>This field stores whether the joint account holder is a resident or expatriate.</t>
  </si>
  <si>
    <t>This field defines the sector in which the joint account holder is engaged.</t>
  </si>
  <si>
    <t>This field stores the first name of the joint account holder in Arabic.</t>
  </si>
  <si>
    <t>This field maintains the second name of the joint account holder in Arabic.</t>
  </si>
  <si>
    <t>This field contains the third name of the joint account holder in Arabic.</t>
  </si>
  <si>
    <t>This field records the last name of the joint account holder in Arabic.</t>
  </si>
  <si>
    <t>This field stores the abbreviated version of the joint account holder's Arabic name.</t>
  </si>
  <si>
    <t>This field maintains the first name of the joint account holder in English.</t>
  </si>
  <si>
    <t>This field contains the second name of the joint account holder in English.</t>
  </si>
  <si>
    <t>This field records the third name of the joint account holder in English.</t>
  </si>
  <si>
    <t>This field stores the last name of the joint account holder in English.</t>
  </si>
  <si>
    <t>This field maintains the abbreviated version of the joint account holder's English name.</t>
  </si>
  <si>
    <t>This field stores the main residential or business address of the joint account holder.</t>
  </si>
  <si>
    <t>This field maintains additional address details for communication purposes.</t>
  </si>
  <si>
    <t>This field contains the post office box number linked to the joint account holder.</t>
  </si>
  <si>
    <t>This field records the city in which the joint account holder resides or operates.</t>
  </si>
  <si>
    <t>This field stores the postal code for the joint account holder’s location.</t>
  </si>
  <si>
    <t>This field maintains the country associated with the joint account holder’s record.</t>
  </si>
  <si>
    <t xml:space="preserve">This field defines whether the address is 0-PO Box ; 1-Saudi Post </t>
  </si>
  <si>
    <t>This field contains the General Packet Radio Service (GPRS) number if applicable.</t>
  </si>
  <si>
    <t>This field records the specific unit number for residence or office location.</t>
  </si>
  <si>
    <t>This field stores the area code for the joint account holder’s office phone number.</t>
  </si>
  <si>
    <t>This field maintains the office contact number for the joint account holder.</t>
  </si>
  <si>
    <t>This field contains any extension number for office phone usage.</t>
  </si>
  <si>
    <t>This field records the area code for the joint account holder’s home phone number.</t>
  </si>
  <si>
    <t>This field stores the home contact number for the joint account holder.</t>
  </si>
  <si>
    <t>This field maintains any extension number for home phone usage.</t>
  </si>
  <si>
    <t>This field contains the area code associated with the joint account holder’s fax number.</t>
  </si>
  <si>
    <t>This field records the joint account holder’s fax number.</t>
  </si>
  <si>
    <t>This field stores any fax extension details if applicable.</t>
  </si>
  <si>
    <t>This field maintains the joint account holder’s mobile phone number for communication.</t>
  </si>
  <si>
    <t>This field contains the pager number of the joint account holder if applicable.</t>
  </si>
  <si>
    <t>This field records the joint account holder’s email address for correspondence.</t>
  </si>
  <si>
    <t>This field stores the educational qualification level of the joint account holder.</t>
  </si>
  <si>
    <t>This field maintains the unique identifier representing the joint account holder’s profession.</t>
  </si>
  <si>
    <t>This field contains the specific role or position the joint account holder holds in an organization.</t>
  </si>
  <si>
    <t>This field records the declared monthly income of the joint account holder.</t>
  </si>
  <si>
    <t>This field defines whether the joint account holder owns their residence or business.</t>
  </si>
  <si>
    <t>This field categorizes the joint account holder’s financial profile based on system segmentation criteria.</t>
  </si>
  <si>
    <t>This field stores the name of the joint account holder’s employer.</t>
  </si>
  <si>
    <t>This field maintains the department where the joint account holder is employed.</t>
  </si>
  <si>
    <t>This field records the employer’s postal box number for communication.</t>
  </si>
  <si>
    <t>This field stores the city where the joint account holder’s employer is located.</t>
  </si>
  <si>
    <t>This field maintains the postal code associated with the employer’s address.</t>
  </si>
  <si>
    <t>This field records the date when the joint account was established.</t>
  </si>
  <si>
    <t>This field defines whether the joint account is currently active or inactive. 0-Invalid; 1-Valid</t>
  </si>
  <si>
    <t xml:space="preserve">This field informs whether modifications have been made to the joint account record. Y - Changed ; N - Not changed </t>
  </si>
  <si>
    <t xml:space="preserve">This field contains the source through which the joint account information was recorded  P-Phone </t>
  </si>
  <si>
    <t>This field stores the identifier of the user who last modified the joint account record.</t>
  </si>
  <si>
    <t>This field records the timestamp of the most recent update to the joint account information.</t>
  </si>
  <si>
    <t>This field maintains the ID of the user responsible for creating the joint account information.</t>
  </si>
  <si>
    <t xml:space="preserve">This field records the timestamp marking the joint account entry </t>
  </si>
  <si>
    <t>This field maintains the identifier for the branch associated with the owner’s record is Created or modified.</t>
  </si>
  <si>
    <t>This field maintains the unique identifier associated with the owner.</t>
  </si>
  <si>
    <t>This field specifies the type of ownership.Valid
values are:
 M-Manager
 T-Trustee
 C-Cashier
 W-Owners</t>
  </si>
  <si>
    <t>This field indicates the type of identification used for the owner .alid
values are:
I - Saudi Id
Q - Iqama
C - CR Number
F - Family Regn no
H - Hafiza</t>
  </si>
  <si>
    <t>This field holds the unique identification number assigned to the owner based on the selected identification type.</t>
  </si>
  <si>
    <t>This field stores the name of the parent company associated with the owner</t>
  </si>
  <si>
    <t>This field maintains the percentage of ownership the individual or entity holds within a business or organization.</t>
  </si>
  <si>
    <t>This field stores the first name of the owner in Arabic.</t>
  </si>
  <si>
    <t>This field stores the second name of the owner in Arabic.</t>
  </si>
  <si>
    <t>This field stores the third name of the owner in Arabic.</t>
  </si>
  <si>
    <t>This field stores the last name of the owner in Arabic.</t>
  </si>
  <si>
    <t>This field holds a short form version of the owner's name in Arabic</t>
  </si>
  <si>
    <t>This field stores the first name of the owner in English.</t>
  </si>
  <si>
    <t>This field stores the second name of the owner in English.</t>
  </si>
  <si>
    <t>This field stores the third name of the owner in English.</t>
  </si>
  <si>
    <t>This field stores the last name of the owner in English.</t>
  </si>
  <si>
    <t>This field maintains the shortened form of the owner's name in English</t>
  </si>
  <si>
    <t>This field indicates whether the owner's record is active or disabled in the system.</t>
  </si>
  <si>
    <t>This field stores the date when the owner information was last updated in the system.</t>
  </si>
  <si>
    <t>This field holds the identifier of the user who last modified the owner’s record.</t>
  </si>
  <si>
    <t>This field maintains the timestamp for the last modification of the owner’s record.</t>
  </si>
  <si>
    <t>This field maintains the identifier for the branch associated with the owner’s record.</t>
  </si>
  <si>
    <t>This field holds the unique CIF (Customer Information File) number of the owner within the core banking system.</t>
  </si>
  <si>
    <t>This field stores the identifier of the user who created the owner’s record.</t>
  </si>
  <si>
    <t>This field maintains the timestamp for when the owner’s record was created.</t>
  </si>
  <si>
    <t>This field stores the unique code identifying the branch where the Sadad  is created/modified.</t>
  </si>
  <si>
    <t>This field maintains the ID of the user who created/updated the account.</t>
  </si>
  <si>
    <t>This field records the date and time when creation or upate initiated.</t>
  </si>
  <si>
    <t>This field contains the ID of the teller handling the transaction at the branch.</t>
  </si>
  <si>
    <t>This field stores whether the transaction has been successfully posted, pending, or failed.</t>
  </si>
  <si>
    <t>This field maintains the preferred language setting for processing and displaying transaction details.</t>
  </si>
  <si>
    <t>This field records the unique ID representing the company or service provider involved in the transaction.</t>
  </si>
  <si>
    <t>This field contains the customer's subscription number related to SADAD bill payments.</t>
  </si>
  <si>
    <t>This field stores the unique bill reference number or subscription identifier for the transaction.</t>
  </si>
  <si>
    <t>This field maintains the total monetary value associated with the SADAD transaction.</t>
  </si>
  <si>
    <t>This field records the classification of the payment (e.g., full payment, installment, partial payment).</t>
  </si>
  <si>
    <t>This field defines whether the payment is made via cash or deducted from an account.</t>
  </si>
  <si>
    <t>This field stores the originating account number from which funds are debited.</t>
  </si>
  <si>
    <t>This field maintains the corresponding account number for balancing the transaction.</t>
  </si>
  <si>
    <t>This field defines whether the transaction is a payment, refund, adjustment, or other financial action.</t>
  </si>
  <si>
    <t>This field records the category of service being paid for (e.g., utility bills, telecom, government fees).</t>
  </si>
  <si>
    <t>This field stores the system generated reference number for tracking the SADAD transaction.</t>
  </si>
  <si>
    <t>This field maintains the effective date for processing the financial transaction.</t>
  </si>
  <si>
    <t>This field records the timestamp when the transaction was executed.</t>
  </si>
  <si>
    <t>This field defines whether the transaction is related to a prepaid or postpaid billing cycle.</t>
  </si>
  <si>
    <t>This field stores the reference number assigned by the bank for tracking purposes.</t>
  </si>
  <si>
    <t>This field maintains the unique identifier assigned by SADAD for regulatory tracking.</t>
  </si>
  <si>
    <t>This field records the timestamp at which a reversal was requested or processed.</t>
  </si>
  <si>
    <t>This field stores whether the transaction reversal was successful, failed, or pending.</t>
  </si>
  <si>
    <t>This field maintains the ID of the supervisor overseeing the transaction approval or correction process.</t>
  </si>
  <si>
    <t>This field stores the identifier of the user who last modified the transaction record.</t>
  </si>
  <si>
    <t>This field records the timestamp of the most recent modification made to the SADAD transaction.</t>
  </si>
  <si>
    <t>This field maintains the unique identifier assigned to the control entity for regulatory or operational purposes.</t>
  </si>
  <si>
    <t>This field contains the Arabic description of the control entity for localization and reference.</t>
  </si>
  <si>
    <t>This field records the English description of the control entity for global accessibility.</t>
  </si>
  <si>
    <t>This field stores any supplementary information associated with the control record.</t>
  </si>
  <si>
    <t>This field maintains the unique ID assigned to the biller for processing transactions.</t>
  </si>
  <si>
    <t xml:space="preserve">This field contains the classification of payments handled by the biller </t>
  </si>
  <si>
    <t xml:space="preserve">This field maintains whether transaction reversals are permitted for payments associated with the biller.* 0-NO;1-YES </t>
  </si>
  <si>
    <t>This field contains any supplementary information linked to the biller record.</t>
  </si>
  <si>
    <t>This field records the timestamp when the SAMA account record was created or modified.</t>
  </si>
  <si>
    <t>This field contains the unique identifier assigned to the customer’s SAMA account.</t>
  </si>
  <si>
    <t>This field stores the ID of the supervisor overseeing the SAMA account status change or update.</t>
  </si>
  <si>
    <t>This field maintains the current operational status of the SAMA account</t>
  </si>
  <si>
    <t>This field records the branch code associated with the customer linked to the SAMA account.</t>
  </si>
  <si>
    <t>This field stores the prior status of the SAMA account before any change was applied.</t>
  </si>
  <si>
    <t>This field maintains the new status of the SAMA account after modification.</t>
  </si>
  <si>
    <t>This field contains the justification or reason for the modification of the SAMA account status.</t>
  </si>
  <si>
    <t>This field maintains the unique ID assigned to the supervisor responsible for system authentication or transaction verification.</t>
  </si>
  <si>
    <t>This field records the branch associated with the supervisor login activity.</t>
  </si>
  <si>
    <t>This field stores the unique code identifying the branch where the address  is created/modified.</t>
  </si>
  <si>
    <t>This field indicates whether the record is new or has been updated. N - New ; U - Update</t>
  </si>
  <si>
    <t>This field stores the unique identifier of the account linked to the signatory record.</t>
  </si>
  <si>
    <t>This field maintains the unique identifier assigned to the signatory within the account structure.</t>
  </si>
  <si>
    <t>This field contains the code identifying the branch associated with the customer's account.</t>
  </si>
  <si>
    <t>This field stores the unique identifier of the supervisor overseeing the signatory process.</t>
  </si>
  <si>
    <t>This field maintains the category of ID associated with the signatory</t>
  </si>
  <si>
    <t>This field records the unique identification number assigned to the signatory.</t>
  </si>
  <si>
    <t>This field maintains the signatory’s second name in Arabic.</t>
  </si>
  <si>
    <t>This field contains the signatory’s third name in Arabic.</t>
  </si>
  <si>
    <t>This field stores the abbreviated version of the signatory’s name in Arabic.</t>
  </si>
  <si>
    <t>This field maintains the signatory’s first name in English.</t>
  </si>
  <si>
    <t>This field contains the signatory’s second name in English.</t>
  </si>
  <si>
    <t>This field records the signatory’s third name in English.</t>
  </si>
  <si>
    <t>This field stores the signatory’s last name in English for documentation.</t>
  </si>
  <si>
    <t>This field maintains the abbreviated version of the signatory’s English name.</t>
  </si>
  <si>
    <t>This field stores the diplomatic passport number associated with the signatory, if applicable.</t>
  </si>
  <si>
    <t>This field maintains the justification or purpose for assigning the signatory role.</t>
  </si>
  <si>
    <t>This field records whether the signatory is currently active or inactive in the account. 0-Inactive ; 1-Active</t>
  </si>
  <si>
    <t>This field stores the date on which the signatory action was confirmed or modified.</t>
  </si>
  <si>
    <t>This field contains whether modifications have been made to the signatory record.  Y - Changed ; N - Not changed</t>
  </si>
  <si>
    <t>This field stores whether the signatory is authorized for multiple accounts. 1-YES ; 0-NO</t>
  </si>
  <si>
    <t>This field maintains whether an override permission has been granted for expatriate signatories. 1-YES ; 0-NO</t>
  </si>
  <si>
    <t>This field records the identifier of the user who last modified the signatory record.</t>
  </si>
  <si>
    <t>This field records the timestamp of the most recent modification made to the SIGN transaction.</t>
  </si>
  <si>
    <t>This field maintains the ID of the user who created the account.</t>
  </si>
  <si>
    <t>This field records the date and time of creation</t>
  </si>
  <si>
    <t>This field stores the classification of the stop cheque record maintained in the system.</t>
  </si>
  <si>
    <t>This field maintains the unique identifier of the account associated with the stopped cheque.</t>
  </si>
  <si>
    <t>This field contains the unique cheque number that has been requested for stoppage.</t>
  </si>
  <si>
    <t>This field records the monetary value of the stopped cheque.</t>
  </si>
  <si>
    <t>This field stores the date on which the cheque stoppage was requested.</t>
  </si>
  <si>
    <t>This field maintains the name of the intended recipient of the stopped cheque.</t>
  </si>
  <si>
    <t>This field records any remarks or observations provided by the supervisor related to the cheque stoppage request.</t>
  </si>
  <si>
    <t>This field stores the timestamp of the most recent modification made by the bank.</t>
  </si>
  <si>
    <t>This field maintains whether the stopped cheque has been physically destroyed or retained.</t>
  </si>
  <si>
    <t>This field stores the unique identifier assigned to the customer holding the term deposit.</t>
  </si>
  <si>
    <t>This field maintains the unique number assigned to the term deposit account.</t>
  </si>
  <si>
    <t>This field contains the ID of the supervisor overseeing the term deposit transaction.</t>
  </si>
  <si>
    <t>This field maintains the currency type associated with the term deposit.</t>
  </si>
  <si>
    <t>This field records the ledger details for financial tracking of the deposit.</t>
  </si>
  <si>
    <t>This field stores the originating account number from which funds are debited for the deposit.</t>
  </si>
  <si>
    <t>This field maintains the monetary value deposited in the term deposit account.</t>
  </si>
  <si>
    <t>This field records the classification of the deposit tenure (e.g., fixed, flexible).</t>
  </si>
  <si>
    <t>This field stores the duration of the deposit in months, years, or days.</t>
  </si>
  <si>
    <t>This field maintains the initial agreed interest rate applied to the deposit.</t>
  </si>
  <si>
    <t>This field contains the applicable exchange rate if the deposit involves foreign currency.</t>
  </si>
  <si>
    <t>This field records the projected amount receivable at maturity, including interest.</t>
  </si>
  <si>
    <t>This field stores the expected date on which the term deposit matures.</t>
  </si>
  <si>
    <t>This field maintains  flag for any manually adjusted exchange rate for the deposit. 0-No ; 1-Yes</t>
  </si>
  <si>
    <t>This field records flag any overridden interest rate applied to the deposit.  0-No ; 1-Yes</t>
  </si>
  <si>
    <t>This field stores the initial system set interest rate before any overrides.</t>
  </si>
  <si>
    <t>This field maintains the original exchange rate before any adjustments.</t>
  </si>
  <si>
    <t>This field defines flag whether the term deposit is set to automatically renew at maturity.</t>
  </si>
  <si>
    <t>This field records any remarks provided by the supervisor regarding the deposit details.</t>
  </si>
  <si>
    <t>This field maintains the number of days between the term deposit start date and maturity date.</t>
  </si>
  <si>
    <t>This field stores the method used to apply interest (e.g., simple interest, compound interest).</t>
  </si>
  <si>
    <t>This field records the designated account for maturity payout or interest distribution.</t>
  </si>
  <si>
    <t>This field maintains the date on which the deposit transaction value is applied.</t>
  </si>
  <si>
    <t>This field stores any manually adjusted value date Flag for financial processing.</t>
  </si>
  <si>
    <t>This field records the amount debited for funding the term deposit.</t>
  </si>
  <si>
    <t>This field stores the unique ID assigned to the user for system authentication and tracking.</t>
  </si>
  <si>
    <t>This field maintains whether the user is currently active or inactive within the system.</t>
  </si>
  <si>
    <t>This field contains the unique employee number associated with the user.</t>
  </si>
  <si>
    <t>This field stores the first name of the user for identification purposes.</t>
  </si>
  <si>
    <t>This field maintains the middle name of the user if applicable.</t>
  </si>
  <si>
    <t>This field contains the third name of the user if recorded.</t>
  </si>
  <si>
    <t>This field maintains whether the user is currently logged in or logged out of the system.</t>
  </si>
  <si>
    <t>This field records the timestamp of the user's most recent login activity.</t>
  </si>
  <si>
    <t>This field contains the user's preferred language for system interactions.</t>
  </si>
  <si>
    <t>This field stores whether the user has permission to perform system</t>
  </si>
  <si>
    <t>This field maintains the IP address used by the user for logging into the system.</t>
  </si>
  <si>
    <t>This field records any secondary access level granted to the user for system operations.</t>
  </si>
  <si>
    <t>This field contains the unique ID assigned to the user for business process</t>
  </si>
  <si>
    <t>This field records the date when creation or upate initiated.</t>
  </si>
  <si>
    <t>This field contains the service fee accrued.
Itis only used if the *SERVIS FEE field on
the TTABLE parameter file was set to "1".
Note:This field holds the gross interest
application amount when the
"TRANSACTION INDICATOR’ field is
setto "I". Decimal places are currency
dependent.</t>
  </si>
  <si>
    <t>This field maintains the monetary value being transferred.</t>
  </si>
  <si>
    <t>This field stores the currency code for the fund transfer transaction.</t>
  </si>
  <si>
    <t>This field records the exchange rate applied to the transaction if foreign currency is involved.</t>
  </si>
  <si>
    <t xml:space="preserve"> This field holds the unique number assigned to the customer’s account.</t>
  </si>
  <si>
    <t>CHEQUE NUMBER  FROM</t>
  </si>
  <si>
    <t xml:space="preserve"> AMOUNT
</t>
  </si>
  <si>
    <t>PAYEE NAME</t>
  </si>
  <si>
    <t>This field contains the Payee Name</t>
  </si>
  <si>
    <t xml:space="preserve"> MEMO CODE </t>
  </si>
  <si>
    <t xml:space="preserve"> MEMO DESCRIPTION IN ARABIC </t>
  </si>
  <si>
    <t xml:space="preserve"> MEMO DESCRIPTION IN ENGLISH </t>
  </si>
  <si>
    <t xml:space="preserve"> CREDIT BALANCE CODE </t>
  </si>
  <si>
    <t xml:space="preserve"> DEBIT BALANCE CODE </t>
  </si>
  <si>
    <t xml:space="preserve"> PRODUCT TYPE ASSOCIATION </t>
  </si>
  <si>
    <t xml:space="preserve"> CONSUMER LOAN ASSOCIATION FLAG </t>
  </si>
  <si>
    <t xml:space="preserve"> VARIABLE RATE INDICATOR FLAG</t>
  </si>
  <si>
    <t xml:space="preserve">PROCESSING STATUS FLAG </t>
  </si>
  <si>
    <t>This field maintains the reference Number for   transfer.</t>
  </si>
  <si>
    <t>This field maintains the reference Number for  DRAFT.</t>
  </si>
  <si>
    <t xml:space="preserve">TRANSACTION REFERENCE </t>
  </si>
  <si>
    <t xml:space="preserve">DRAFT REFERENCE </t>
  </si>
  <si>
    <t>This field records the date on which the Transaaction happend in the bank account.</t>
  </si>
  <si>
    <t>NARRATIVE - LINE 4</t>
  </si>
  <si>
    <t xml:space="preserve">NARRATIVE - LINE 5
</t>
  </si>
  <si>
    <t>NARRATIVE - LINE 6</t>
  </si>
  <si>
    <t>This field contains the fourth line of
narrative input at time of posting.</t>
  </si>
  <si>
    <t>This field contains the fifth line of
narrative input at time of posting.</t>
  </si>
  <si>
    <t>This field contains the sixth line of narrative
input at time of posting.</t>
  </si>
  <si>
    <t>This field contains the total amount involved in transaction</t>
  </si>
  <si>
    <t>This field maintains the ID. of the teller
who posted the transaction.</t>
  </si>
  <si>
    <t xml:space="preserve">USER ID.
</t>
  </si>
  <si>
    <t>ERROR MESSAGE</t>
  </si>
  <si>
    <t xml:space="preserve">This field contains the description of the above error code </t>
  </si>
  <si>
    <t>ERROR CODE</t>
  </si>
  <si>
    <t>This field contains the  error code due to which current transactions is failed</t>
  </si>
  <si>
    <t>FORCE FLAG</t>
  </si>
  <si>
    <t xml:space="preserve"> Always 'Y' default value</t>
  </si>
  <si>
    <t>1 - Success  2 - Assumed Success</t>
  </si>
  <si>
    <t xml:space="preserve">1 - Debit;   2 - Credit </t>
  </si>
  <si>
    <t>TRANSACTION TYPE</t>
  </si>
  <si>
    <t>STATUS</t>
  </si>
  <si>
    <t xml:space="preserve"> TRADENET ACCOUNT NUMBER </t>
  </si>
  <si>
    <t>This field holds the TRADE NET account number.</t>
  </si>
  <si>
    <t>This field holds the unique Omnibus number assigned to the customer’s account.</t>
  </si>
  <si>
    <t xml:space="preserve">This field holds the date and time of  transaction </t>
  </si>
  <si>
    <t xml:space="preserve">UNIQUE Number
</t>
  </si>
  <si>
    <t>This field holds uniques number assigned to the current transactions</t>
  </si>
  <si>
    <t>ACCOUNT TYPE</t>
  </si>
  <si>
    <t>ankmaster allows up to 90 different
account types (10-99) for detail accounts.
As Bankmaster is a parameter driven
system, the individual user may alter the
definition of the account types using the
ATABLE parameter file.
Below is a list of fixed account types within
Bankmaster.
ACCOUNT TYPE DESCRIPTION
12-Foreign Exchange
position account
13- Nostro account</t>
  </si>
  <si>
    <t xml:space="preserve">ACCOUNT DESCRIPTION
</t>
  </si>
  <si>
    <t>This field contains a description of the
account.</t>
  </si>
  <si>
    <t xml:space="preserve">DATE OPENED
</t>
  </si>
  <si>
    <t xml:space="preserve"> BOOK BALANCE</t>
  </si>
  <si>
    <t>This is the balance on the account including
all transactions that have been posted to the.
‘account, except forward dated foreign
exchange deals. These are not included
until their value date has been reached.
Decimal places are currency dependent.</t>
  </si>
  <si>
    <t xml:space="preserve">CLEARED BALANCE
</t>
  </si>
  <si>
    <t>This is the balance on the account including
only those transactions which have reached
their value date.
Decimal places are currency dependent</t>
  </si>
  <si>
    <t xml:space="preserve">FORWARD BALANCE
</t>
  </si>
  <si>
    <t>This includes all forward value dated
foreign exchange deals. As these items
reach their value dates the amount will be
applied to the Cleared balance and an equal
and opposite amount applied to the Forward
amount.
Decimal places are currency dependent.</t>
  </si>
  <si>
    <t>REPORT BALANCE</t>
  </si>
  <si>
    <t>At any point in time, it is possible to
“freeze” the cleared balance on the account
Is this frozen balance that is contained in
the report balance field. The report balance
is updated by the Report Balance Update
program (BNKS50) or when a transaction,
whose value date is less than or equal to the
report date, is posted to the account.</t>
  </si>
  <si>
    <t>LAST TRANSACTION DATE</t>
  </si>
  <si>
    <t xml:space="preserve">
This field contains the date on which the
ast transaction was posted to the account.
The date is in the format YYMMDD</t>
  </si>
  <si>
    <t xml:space="preserve">TRANSACTION COUNT
</t>
  </si>
  <si>
    <t>This field contains the total number of
transactions posted to the account to date.</t>
  </si>
  <si>
    <t xml:space="preserve">CREDIT INTEREST RATE/YIELD
RATE
</t>
  </si>
  <si>
    <t>For accounts accruing interest via the
Normal or Savings methods, ths field holds
the credit interest rate on the account,
For accounts accruing interest via the
Discount, Security or Certificates of
Deposit methods, this field is the yield rate
on the account, The yield rate is
memorandum for the Discount or Security
method, but is part of the interest
calculation formula for the Certificates of
Deposit method.
Valid values are: 0- 999.999999</t>
  </si>
  <si>
    <t xml:space="preserve">DEBIT INTEREST RATE/COUPON
RATE/DISCOUNT RATE
</t>
  </si>
  <si>
    <t>For accounts accruing interest via the
Normal or Savings methods, this field holds
the debit interest rate on the account.
For accounts accruing interest via the
Security or Certificates of Deposit methods,
this field holds the coupon rate on the
account.
For accounts accruing interest via the
Discount method, this field holds the
discount rate on the account.
Valid values are: 0 -999.999999</t>
  </si>
  <si>
    <t>This field maintains the interest which has
accumulated on the account from the date.
of the last interest application to the last
accrual date. Every transaction posted to the
account accrues interest to the value date of
the transaction, (except transactions to
accounts accruing interest via the Savings
method).
This field can be updated by an update run
of the Status List program (BNK100).
Decimal places are currency dependent.</t>
  </si>
  <si>
    <t xml:space="preserve">LAST ACCRUAL DATE
</t>
  </si>
  <si>
    <t xml:space="preserve">REPORT ACCRUED INTEREST
</t>
  </si>
  <si>
    <t>This field maintains the interest figure
which  has accrued on the Report balance
since the last accrual.
Decimal places are currency dependent.</t>
  </si>
  <si>
    <t xml:space="preserve">REPORT INTEREST ACCRUAL DATE
</t>
  </si>
  <si>
    <t>This field maintains the date on which the
Tast report balance interest accrual took
place.</t>
  </si>
  <si>
    <t xml:space="preserve">YEAR-TO-DATEINTEREST
</t>
  </si>
  <si>
    <t>This field maintains the interest figure
which is the total interest paid to, or
received from, the account for the current
year to date.
This field MUST be reset manually by the
user at the beginning of each tax year. If it
is not, the values will be carried over.
Decimal places are currency dependent.</t>
  </si>
  <si>
    <t xml:space="preserve">PAYEINTEREST CREDITED
</t>
  </si>
  <si>
    <t>This field contains the total interest credited
to the account during the current tax year to
date.
This field MUST be reset manually by the
user at the beginning of the tax year.
Decimal places are currency dependent.</t>
  </si>
  <si>
    <t xml:space="preserve">PAYEE INTEREST DEBITED 1
</t>
  </si>
  <si>
    <t>This field contains the total interest
deducted from the account during the
current tax year to date.
This field MUST be reset manually by the
user at the beginning of the tax year.
Decimal places are currency dependent.</t>
  </si>
  <si>
    <t xml:space="preserve">CREDIT BASE RATE CODE
</t>
  </si>
  <si>
    <t>This field maintains the base interest rate
code to which the account i tied while the
balance remains in credit.
These codes are created, maintained and
updated using the Interest Rate Change
program (BNK150).</t>
  </si>
  <si>
    <t xml:space="preserve">CREDIT MARGIN OVER BASE RATE
</t>
  </si>
  <si>
    <t>This field maintains the margin which is
added to, or (if the value is followed by a
‘minus sign) subtracted from, the credit base
rate to determine the effective interest rate
for the account. The margin is set up using
the Interest Rate Change program
(BNK150).</t>
  </si>
  <si>
    <t xml:space="preserve">DEBIT BASE RATE CODE
</t>
  </si>
  <si>
    <t>This field maintains the base interest rate
code to which the account is tied while the
balance remains in debit.
These codes are created, maintained and
updated using the Interest Rate Change
program (BNK150).</t>
  </si>
  <si>
    <t xml:space="preserve">DEBIT MARGIN OVER BASE RATE
</t>
  </si>
  <si>
    <t>This field maintains the margin which is
added to, or (if the value is followed by a
‘minus sign) subtracted from, the debit base
rate to determine the effective interest rate
for the account. The margin is set up using
the Interest Rate Change program
(BNK150).
Valid values are: + TO - 99.999999</t>
  </si>
  <si>
    <t xml:space="preserve">DATE CHANGE ADVICEFLAG
</t>
  </si>
  <si>
    <t xml:space="preserve">This field indicates whether an advice is to
be printed advising that a change in the
interest rate has taken place. Valid values
are:
0 Do not print advice.
1 Print advice.
Any rate change transaction to this account
whose confirmation advice flag is set to
+20" will cause an advice to be printed
when this flag is set to "1".
NOTE that the’ CONFIRMATION
ADVICE FLAG’ must be setto "1".
</t>
  </si>
  <si>
    <t xml:space="preserve">DATE OF LAST RATE CHANGE
</t>
  </si>
  <si>
    <t>This field maintains the date on which the
last interest rate change took effect.
The date is in the format YYYYMMDD.</t>
  </si>
  <si>
    <t>INTEREST APPLICATION METHOD</t>
  </si>
  <si>
    <t>PAY ACCOUNT NUMBER</t>
  </si>
  <si>
    <t>This field maintains the account number
that the interest will be paid to, or received
from, when the "INTEREST
APPLICATION METHOD" field is set fo
Bry
Itis the number of the asset on the asset
register for lease accounts.</t>
  </si>
  <si>
    <t>INTEREST APPLICATION
FREQUENCY</t>
  </si>
  <si>
    <t>This field contains the frequency and start
month of interest application runs
(BNK120).
The field is in the format XNN, where 'X"
is the frequency of application and "NN" is
the starting month number (01-12).
Valid values are:
M Monthly.
Q Quarterly.
H Half yearly.
Y Yearly.
F Fixed account - applied by the
Automaturities program (BNK125).
A Fixed account - applied by the
Automaturities (BNK125) and Diary
‘processing (BNK040) programs.
EXAMPLE: If the frequency is set to
*Q02" then interest will be applied in
‘February, May, August and November.</t>
  </si>
  <si>
    <t>INTEREST APPLICATION ADVICE
FLAG</t>
  </si>
  <si>
    <t>This is a site specific field.</t>
  </si>
  <si>
    <t>LAST INTEREST APPLICATION DATE</t>
  </si>
  <si>
    <t>This field maintains the date of the last
interest application to the account</t>
  </si>
  <si>
    <t>LAST INTEREST APPLICATION
AMOUNT</t>
  </si>
  <si>
    <t>This field maintains the amount of interest
applied to the account during the last
interest application to the account,
Decimal places are currency dependent.</t>
  </si>
  <si>
    <t xml:space="preserve">ACCOUNTLIMIT
</t>
  </si>
  <si>
    <t>This field contains the limit on the account,
If negative, the debit balance may not
exceed this figure. If positive, the credit
balance must always exceed this figure.</t>
  </si>
  <si>
    <t xml:space="preserve"> MATCHING LOAN/DEPOSIT
ACCOUNT
</t>
  </si>
  <si>
    <t xml:space="preserve">MATURITY DATE
</t>
  </si>
  <si>
    <t>This field maintains the maturity date for
the account. When the maturity date is
reached the account will be processed by
the Automatic Maturities program
(BNK125)</t>
  </si>
  <si>
    <t>INITIAL LOAN AMOUNT/NOMINAL
cost</t>
  </si>
  <si>
    <t>This field maintains either the initial
amount of the loan or the nominal cost for
bills,
Decimal places are currency dependent.</t>
  </si>
  <si>
    <t>REVIEW DATE/DATE DRAWN</t>
  </si>
  <si>
    <t>This field maintains the account review
date for all accounts except Bills, CD’s and
Securities where it is the date the
instrument was drawn.</t>
  </si>
  <si>
    <t>STATEMENT FREQUENCY</t>
  </si>
  <si>
    <t>STATEMENT DAY</t>
  </si>
  <si>
    <t>This field contains the day of the month on
which statements will be printed.</t>
  </si>
  <si>
    <t xml:space="preserve">LASTSTATEMENT DATE
</t>
  </si>
  <si>
    <t>This field contains the date on which the
Last statement for the account was printed.</t>
  </si>
  <si>
    <t xml:space="preserve">LASTSTATEMENT BALANCE
</t>
  </si>
  <si>
    <t>This is the balance on the account when the
last statement was printed. It is used as the
brought forward balance in the next
statement.
Valid values are: + TO - 9999999999.99
Decimal places are currency dependent.</t>
  </si>
  <si>
    <t>LAST STATEMENT NUMBER</t>
  </si>
  <si>
    <t>This is the number of the last statement
printed for the account.</t>
  </si>
  <si>
    <t>LASTSTATEMENT TRANSACTION
COUNT</t>
  </si>
  <si>
    <t>This is the value of the transaction count
when the last statement was printed.</t>
  </si>
  <si>
    <t xml:space="preserve"> SIGNATURE CODE</t>
  </si>
  <si>
    <t>This field contains information relating to
signature verification. For example, on joint
‘accounts the signatures of both account
holders might be required on cheques
issued against the account. This is
memorandum (enquiry) data only.
NOTE: The user assigns a meaning to this
code and this becomes standard within the
system for that user.</t>
  </si>
  <si>
    <t xml:space="preserve">CONFIRMATION ADVICE FLAG
</t>
  </si>
  <si>
    <t>This field indicates whether confirmation
advices are to be printed for the account.
Valid values are:
0 Do not print.
1 Print,
2 Print interest demand letters for
‘commercial loans. (See the
"INTEREST APPLICATION ADVICE
FLAG’ field).</t>
  </si>
  <si>
    <t xml:space="preserve">MEMORANDUM FIELD 1
</t>
  </si>
  <si>
    <t>This is an internal note which will appear
on account enquiries and on selected
account detail reports</t>
  </si>
  <si>
    <t>MEMORANDUM FIELD 2</t>
  </si>
  <si>
    <t>MEMORANDUM FIELD 3</t>
  </si>
  <si>
    <t xml:space="preserve">MEMORANDUM INDICATOR 1
</t>
  </si>
  <si>
    <t>This is &amp; user memorandum indicator which
will appear on account enquiries and on.
account detail reports.</t>
  </si>
  <si>
    <t>MEMORANDUM INDICATOR 2</t>
  </si>
  <si>
    <t>MEMORANDUM INDICATOR 3</t>
  </si>
  <si>
    <t>MEMORANDUM INDICATOR 4</t>
  </si>
  <si>
    <t>MEMORANDUM INDICATOR 5</t>
  </si>
  <si>
    <t xml:space="preserve">INTERBANK CODE
</t>
  </si>
  <si>
    <t>This field indicates whether the account
holder is another bank. Valid values are:
0 ClientCorporate account,
1 Bank account,</t>
  </si>
  <si>
    <t xml:space="preserve">NON-RESIDENT CODE
</t>
  </si>
  <si>
    <t>This field indicates whether the account
holder is a non-resident of this country.
Valid values are:
0 Resident.
1 Non-resident.</t>
  </si>
  <si>
    <t>PSSWORD PROTECTION FLAG</t>
  </si>
  <si>
    <t>This field indicates whether a password
must be entered prior to certain actions on
an account. Valid values are:
1- Password required for posting and
enquiry.
0 No password required.
1 Password required for posting.
2 Account stopped. No posting or
enquiry allowed.
3 Account stopped. Password required
for enquiry.
4 No debits allowed.
5 No debits. Password required 0 +
override.
6 No credits allowed.
7 No credits. Password required to
override.
8 Password required for enquiry.
9 Password required for posting and
global base rate changes are not
allowed.</t>
  </si>
  <si>
    <t xml:space="preserve">DEBIT TRANSACTIONS COUNT -
MONTH TO DATE
</t>
  </si>
  <si>
    <t xml:space="preserve">This is the total number of the debit type
transactions applied to the account during
the current month to date.
</t>
  </si>
  <si>
    <t>CREDIT TRANSACTIONS COUNT -
MONTH TO DATE</t>
  </si>
  <si>
    <t>This is the total number of credit type
transactions applied to the account during
the current month to date.</t>
  </si>
  <si>
    <t xml:space="preserve">DEBIT TRANSACTIONS COUNT -
YEAR TO DATE
</t>
  </si>
  <si>
    <t xml:space="preserve">This is the total number of debit type.
transactions applied to the account during
the current year to date.
 </t>
  </si>
  <si>
    <t xml:space="preserve">CREDIT TRANSACTIONS COUNT -
YEAR TO DATE
</t>
  </si>
  <si>
    <t>This is the total number of credit type
transactions applied to the account during
the current year to date.</t>
  </si>
  <si>
    <t xml:space="preserve">INTEREST PAID ACCOUNT POINTER
</t>
  </si>
  <si>
    <t>This is a pointer which indicates the
account on the memo or control record to
which interest will be paid.
‘The user may specify any one of the six
accounts held on the memo or control
record.
NOTE: See the range of fields from
INTEREST PAID ACCOUNT 1” to
INTEREST PAID ACCOUNT 6’ on the
General Ledger Control and Memo records.</t>
  </si>
  <si>
    <t xml:space="preserve">INTEREST RECEIVED ACCOUNT
POINTER
</t>
  </si>
  <si>
    <t>This is &amp; pointer which indicates the
account on the memo or control record to
which interest wil be received. The user
‘may specify any one of six accounts on the
‘memo or control record.
NOTE: See the range of fields from
"INTEREST RECEIVED ACCOUNT 1 to
"INTEREST RECEIVED ACCOUNT 6 on
the General Ledger Control and Memo
records.</t>
  </si>
  <si>
    <t xml:space="preserve">BASE CURRENCY EQUIVALENT
BALANCE/NO BOOK TRANSACTION
BALANCE
</t>
  </si>
  <si>
    <t>This field contains the base currency
equivalent balance for foreign exchange
position accounts (account type "12") or the.
book transaction balance for passbook
accounts.
Decimal places are currency dependent.</t>
  </si>
  <si>
    <t xml:space="preserve">START DATE FOR FIXED ACCOUNTS
</t>
  </si>
  <si>
    <t>This is the value date for a fixture when
posted to an account.</t>
  </si>
  <si>
    <t xml:space="preserve">MEMO GROUP CODE
</t>
  </si>
  <si>
    <t>This is the memo or group to which the.
account belongs</t>
  </si>
  <si>
    <t xml:space="preserve">NUMBER OF STATEMENTS TO
PRINT
</t>
  </si>
  <si>
    <t>Valid values are:
0-1 One statement to account holder or
third party.
2-9 Two to nine statements to account
holder or third party.
X One statement to account holder and
one statement to third party.
NOTE: This coding is used depending on
the statements used by, or commissioned
by, the user.</t>
  </si>
  <si>
    <t xml:space="preserve">MAILING INSTRUCTIONS
</t>
  </si>
  <si>
    <t>Valid values are:
0 Keep at counter for collection.
1 Mail.
2 Mail to third party only.
3 Mail to account holder only.
NOTE: This coding is used depending on
the statements used by, or commissioned
by, the user.</t>
  </si>
  <si>
    <t xml:space="preserve">MINIMUM SERVICE FEE PER
TRANSACTION
</t>
  </si>
  <si>
    <t>This is the minimum service fee which will
be applied to transactions where the
'SERVIS FEE’ flag is set to "1" on the
TTABLE parameter file.
Decimal places are currency dependent.</t>
  </si>
  <si>
    <t>MAXIMUM SERVICE FEE PER
TRANSACTION</t>
  </si>
  <si>
    <t>This is the maximum service fee which will
be applied to transactions where the
'SERVIS FEE’ flag is set to "1" on the
TTABLE parameter file.
Decimal places are currency dependent.</t>
  </si>
  <si>
    <t>ACCRUED SERVICE FEE</t>
  </si>
  <si>
    <t>HIGHEST CREDIT BALANCE TO
DATE</t>
  </si>
  <si>
    <t>This is the largest absolute credit balance
on the account since the last time the
Customer Profile Update program
(BNK270) was run. The field is only
‘maintained if the customer profile flag on
the Customer Register file (CRDOBB) is set
to "1"</t>
  </si>
  <si>
    <t>LOWEST CREDIT BALANCE TO
DATE</t>
  </si>
  <si>
    <t>This is the smallest absolute credit balance
on the account since the last time the
Customer Profile Update program
(BNK270) was run. The field is only
‘maintained if the customer profile flag on
the Customer Register file (CRDOBB) is set
to"1"</t>
  </si>
  <si>
    <t xml:space="preserve">TOTAL VALUE OF CREDIT
TRANSACTIONS
</t>
  </si>
  <si>
    <t>This is the total value of all cleared credit
transactions that have been posted to the
account to date.
Decimal places are currency dependent.</t>
  </si>
  <si>
    <t>HIGHEST DEBIT BALANCE</t>
  </si>
  <si>
    <t>This is the largest absolute debit balance on
the account since the last time the Customer
Profile Update program (BNK270) was run.
The field is only maintained if the customer
profile flag on the Customer Register file
(CRDOBB) is set to "1".
Decimal places are currency dependent.</t>
  </si>
  <si>
    <t>LOWEST DEBIT BALANCE</t>
  </si>
  <si>
    <t>This is the smallest absolute debit balance
on the account since the last time the
Customer Profile Update program
(BNK270) was run. The field is only
maintained if the customer profile flag on
the Customer Register file (CRDOBB) is set
to "1",
Decimal places are currency dependent.</t>
  </si>
  <si>
    <t>TOTAL VALUE OF DEBIT
TRANSACTIONS</t>
  </si>
  <si>
    <t>This is the total value of all cleared debit
transactions that have been posted to the
account to date.
Decimal places are currency dependent.</t>
  </si>
  <si>
    <t>ACCUMULATED DAILY BALANCES</t>
  </si>
  <si>
    <t>This is used by the Customer Profile
(gapped analysis) program (BNK270) and
holds the sum of the daily balances for the
month.
Tt is reset at the end of the month when the
Customer Profile report has been printed.</t>
  </si>
  <si>
    <t>LAST WORKING DAY - BALANCES
ACCUMULATED</t>
  </si>
  <si>
    <t>This is the last working day for the
Customer Profile programs. It is used for
calculating averages.
This field is updated by the Audit Trail
‘Program (BNKO60).</t>
  </si>
  <si>
    <t xml:space="preserve"> RECONCILIATION ACCOUNT
</t>
  </si>
  <si>
    <t>This field indicates whether this is a
reconciliation account. Valid values are:
% 0 No.
1 Yes.
Reconciliation accounts are normally used
by "front office tellers” for all transactions
posted. The various amounts can then be
removed and applied to the correct accounts
after front office posting has closed down.
Use of reconciliation accounts avoids
customer accounts being updated by tellers.</t>
  </si>
  <si>
    <t xml:space="preserve"> FROM CHEQUE NUMBER
</t>
  </si>
  <si>
    <t>This field maintains the "FROM" value in
the valid cheque number range for this
account.</t>
  </si>
  <si>
    <t xml:space="preserve">TO CHEQUE NUMBER
</t>
  </si>
  <si>
    <t xml:space="preserve">This field maintains the 'TO' value in the
valid cheque number range for this account.
</t>
  </si>
  <si>
    <t xml:space="preserve">FX POSITION ACCOUNT BOOK
BALANCE
</t>
  </si>
  <si>
    <t xml:space="preserve">This field contains the book balance on the
‘position account after the Foreign Exchange
Diary Update run has completed.
Decimal places are currency dependent.
</t>
  </si>
  <si>
    <t xml:space="preserve">PROFIT &amp; LOSS CODE - DEBIT
BALANCES
</t>
  </si>
  <si>
    <t>If the user decides t0 use the default code
system for profit and loss then only the
relevant codes need be put in the relevant
‘positions in detail records. These control
codes, and/or the memo codes, will be used
to fill the gaps.
Tf the account is subject to balance swings
then both Debit and Credit codes should be
maintained. If there is a Debit balance and
10 Debit code then the account will be
ignored. Similarly for accrued and contra
interest.
This field contains part or all of the Profit &amp;
Loss code for debit balances.
‘Example: If the control has a code "12345"
and the memo has a code "- 456-", and the
user puts the code "8-2" in the detail
Profit and Loss field, then the system will
fill the gaps by using firstly the memo, and
then, if necessary, the control, giving"84265".</t>
  </si>
  <si>
    <t xml:space="preserve">PROFIT &amp; LOSS CODE - CREDIT
BALANCES
</t>
  </si>
  <si>
    <t>This field maintains part or all of the Profit
&amp; Loss code for credit balances.
Sec the "PROFIT &amp; LOSS CODE - DEBIT
BALANCES’ field for explanation of the
default coding system.</t>
  </si>
  <si>
    <t xml:space="preserve">PROFIT &amp; LOSS CODE - DEBIT
ACCRUED INTEREST
</t>
  </si>
  <si>
    <t>This field maintains part or all of the Profit
&amp; Loss code for debit accrued interest.
The field is used when up-to-date accrued
interest is to appear on the Profit &amp; Loss
statement and the Daily Accrual program
(BNKA470) is not being used.
See the "PROFIT &amp; LOSS CODE - DEBIT
BALANCES’ field for explanation of the
default coding system.</t>
  </si>
  <si>
    <t xml:space="preserve"> PROFIT &amp; LOSS CODE - DEBIT
ACCRUED INTEREST CONTRA
</t>
  </si>
  <si>
    <t xml:space="preserve">This field maintains the Profit &amp; Loss code.
for debit accrued interest contra. Its not
normally used.
</t>
  </si>
  <si>
    <t xml:space="preserve">PROFIT &amp; LOSS CODE - CREDIT
ACCRUED INTEREST CONTRA
</t>
  </si>
  <si>
    <t>This field maintains the Profit &amp; Loss code
for credit accrued interest contra. It is not
normally used.</t>
  </si>
  <si>
    <t xml:space="preserve"> BALANCE ster CODE - DEBIT
BALAN</t>
  </si>
  <si>
    <t>If the user decides to use the default code
system for balance sheets then only the
relevant codes need be put in the relevant
positions in the detail record. These control
codes, and/or memo codes, will be used to
fill the gaps.
This field maintains the balance sheet code
for debit balances.
‘Example: If the control has a code 121."
and the memo has a code "--- 00", and the
user puts the code "9" in the detail
Balance Sheet field, then the system will ill
the gaps by using firstly the memo, and
then, if necessary, the control, giving
"12109".</t>
  </si>
  <si>
    <t xml:space="preserve">BALANCE SHEET CODE - CREDIT
BALANCES
</t>
  </si>
  <si>
    <t>This field maintains the balance sheet code
for credit balances.
See the "BALANCE SHEET CODE -
DEBIT BALANCES’ field.</t>
  </si>
  <si>
    <t xml:space="preserve">BALANCE SHEET CODE - DEBIT
ACCRUED INTEREST
</t>
  </si>
  <si>
    <t>This field maintains the balance sheet code
for debit accrued interest. The field is used
if you want up-to-date accrued interest to
appear on the Balance Sheet and you are
not using the Daily Accrual program
(BNK470) to post the accruals to actual
accrual accounts.
See the "BALANCE SHEET CODE -
DEBIT BALANCES’ field for explanation
of default coding system.</t>
  </si>
  <si>
    <t xml:space="preserve">BALANCE SHEET CODE - CREDIT
ACCRUED INTEREST
</t>
  </si>
  <si>
    <t>This field maintains the balance sheet code
for credit accrued interest. The field is used
if you want up-to-date accrued interest to
appear on the Balance Sheet and you are
not using the Daily Accrual program
(BNK470) to post the accruals to actual
accrual accounts.</t>
  </si>
  <si>
    <t xml:space="preserve">BALANCE SHEET CODE - DEBIT
ACCRUED INTEREST CONTRA
</t>
  </si>
  <si>
    <t>This field maintains the balance sheet code
for debit accrued interest contra. This is the
contra to the "BALANCE SHEET CODE -
DEBIT ACCRUED INTEREST" field.</t>
  </si>
  <si>
    <t xml:space="preserve">BALANCE SHEET CODE - CREDIT
ACCRUED INTEREST CONTRA
</t>
  </si>
  <si>
    <t>This field maintains the balance sheet code
for credit accrued interest contra. This is the
contra to the "BALANCE SHEET CODE -
CREDIT ACCRUED INTEREST" field.</t>
  </si>
  <si>
    <t xml:space="preserve">COMMERCIAL LOAN
CLASSIFICATION CODE
</t>
  </si>
  <si>
    <t>This field contains a user defined code used
for distinguishing different types of
commercial loan.
This is used by the Commercial Loan
Analysis programs.</t>
  </si>
  <si>
    <t xml:space="preserve">DAILY CLOSING BALANCE
</t>
  </si>
  <si>
    <t>This field contains today’s closing balance
after the Audit Trail program (BNK060)
has been run for today.
Decimal places are currency dependent.</t>
  </si>
  <si>
    <t xml:space="preserve">DEAL MARGIN RATE FOR
COMMERCIAL LOANS
</t>
  </si>
  <si>
    <t>This field contains the part of the interest
rate that is over and above the interbank
lending rate.
Valid values are: +TO - 99.999999</t>
  </si>
  <si>
    <t xml:space="preserve">INACTIVE ACCOUNT FLAG
</t>
  </si>
  <si>
    <t>This field indicates whether the account is
inactive. An account is deemed to be
inactive if no postings have been made to it
for a specified number of months. Valid
values are:
0 Active account.
1 Inactive account.
NOTE: The number of months specified is
atthe user's discretion.</t>
  </si>
  <si>
    <t xml:space="preserve">INTERBRANCE/INTERCOMPANY
FLAG
</t>
  </si>
  <si>
    <t>This field indicates whether this is an
interbranch or intercompany account. Valid
values are:
0 Neither interbranch nor intercompany.
1 Interbranch.
2 Intercompany.</t>
  </si>
  <si>
    <t xml:space="preserve">MONEY MARKET INTEREST
ACCOUNT FLAG
</t>
  </si>
  <si>
    <t>This is used in the Dealers Position report,
Valid values are:
0 No.
1 Yes.</t>
  </si>
  <si>
    <t>FINAL MATURITY DATE FOR
COMMERCIAL LOAN (REDEFINED
FIELD)</t>
  </si>
  <si>
    <t xml:space="preserve">INITIAL INTEREST ON LOAN
</t>
  </si>
  <si>
    <t>This field contains the interest receivable on
a Consumer Finance Loan.</t>
  </si>
  <si>
    <t>ORIGINAL DEAL NUMBER</t>
  </si>
  <si>
    <t>This field maintains the deal number of the
FIRST transaction to this account whose
"Money Market” flag was set to "1".
Sec the "LAST DEAL NUMBER’ field.</t>
  </si>
  <si>
    <t xml:space="preserve">LAST DEAL NUMBER
</t>
  </si>
  <si>
    <t xml:space="preserve">LIMIT CHECK FLAG
</t>
  </si>
  <si>
    <t>This field indicates to what extent limit
checking will be carried out. Valid values
are:
0 No limit checking.
1 Real time. (Password on excess).
2 Notreal time. (Exceptions only).
3 Real time. (No limit excess allowed).</t>
  </si>
  <si>
    <t>LOWEST BALANCE/UNMATURED SPOTS/GOODS AMOUNT/DEFERRED INTEREST</t>
  </si>
  <si>
    <t>ACCOUNT LIMIT REVIEW DATE</t>
  </si>
  <si>
    <t>This field maintains the date on which the
account limit s due for review.</t>
  </si>
  <si>
    <t>INTEREST APPLICATION DAY</t>
  </si>
  <si>
    <t>This field maintains the day of the month
on which interest will be applied to the
account.</t>
  </si>
  <si>
    <t>FILE MAINTENANCE - LAST
AMENDMENT DATE</t>
  </si>
  <si>
    <t>This field maintains the date on which the
record was last amended by Easidata.</t>
  </si>
  <si>
    <t>ACCOUNT DAILY OPENING
BALANCE</t>
  </si>
  <si>
    <t>This field maintains yesterday's closing
balance after the Audit Trail program
(BNKO060) has been run for today.
Decimal places are currency dependent.</t>
  </si>
  <si>
    <t>TEMPORARY LIMIT</t>
  </si>
  <si>
    <t>This field maintain the  temporary limit</t>
  </si>
  <si>
    <t>BLOCKED ARREAR 1</t>
  </si>
  <si>
    <t>Blocked Arrear amount 1 was used during BM loans migration to FINONE</t>
  </si>
  <si>
    <t>BLOCKED ARREAR 2</t>
  </si>
  <si>
    <t>Blocked Arrear amount 2 was used during BM loans migration to FINONE</t>
  </si>
  <si>
    <t>AUTO ROLL FLAG</t>
  </si>
  <si>
    <t>Auto Renewal flag for Term deposits accounts</t>
  </si>
  <si>
    <t>SETTLEMENT ACCOUNT NO</t>
  </si>
  <si>
    <t>Settlement account for BM loans</t>
  </si>
  <si>
    <t>AVAILABLE FUNDS</t>
  </si>
  <si>
    <t>Flag denoates if the fund is availabe or not. Internally used by BM</t>
  </si>
  <si>
    <t>REPAYMENT PRIORITY</t>
  </si>
  <si>
    <t>repayment priority flag</t>
  </si>
  <si>
    <t>LOAN STATUS</t>
  </si>
  <si>
    <t>Loan status flag</t>
  </si>
  <si>
    <t>LOAN STATUS CHANGED</t>
  </si>
  <si>
    <t>Loan status changed flag</t>
  </si>
  <si>
    <t>LOAN STATUS CHANGE DATE</t>
  </si>
  <si>
    <t>Loan status changed date</t>
  </si>
  <si>
    <t>LOAN DRAWN DOWN DATE</t>
  </si>
  <si>
    <t>Loan drawn down date</t>
  </si>
  <si>
    <t>FINAL REPAYMENT DATE</t>
  </si>
  <si>
    <t>loan final repayment date</t>
  </si>
  <si>
    <t>LAST FULLY PAID DATE</t>
  </si>
  <si>
    <t>Fully paid up date</t>
  </si>
  <si>
    <t>DOUBT YTD INT</t>
  </si>
  <si>
    <t>Doubtful year to date interest</t>
  </si>
  <si>
    <t>INT LAST RUN</t>
  </si>
  <si>
    <t>Interest last run</t>
  </si>
  <si>
    <t>ACCRUED YTD</t>
  </si>
  <si>
    <t>Accrured year to date interest</t>
  </si>
  <si>
    <t>LOAN RUNNING FLAG</t>
  </si>
  <si>
    <t>This field maintain the  loan running flag</t>
  </si>
  <si>
    <t>OVER DRAWN DATE</t>
  </si>
  <si>
    <t>This field maintain the  over drawn date</t>
  </si>
  <si>
    <t>BMPNP PROCESS FLAG</t>
  </si>
  <si>
    <t>This field maintain the  bmpnp process flag</t>
  </si>
  <si>
    <t>UNIQUE NO</t>
  </si>
  <si>
    <t>UNIQUE SUB NO1</t>
  </si>
  <si>
    <t>Customer unique sub number 1</t>
  </si>
  <si>
    <t>UNIQUE SUB NO2</t>
  </si>
  <si>
    <t>Customer unique sub number 2</t>
  </si>
  <si>
    <t>PREV YEAR BAL</t>
  </si>
  <si>
    <t>Previous year balance</t>
  </si>
  <si>
    <t>ATM CARD TYPE</t>
  </si>
  <si>
    <t>This field maintain the  atm card type</t>
  </si>
  <si>
    <t>DELETE INHIBIT FLAG</t>
  </si>
  <si>
    <t>Account delete inhibit flag</t>
  </si>
  <si>
    <t>CBOOK ENTITLED</t>
  </si>
  <si>
    <t>Cheque Book entitled flag</t>
  </si>
  <si>
    <t>CHARGE BLE CBOOK</t>
  </si>
  <si>
    <t>Chargeble cheque book flag</t>
  </si>
  <si>
    <t>STATEMENT EXCEPTION</t>
  </si>
  <si>
    <t>This field maintain the  statement exception</t>
  </si>
  <si>
    <t>ALKANZ</t>
  </si>
  <si>
    <t>This field maintain the  alkanz</t>
  </si>
  <si>
    <t>RENEIWAL CODE</t>
  </si>
  <si>
    <t>This field maintain the  reneiwal code</t>
  </si>
  <si>
    <t>GIFT CODE</t>
  </si>
  <si>
    <t>This field maintain the  gift code</t>
  </si>
  <si>
    <t>COPACA CUSTOMER</t>
  </si>
  <si>
    <t>Coprporate payroll customer flat</t>
  </si>
  <si>
    <t>ATM OVER DRAFT</t>
  </si>
  <si>
    <t>ATM overdraft allowed flag -mainly used for pensioner account</t>
  </si>
  <si>
    <t>INTEARNED IN ADVANCE</t>
  </si>
  <si>
    <t>Interest earned in advance amount</t>
  </si>
  <si>
    <t>HISTORY JEWEL LOAN</t>
  </si>
  <si>
    <t>This field maintain the  history jewel loan</t>
  </si>
  <si>
    <t>SAMA ACCOUNT STATUS</t>
  </si>
  <si>
    <t>SAMA account status. 0- active; 1-inactive; 2-Dormant; 3-Unclaimed</t>
  </si>
  <si>
    <t>PASSWD BEFORE FREEZE</t>
  </si>
  <si>
    <t>Account status before freeze</t>
  </si>
  <si>
    <t>ANB DORMANT FLAG</t>
  </si>
  <si>
    <t>ANB dormant account flag</t>
  </si>
  <si>
    <t>PASSWDBEFOREDORMANTRESTRICTION</t>
  </si>
  <si>
    <t>Account status before dormant restriction</t>
  </si>
  <si>
    <t>LASTUSEDSONO</t>
  </si>
  <si>
    <t>Last used standing order number</t>
  </si>
  <si>
    <t>LGLCBLOCKSTATUS</t>
  </si>
  <si>
    <t>Letter of Gurantee/Letter of Credit block status</t>
  </si>
  <si>
    <t>IBAN</t>
  </si>
  <si>
    <t>INT TO BE AMORTIZED</t>
  </si>
  <si>
    <t>Interest to be amortized</t>
  </si>
  <si>
    <t>AMORTIZED INT</t>
  </si>
  <si>
    <t>Amourtized amount</t>
  </si>
  <si>
    <t>LAST FREEZE DDATE</t>
  </si>
  <si>
    <t>Last freeze date</t>
  </si>
  <si>
    <t>FREEZE REASON</t>
  </si>
  <si>
    <t>This field maintain the  freeze reason</t>
  </si>
  <si>
    <t>This field uniquely identifies each customer</t>
  </si>
  <si>
    <t>SHORT NAME</t>
  </si>
  <si>
    <t>This field maintains the customer's short name.</t>
  </si>
  <si>
    <t xml:space="preserve"> NON-RESIDENT CODE</t>
  </si>
  <si>
    <t>This field indicates whether the customer is
a resident of this country. Valid values are:
0 Resident.
1 Non-resident.</t>
  </si>
  <si>
    <t>PRIMARY ACCOUNT NUMBER</t>
  </si>
  <si>
    <t>INTERBANK/CLIENT</t>
  </si>
  <si>
    <t>This field indicates whether the record is for another bank. Valid values are:
0 Customer
1 Bank</t>
  </si>
  <si>
    <t>DATE OF BIRTH/ESTABLISHMENT</t>
  </si>
  <si>
    <t>STAFF MEMBER</t>
  </si>
  <si>
    <t>This field indicates whether the customer is employed by the user. Valid values are:
0 Nota staff member.
1 Staff member.
2 Internal customer.
An internal customer is the 'customer” used for Internal Bank Accounts. Advices and Confirmations are NOT printed for intemal customers.
An internal bank account is an account ‘maintained by the bank for the bank (e.g.interest received, commissions etc.).</t>
  </si>
  <si>
    <t>LANGUAGE PREFERENCE</t>
  </si>
  <si>
    <t>SEX</t>
  </si>
  <si>
    <t>This field indicates the gender type of the
customer. Valid values are:
0 Male.
1 Female.
2 Company.</t>
  </si>
  <si>
    <t>GAPPED ANALYSIS INDICATOR</t>
  </si>
  <si>
    <t>This field indicates whether the Gapped
Analysis Report will be printed for the
customer. Valid values are:
0 No Gapped Analysis.
1 Print Gapped Analysis.</t>
  </si>
  <si>
    <t>TELEX NUMBER</t>
  </si>
  <si>
    <t>This field maintains the customer's telex number.</t>
  </si>
  <si>
    <t>SWIFT NUMBER</t>
  </si>
  <si>
    <t>This field maintains the Society for Worldwide Interbank Financial Telecommunication number.</t>
  </si>
  <si>
    <t>CORRESPONDENCE NAME</t>
  </si>
  <si>
    <t>This field maintains the full customer name
that will be used for all correspondence
addressing, i.e. Statements &amp; Confirmations.</t>
  </si>
  <si>
    <t>DEFAULT INTEREST PAID ACCOUNT POINTER</t>
  </si>
  <si>
    <t>This field maintains the default value, for
this customer, which will be inserted in the
"INTEREST PAID ACCOUNT POINTER”
field on the General Ledger Detail record,
whenever a new account is being opened
for this customer. Valid values are: 1-6.</t>
  </si>
  <si>
    <t>DEFAULTINTEREST RECEIVED
ACCOUNT POINTER</t>
  </si>
  <si>
    <t>This field maintains the default value, for
this customer, which will be inserted in the
"INTEREST RECEIVED ACCOUNT
POINTER’ field on the General Leger
Detail record, whenever a new account is
being opened for this customer.
Valid values are: 1-6.</t>
  </si>
  <si>
    <t>FILEMAINTENANCE/LAST
AMENDMENT DATE</t>
  </si>
  <si>
    <t>This field maintains the date on which the
record was last amended by Easidata. This
is only operable when the parameter file has
been set up to support this feature. See the
Central Bankmaster ~ Easidata manual for
further details.</t>
  </si>
  <si>
    <t>FOREIGN EXCHANGE FORWARD
MONITORING INDICATOR</t>
  </si>
  <si>
    <t xml:space="preserve"> CUSTOMER ANALYSIS FLAG</t>
  </si>
  <si>
    <t>This field indicates whether the Customer
Analysis system is to be enabled. Valid
values are:
0 No.
1 Yes.</t>
  </si>
  <si>
    <t>CUSTOMER TYPE FLAG</t>
  </si>
  <si>
    <t>This is the customer type used by the
Investment Management module.
Valid values are:
0 Bank customer.
1 Investment Management client.
2 Investment Management broker.
3 Investment Management depot.</t>
  </si>
  <si>
    <t>SWIFT MEMBERFLAG</t>
  </si>
  <si>
    <t>This field determines whether the customer
is 2 member of the SWIFT network. Valid
values are:
0 No.
1 Yes.</t>
  </si>
  <si>
    <t>CUSTOMER PREFERENCE
(LANGUAGE INDEPENDENCE)</t>
  </si>
  <si>
    <t>This field determines which language is to
be used for this customer. Valid values are:
00 No Preference.
01 -Language to be used.</t>
  </si>
  <si>
    <t>ALTERNATE CUSTOMER NUMBER</t>
  </si>
  <si>
    <t>This field maintains the alternate customer
number which can be used to access the
customer via enquiries.</t>
  </si>
  <si>
    <t xml:space="preserve"> BROKER REFERENCE</t>
  </si>
  <si>
    <t>This field is used by the site specific Broker module.</t>
  </si>
  <si>
    <t>FINANCIALINSTITUTION</t>
  </si>
  <si>
    <t>This field is primarily for SWIFT use. Valid
values are:
0 Nota financial institution.
1 Afinancial institution.</t>
  </si>
  <si>
    <t>COUNTRY OF RESIDENCE</t>
  </si>
  <si>
    <t>This is the code for the country of residence
for this customer.This field redefines the "CENTRAL BANK
CODE DEFAULTS’ field for the CMI
‘module.</t>
  </si>
  <si>
    <t>LIMIT CHECKING FLAG</t>
  </si>
  <si>
    <t>This field indicates whether limit checks arc
10 be carried out. Valid values are:
0 No limit checking.
1 Full limit checking.
2 No password requested on excess.
3 Full checking, no password allowed.</t>
  </si>
  <si>
    <t xml:space="preserve"> GROUP LEADER FLAG</t>
  </si>
  <si>
    <t>This field indicates whether the customer is
a group leader. Valid values are:
0 No.
1 Yes.
If Yes, this customers limit is to monitor
their other customers tied t0 it by use of the
"GROUP LEADER NUMBER’ field.</t>
  </si>
  <si>
    <t>GROUP LEADER NUMBER (ALT
KEY)</t>
  </si>
  <si>
    <t>LIMITREVIEW DATE</t>
  </si>
  <si>
    <t>This field maintains the date on which the
customer's limit is due for revision.</t>
  </si>
  <si>
    <t>LIMITEXPIRY DATE</t>
  </si>
  <si>
    <t>This field maintains the date on which the
limit assigned to the customer is due to
expire.</t>
  </si>
  <si>
    <t>OVERALL DEBIT LIMIT</t>
  </si>
  <si>
    <t>This field maintains the limit for all debit
balance accounts the customer has with the
bank</t>
  </si>
  <si>
    <t>SIGN OF OVERALL DEBIT LIMIT</t>
  </si>
  <si>
    <t>This field is required for technical purposes
because the ‘OVERALL DEBIT LIMIT’
field is packed. Valid values are:
0 Positive.
P Negative.</t>
  </si>
  <si>
    <t>OVERALL DEBIT EXPOSURE</t>
  </si>
  <si>
    <t>This field maintains the up-to-date historic
exposure of all debit balance accounts
belonging to the customer. It may be
revalued periodically to update the
historically calculated value.</t>
  </si>
  <si>
    <t>SIGN OF OVERALL DEBIT
EXPOSURE</t>
  </si>
  <si>
    <t>This field is required for technical purposes
because the "OVERALL DEBIT
EXPOSURE’ field is packed. Valid values
are:
0 Positive.
P Negative.</t>
  </si>
  <si>
    <t>OVERALL CREDIT LIMIT</t>
  </si>
  <si>
    <t>This field maintains the limit of all the
credit balance accounts the customer has
with the bank.</t>
  </si>
  <si>
    <t>SIGN OF OVERALL CREDIT LIMIT</t>
  </si>
  <si>
    <t>This field is required for technical purposes
because the ‘OVERALL CREDIT LIMIT"
field is packed. Valid values are:</t>
  </si>
  <si>
    <t>OVERALL CREDIT EXPOSURE</t>
  </si>
  <si>
    <t>This field maintains the up-to-date historic
exposure of all credit balance accounts
belonging to the customer. It may be
revalued periodically to update the
historically calculated value.</t>
  </si>
  <si>
    <t>SIGN OF OVERALL CREDIT
EXPOSURE</t>
  </si>
  <si>
    <t xml:space="preserve"> LIMIT CURRENCY CODE</t>
  </si>
  <si>
    <t>This field is required for technical purposes
because the "OVERALL CREDIT
EXPOSURE’ is packed. Valid values are:
0 Positive.
P Negative</t>
  </si>
  <si>
    <t xml:space="preserve"> BUSINESS TYPE TITLE </t>
  </si>
  <si>
    <t xml:space="preserve"> NATIONALITY TITLE </t>
  </si>
  <si>
    <t xml:space="preserve"> BRANCH NAME </t>
  </si>
  <si>
    <t xml:space="preserve"> NEW CUSTOMER STATUS </t>
  </si>
  <si>
    <t xml:space="preserve"> PIN MAILER REQUEST </t>
  </si>
  <si>
    <t xml:space="preserve"> MAOPAC CUSTOMER STATUS </t>
  </si>
  <si>
    <t xml:space="preserve"> FULL CUSTOMER ADDRESS </t>
  </si>
  <si>
    <t xml:space="preserve"> ATM CHARGE FLAG </t>
  </si>
  <si>
    <t xml:space="preserve"> UNIQUE IDENTIFIER NUMBER </t>
  </si>
  <si>
    <t xml:space="preserve"> BANK CARD TYPE </t>
  </si>
  <si>
    <t xml:space="preserve"> ACCOUNT MANAGER ASSIGNMENT </t>
  </si>
  <si>
    <t xml:space="preserve"> VIP STATUS FLAG </t>
  </si>
  <si>
    <t xml:space="preserve"> ACCOUNT PACKAGE TYPE </t>
  </si>
  <si>
    <t xml:space="preserve"> RISK CLASSIFICATION LEVEL </t>
  </si>
  <si>
    <t xml:space="preserve"> RISK CLASS CODE </t>
  </si>
  <si>
    <t xml:space="preserve"> RESTRICTED DATE FOR SAMA COMPLIANCE </t>
  </si>
  <si>
    <t xml:space="preserve"> BANKING PACKAGE FLAG </t>
  </si>
  <si>
    <t xml:space="preserve"> NIN LEVEL PACKAGE ACCOUNT STATUS </t>
  </si>
  <si>
    <t xml:space="preserve"> NIN LEVEL PACKAGE ACCOUNT CUSTOMER NUMBER </t>
  </si>
  <si>
    <t xml:space="preserve"> NIN LEVEL PAYROLL TYPE </t>
  </si>
  <si>
    <t xml:space="preserve"> NIN LEVEL PAYROLL CUSTOMER NUMBER </t>
  </si>
  <si>
    <t xml:space="preserve"> NIN LEVEL PAYROLL ORGANIZATION ID </t>
  </si>
  <si>
    <t xml:space="preserve"> NIN LEVEL BUSINESS TYPE </t>
  </si>
  <si>
    <t xml:space="preserve"> NIN LEVEL BUSINESS TYPE CUSTOMER NUMBER </t>
  </si>
  <si>
    <t xml:space="preserve"> EXCLUSION FROM ATM TRANSACTION FEES </t>
  </si>
  <si>
    <t xml:space="preserve"> TERM DEPOSIT ADVISEMENT NOT REQUIRED </t>
  </si>
  <si>
    <t>CHIP CARD ISSUED</t>
  </si>
  <si>
    <t>This field contain  chip card issued</t>
  </si>
  <si>
    <t>LIMIT  9</t>
  </si>
  <si>
    <t>This field is required for technical purposes
as the "USER LIMIT" fields are packed.
Valid values are:
0 Positive.
P Negative</t>
  </si>
  <si>
    <t>EXPOSURE  9</t>
  </si>
  <si>
    <t>This field maintains one of 
definable exposures</t>
  </si>
  <si>
    <t>LIMIT  10</t>
  </si>
  <si>
    <t>EXPOSURE  10</t>
  </si>
  <si>
    <t>LIMIT  11</t>
  </si>
  <si>
    <t>EXPOSURE  11</t>
  </si>
  <si>
    <t>LIMIT  12</t>
  </si>
  <si>
    <t>EXPOSURE  12</t>
  </si>
  <si>
    <t>LIMIT  13</t>
  </si>
  <si>
    <t>EXPOSURE  13</t>
  </si>
  <si>
    <t>LIMIT  14</t>
  </si>
  <si>
    <t>EXPOSURE  14</t>
  </si>
  <si>
    <t>LIMIT  15</t>
  </si>
  <si>
    <t>EXPOSURE  15</t>
  </si>
  <si>
    <t>LIMIT  16</t>
  </si>
  <si>
    <t>EXPOSURE  16</t>
  </si>
  <si>
    <t>LIMIT  17</t>
  </si>
  <si>
    <t>EXPOSURE  17</t>
  </si>
  <si>
    <t>LIMIT  18</t>
  </si>
  <si>
    <t>EXPOSURE  18</t>
  </si>
  <si>
    <t>LIMIT  19</t>
  </si>
  <si>
    <t>EXPOSURE  19</t>
  </si>
  <si>
    <t>LIMIT  20</t>
  </si>
  <si>
    <t>EXPOSURE  20</t>
  </si>
  <si>
    <t>LIMIT  21</t>
  </si>
  <si>
    <t>EXPOSURE  21</t>
  </si>
  <si>
    <t>LIMIT  22</t>
  </si>
  <si>
    <t>EXPOSURE  22</t>
  </si>
  <si>
    <t>LIMIT  23</t>
  </si>
  <si>
    <t>EXPOSURE  23</t>
  </si>
  <si>
    <t>LIMIT  24</t>
  </si>
  <si>
    <t>EXPOSURE  24</t>
  </si>
  <si>
    <t>LIMIT  25</t>
  </si>
  <si>
    <t>EXPOSURE  25</t>
  </si>
  <si>
    <t>LIMIT  26</t>
  </si>
  <si>
    <t>EXPOSURE  26</t>
  </si>
  <si>
    <t>LIMIT  27</t>
  </si>
  <si>
    <t>EXPOSURE  27</t>
  </si>
  <si>
    <t>LIMIT  28</t>
  </si>
  <si>
    <t>EXPOSURE  28</t>
  </si>
  <si>
    <t>LIMIT  29</t>
  </si>
  <si>
    <t>EXPOSURE  29</t>
  </si>
  <si>
    <t>LIMIT  30</t>
  </si>
  <si>
    <t>EXPOSURE  30</t>
  </si>
  <si>
    <t>LIMIT  31</t>
  </si>
  <si>
    <t>EXPOSURE  31</t>
  </si>
  <si>
    <t>LIMIT  32</t>
  </si>
  <si>
    <t>EXPOSURE  32</t>
  </si>
  <si>
    <t>LIMIT  33</t>
  </si>
  <si>
    <t>EXPOSURE  33</t>
  </si>
  <si>
    <t>LIMIT  34</t>
  </si>
  <si>
    <t>EXPOSURE  34</t>
  </si>
  <si>
    <t>LIMIT  35</t>
  </si>
  <si>
    <t>EXPOSURE  35</t>
  </si>
  <si>
    <t>LIMIT  36</t>
  </si>
  <si>
    <t>EXPOSURE  36</t>
  </si>
  <si>
    <t>LIMIT  37</t>
  </si>
  <si>
    <t>EXPOSURE  37</t>
  </si>
  <si>
    <t>LIMIT  38</t>
  </si>
  <si>
    <t>EXPOSURE  38</t>
  </si>
  <si>
    <t>LIMIT  39</t>
  </si>
  <si>
    <t>EXPOSURE  39</t>
  </si>
  <si>
    <t>LIMIT  40</t>
  </si>
  <si>
    <t>EXPOSURE  40</t>
  </si>
  <si>
    <t>LIMIT  41</t>
  </si>
  <si>
    <t>EXPOSURE  41</t>
  </si>
  <si>
    <t>LIMIT  42</t>
  </si>
  <si>
    <t>EXPOSURE  42</t>
  </si>
  <si>
    <t>LIMIT  43</t>
  </si>
  <si>
    <t>EXPOSURE  43</t>
  </si>
  <si>
    <t>LIMIT  44</t>
  </si>
  <si>
    <t>EXPOSURE  44</t>
  </si>
  <si>
    <t>LIMIT  45</t>
  </si>
  <si>
    <t>EXPOSURE  45</t>
  </si>
  <si>
    <t>LIMIT  46</t>
  </si>
  <si>
    <t>EXPOSURE  46</t>
  </si>
  <si>
    <t>LIMIT  47</t>
  </si>
  <si>
    <t>EXPOSURE  47</t>
  </si>
  <si>
    <t>LIMIT  48</t>
  </si>
  <si>
    <t>EXPOSURE  48</t>
  </si>
  <si>
    <t>LIMIT  49</t>
  </si>
  <si>
    <t>EXPOSURE  49</t>
  </si>
  <si>
    <t>LIMIT  50</t>
  </si>
  <si>
    <t>EXPOSURE  50</t>
  </si>
  <si>
    <t>LIMIT  51</t>
  </si>
  <si>
    <t>EXPOSURE  51</t>
  </si>
  <si>
    <t>LIMIT  52</t>
  </si>
  <si>
    <t>EXPOSURE  52</t>
  </si>
  <si>
    <t>LIMIT  53</t>
  </si>
  <si>
    <t>EXPOSURE  53</t>
  </si>
  <si>
    <t>LIMIT  54</t>
  </si>
  <si>
    <t>EXPOSURE  54</t>
  </si>
  <si>
    <t>LIMIT  55</t>
  </si>
  <si>
    <t>EXPOSURE  55</t>
  </si>
  <si>
    <t>LIMIT  56</t>
  </si>
  <si>
    <t>EXPOSURE  56</t>
  </si>
  <si>
    <t>LIMIT  57</t>
  </si>
  <si>
    <t>EXPOSURE  57</t>
  </si>
  <si>
    <t>LIMIT  58</t>
  </si>
  <si>
    <t>EXPOSURE  58</t>
  </si>
  <si>
    <t>LIMIT  59</t>
  </si>
  <si>
    <t>EXPOSURE  59</t>
  </si>
  <si>
    <t>LIMIT  60</t>
  </si>
  <si>
    <t>EXPOSURE  60</t>
  </si>
  <si>
    <t>LIMIT  61</t>
  </si>
  <si>
    <t>EXPOSURE  61</t>
  </si>
  <si>
    <t>LIMIT  62</t>
  </si>
  <si>
    <t>EXPOSURE  62</t>
  </si>
  <si>
    <t>LIMIT  63</t>
  </si>
  <si>
    <t>EXPOSURE  63</t>
  </si>
  <si>
    <t>LIMIT  64</t>
  </si>
  <si>
    <t>EXPOSURE  64</t>
  </si>
  <si>
    <t>LIMIT  65</t>
  </si>
  <si>
    <t>EXPOSURE  65</t>
  </si>
  <si>
    <t>LIMIT  66</t>
  </si>
  <si>
    <t>EXPOSURE  66</t>
  </si>
  <si>
    <t>LIMIT  67</t>
  </si>
  <si>
    <t>EXPOSURE  67</t>
  </si>
  <si>
    <t>LIMIT  68</t>
  </si>
  <si>
    <t>EXPOSURE  68</t>
  </si>
  <si>
    <t>LIMIT  69</t>
  </si>
  <si>
    <t>EXPOSURE  69</t>
  </si>
  <si>
    <t>LIMIT  70</t>
  </si>
  <si>
    <t>EXPOSURE  70</t>
  </si>
  <si>
    <t>LIMIT  71</t>
  </si>
  <si>
    <t>EXPOSURE  71</t>
  </si>
  <si>
    <t>LIMIT  72</t>
  </si>
  <si>
    <t>EXPOSURE  72</t>
  </si>
  <si>
    <t>LIMIT  73</t>
  </si>
  <si>
    <t>EXPOSURE  73</t>
  </si>
  <si>
    <t>LIMIT  74</t>
  </si>
  <si>
    <t>EXPOSURE  74</t>
  </si>
  <si>
    <t>LIMIT  75</t>
  </si>
  <si>
    <t>EXPOSURE  75</t>
  </si>
  <si>
    <t>LIMIT  76</t>
  </si>
  <si>
    <t>EXPOSURE  76</t>
  </si>
  <si>
    <t>LIMIT  77</t>
  </si>
  <si>
    <t>EXPOSURE  77</t>
  </si>
  <si>
    <t>LIMIT  78</t>
  </si>
  <si>
    <t>EXPOSURE  78</t>
  </si>
  <si>
    <t>LIMIT  79</t>
  </si>
  <si>
    <t>EXPOSURE  79</t>
  </si>
  <si>
    <t>LIMIT  80</t>
  </si>
  <si>
    <t>EXPOSURE  80</t>
  </si>
  <si>
    <t>LIMIT  81</t>
  </si>
  <si>
    <t>EXPOSURE  81</t>
  </si>
  <si>
    <t>LIMIT  82</t>
  </si>
  <si>
    <t>EXPOSURE  82</t>
  </si>
  <si>
    <t>LIMIT  83</t>
  </si>
  <si>
    <t>EXPOSURE  83</t>
  </si>
  <si>
    <t>LIMIT  84</t>
  </si>
  <si>
    <t>EXPOSURE  84</t>
  </si>
  <si>
    <t>LIMIT  85</t>
  </si>
  <si>
    <t>EXPOSURE  85</t>
  </si>
  <si>
    <t>LIMIT  86</t>
  </si>
  <si>
    <t>EXPOSURE  86</t>
  </si>
  <si>
    <t>LIMIT  87</t>
  </si>
  <si>
    <t>EXPOSURE  87</t>
  </si>
  <si>
    <t>LIMIT  88</t>
  </si>
  <si>
    <t>EXPOSURE  88</t>
  </si>
  <si>
    <t>This field holds the date and time of  Letter is generated</t>
  </si>
  <si>
    <t>LETTER TYPE</t>
  </si>
  <si>
    <t>RETURNED DATE</t>
  </si>
  <si>
    <t xml:space="preserve">STMT - Statement
CARD - ATM Card
WELC - Welcome
SAMA - SAMA
PENS - Pensioner's notification letter
TDAV - Time Deposit Advice letter </t>
  </si>
  <si>
    <t>SEQUENENCE NUMBER</t>
  </si>
  <si>
    <t>This field holds the sequence Number</t>
  </si>
  <si>
    <t xml:space="preserve">BRANCH CODE </t>
  </si>
  <si>
    <t>This field stores the unique identifier of the branch where the letter is initiated or processed.</t>
  </si>
  <si>
    <t>Letter returned date</t>
  </si>
  <si>
    <t>REGIDTERED USER</t>
  </si>
  <si>
    <t>REGIDTERED BRANCH</t>
  </si>
  <si>
    <t xml:space="preserve">User who registered the letter  </t>
  </si>
  <si>
    <t>Branch where registered theletter</t>
  </si>
  <si>
    <t>ADDRESS LINE 1</t>
  </si>
  <si>
    <t>This field stores additional address details on which letter is to be sent</t>
  </si>
  <si>
    <t>COUNTRY CODE NUMBER</t>
  </si>
  <si>
    <t>This field contains the ISO numeric country
code of the country that this record
represents. The codes used are given in the
ISO standard number ISO 3166.</t>
  </si>
  <si>
    <t>This field contains the ISO numeric
currency code of the country that this
record represents. The codes used are given
in the 150 document number 1SO 4217.</t>
  </si>
  <si>
    <t>CURRENCY CODE NUMBER</t>
  </si>
  <si>
    <t>COUNTRY NAME</t>
  </si>
  <si>
    <t>This field contains the standard name of the country.</t>
  </si>
  <si>
    <t xml:space="preserve">CURRENCY DESCRIPTION
</t>
  </si>
  <si>
    <t>This field contains the name of the currency.</t>
  </si>
  <si>
    <t>BANKMASTER CURRENCY CODE</t>
  </si>
  <si>
    <t>This field contains the Bankmaster currency code for this currency, as defined by the XRATE parameter file.
NOTE: This is the only field that can be updated on this parameter file.</t>
  </si>
  <si>
    <t>CURRENCY CODE</t>
  </si>
  <si>
    <t>This field contains the ISO three character currency code.</t>
  </si>
  <si>
    <t>TWO CHARACTER COUNTRY CODE</t>
  </si>
  <si>
    <t>This field contains the ISO two character country code.</t>
  </si>
  <si>
    <t>This field contains the ISO three character country code.</t>
  </si>
  <si>
    <t>This field contains the number of digits in this currency after the decimal point.</t>
  </si>
  <si>
    <t xml:space="preserve">NUMBER OF DECIMALS
</t>
  </si>
  <si>
    <t xml:space="preserve">COUNTRY DESCRIPTION
</t>
  </si>
  <si>
    <t>This field contains the full descriptive name Of the country. It may be different to the ’COUNTRY NAME’ field</t>
  </si>
  <si>
    <t>INTEREST RECEIVED ACCOUNT 1</t>
  </si>
  <si>
    <t>INTEREST RECEIVED ACCOUNT 2</t>
  </si>
  <si>
    <t>INTEREST RECEIVED ACCOUNT 3</t>
  </si>
  <si>
    <t>INTEREST RECEIVED ACCOUNT 4</t>
  </si>
  <si>
    <t>INTEREST RECEIVED ACCOUNT 5</t>
  </si>
  <si>
    <t>INTEREST RECEIVED ACCOUNT 6</t>
  </si>
  <si>
    <t>This is one of six interest received account numbers, These income accounts are used to record the interest received by the branch
when debit interest is being applied to a customer's account, The value in the "IN RECD NO' field on the GLAMD parameter
file, for the account to which interest is being applied, will determine which of the Six Interest Received accounts is to be used.</t>
  </si>
  <si>
    <t>See INTEREST RECEIVED ACCOUNT1</t>
  </si>
  <si>
    <t>INTEREST PAID ACCOUNT 1</t>
  </si>
  <si>
    <t>This is one of six interest paid account numbers, These expense  accounts are used to record the interest received by the branch
when debit interest is being applied to a customer's account, The value in the "IN RECD NO' field on the GLAMD parameter
file, for the account to which interest is being applied, will determine which of the Six Interest Received accounts is to be used.</t>
  </si>
  <si>
    <t>INTEREST PAID ACCOUNT  2</t>
  </si>
  <si>
    <t>INTEREST PAID ACCOUNT 3</t>
  </si>
  <si>
    <t>INTEREST PAID ACCOUNT 4</t>
  </si>
  <si>
    <t>INTEREST PAID ACCOUNT 5</t>
  </si>
  <si>
    <t>INTEREST PAID ACCOUNT 6</t>
  </si>
  <si>
    <t>See INTEREST PAID ACCOUNT1</t>
  </si>
  <si>
    <t xml:space="preserve">CURRENCY </t>
  </si>
  <si>
    <t xml:space="preserve"> BRANCH CODE
</t>
  </si>
  <si>
    <t>This field contains the branch number to which an account, that is having interest applied, must belong before the income/expense accounts defined by this
record will be used.</t>
  </si>
  <si>
    <t>LEGDER CODE</t>
  </si>
  <si>
    <t>This field maintains the sum of the interest
that has accrued on the cleared balances
since the last accrual date, but which has
not yet been applied, to the accounts in this
memo group.</t>
  </si>
  <si>
    <t>This field maintains the sum of the interest
that has accrued on the report balance, but
which has not yet been applied, for the
accounts in this memo group.
Decimal places are currency dependent.</t>
  </si>
  <si>
    <t>This field maintains the sum of all the daily
cleared balances on the accounts in this
‘memo group, for the current week to date. It
is added to on a daily basis by the Audit
Trail program (BNK060).
Decimal places are currency dependent.
This accumulator is reset by the Audit Trail
program (BNKO60) if the "NEW WEEK 
Y/N is set to "Y".</t>
  </si>
  <si>
    <t>This field maintains the sum of all the daily
cleared balances on the accounts in this
‘memo group, for the current year to date. It
is added to on a daily basis by the Audit
‘Trail program (BNK0G0).
Decimal places are currency dependent.
This accumulator is reset by the Audit Trail
program (BNKO060) if the "NEW YEAR
Y/N is set to "Y".</t>
  </si>
  <si>
    <t>This field maintains the sum of all the daily
cleared balances on the accounts in this
‘memo group, for the current month to date.
Its added to on a daily basis by the Audit
Trail program (BNK060).
Decimal places are currency dependent.
This accumulator is reset by the Audit Trail
program (BNK060) if the 'NEW MONTH
Y/N field is set to "Y".</t>
  </si>
  <si>
    <t>This field maintains the accumulated
interest for one week, calculated on each
daily balance for each account in the memo
group, for the current week.
Decimal places are currency dependent.</t>
  </si>
  <si>
    <t>WEEKLY INTEREST</t>
  </si>
  <si>
    <t>MONTHLY INTEREST</t>
  </si>
  <si>
    <t>This field maintains the accumulated
interest for one month, calculated on each
daily balance for each account in the memo
group, for the current month.
Decimal places are currency dependent.
This is reset by the Audit Trail program</t>
  </si>
  <si>
    <t>YEARLY INTEREST</t>
  </si>
  <si>
    <t>This field maintains the accumulated.
interest for one year, calculated on cach
daily balance for each account in the memo.
group, for the current year.
Decimal places are currency dependent.
This is reset by the Audit Trail program
(BNKO060) if the 'NEW YEAR Y/N’ field
is set to "Y".</t>
  </si>
  <si>
    <t>This field maintains the number of detail
accounts within this memo group.
This count is updated daly by the Audit
Trail program (BNK060).</t>
  </si>
  <si>
    <t>NUMBER OF ACCOUNTS</t>
  </si>
  <si>
    <t>NUMBER OF TRANSACTIONS</t>
  </si>
  <si>
    <t>This field maintains the number of
transactions for this memo group.
This is maintained by the user at their
discretion.</t>
  </si>
  <si>
    <t>AVERAGE INTEREST RATE</t>
  </si>
  <si>
    <t>This field maintains the average of all the.
interest rates applicable to the accounts in
this memo group. It i based on the cleared
balance at the last end of day.
Valid values are: + TO - 999.999999
The average interest rate is derived by
calculating the interest for 1 year on each
balance within the memo group, summing
these, dividing by the total balance and
multiplying by 100.</t>
  </si>
  <si>
    <t xml:space="preserve">INTEREST PAYABLE SUSPENSE
ACCOUNT
</t>
  </si>
  <si>
    <t>This field maintains the account from which
interest will be paid (to maintain the
balances) if, for any reason, the interest
cannot be paid from its designated account
within the memo group</t>
  </si>
  <si>
    <t>This field maintains the account by which
interest will be received (to maintain the
balances) if, for any reason, the interest is
not received by the designaled account
within the memo group</t>
  </si>
  <si>
    <t>INTEREST RECEIVABLE SUSPENSE
ACCOUNT</t>
  </si>
  <si>
    <t>BALANCE TRANSACTION COUNT</t>
  </si>
  <si>
    <t>This field maintains a count of the number
of transactions which actually affect the
account balance. It ignores other
transactions such as rate changes.</t>
  </si>
  <si>
    <t xml:space="preserve">DAY OF MONTH
</t>
  </si>
  <si>
    <t>DAY OF WEEK</t>
  </si>
  <si>
    <t xml:space="preserve">This field maintains the number of the
current day in the current week (i.e. the
‘number of days in the week so far). Itis
used by dividing into the ‘week to date’
balance to calculate a historic weekly
average balance for the memo group.Ttis used by the enquiry programs.
This field is reset by the Audit Trail
program (BNK060) if the "NEW WEEK
Y/N field is set to "Y".
</t>
  </si>
  <si>
    <t>This field maintains the number of the
current day in the current month (i.e. the
number of days in the month so far). Itis
used by dividing into the *month to date
balance to calculate a historic monthly
average balance for the memo group.
It is used by the enquiry programs.
This field i reset by the Audit Trail
program (BNKOG0) if the "NEW MONTH
Y/N field is set to "Y".</t>
  </si>
  <si>
    <t>This field maintains the number of the
current day in the current year (i.e. the
number of days in the year so far), It is used.
by dividing into the "year to date’ balance
10 calculate a historic yearly average
balance for the memo group.
Its used by the enquiry programs.
This field is reset by the Audit Trail
program (BNKOGO) if the 'NEW YEAR
Y/N is set to"Y".</t>
  </si>
  <si>
    <t>DAY OF YEAR</t>
  </si>
  <si>
    <t>This field maintains the memo group (total)
balances limit. If positive, then the sum of
the balances on all accounts in this memo
group must always exceed this figure. If
negative, then the sum of the balances on
all accounts in this memo group must never
exceed this figure.
This is a memorandum limit which can be
monitored by the user.</t>
  </si>
  <si>
    <t>LIMIT FOR MEMO GROUP</t>
  </si>
  <si>
    <t>SERVICE CHARGES MEMO ACCOUNT</t>
  </si>
  <si>
    <t>This field maintains the account to which
all service charges applied to accounts in
this memo group will be posted.</t>
  </si>
  <si>
    <t>If the user decides to use the default code
system for profit and loss then only the
relevant codes need be put in the relevant
positions in detail records. These control
codes, and/or the memo codes, will be used.
to ill the gaps.
This field contains the Profit and Loss code
for debit balances.
‘Example: If the control has a code 12345"
and the memo has a code "- 456-", and the
user puts the code "8-2--" in the detail
Profit and Loss field, then the system will
fill the gaps using firstly the memo, and
then, if necessary, the control, giving
"84265".</t>
  </si>
  <si>
    <t>PROFIT &amp; LOSS CODE - DEBIT
BALANCES</t>
  </si>
  <si>
    <t>PROFIT &amp; LOSS CODE - CREDIT BALANCES</t>
  </si>
  <si>
    <t>This field maintains the Profit and Loss
code for the credit balances.
Sce the "PROFIT &amp; LOSS CODE - DEBIT
BALANCES’ field for explanation of the
default coding system.</t>
  </si>
  <si>
    <t>PROFIT &amp; LOSS CODE - DEBIT
ACCRUED INTEREST</t>
  </si>
  <si>
    <t>This field maintains the Profit and Loss
code for debit accrued interest. The field is
used when up-to-date accrued interest is to
appear on the Profit and Loss statement and
the Daily Accrual program (BNK470) is
not being used.
See the 'PROFIT &amp; LOSS CODE - DEBIT
BALANCES’ field for explanation of the
default coding system.</t>
  </si>
  <si>
    <t>PROFIT &amp; LOSS CODE - CREDIT
ACCRUED INTEREST</t>
  </si>
  <si>
    <t>This field maintains the Profit and Loss
code for credit accrued interest. The field is
used when up-to-date accrued interest is to
appear on the Profit and Loss statement and
the Daily Accrual program (BNK470) is
not being used.
See the "PROFIT &amp; LOSS CODE - DEBIT
BALANCES’ field for explanation of
default coding system.</t>
  </si>
  <si>
    <t xml:space="preserve">PROFIT &amp; LOSS CODE - DEBIT
ACCRUED INTEREST CONTRA
</t>
  </si>
  <si>
    <t>This field maintains the Profit and Loss
code for debit accrued interest contra. It
would not normally be used.</t>
  </si>
  <si>
    <t>PROFIT &amp; LOSS CODE - CREDIT
ACCRUED INTEREST CONTRA</t>
  </si>
  <si>
    <t>If the user decides to usc the default code
system for balance sheets then only the
relevant codes need be put in the relevant
positions in the detail record. These control
codes, and/or memo codes, will be used to
fll the gaps.
This field maintains the balance sheet code
for debit balances.
‘Example: If the control has a code "121--"
and the memo has a code "~~ 00", and the
user puts the code "9" in the detail
Balance Sheet field, then the system will fill
the gaps by using firstly the memo, and
then, if necessary, the control, giving
"12109".</t>
  </si>
  <si>
    <t>BALANCE SHEET CODE - DEBIT
BALANCES</t>
  </si>
  <si>
    <t>This field maintains the balance sheet code
for credit balances.
See "BALANCE SHEET CODE - DEBIT
BALANCES’.</t>
  </si>
  <si>
    <t>BALANCE SHEET CODE - CREDIT BALANCES</t>
  </si>
  <si>
    <t>BALANCE SHEET CODE - DEBIT
ACCRUED INTEREST</t>
  </si>
  <si>
    <t>This field maintains the balance sheet code
for debit accrued interest. The field is used
if you want up-to-date accrued interest to
appear on the Balance Sheet and you are:
not using the Daily Accrual program
(BNK470) to post the accruals to actual
accrual accounts.
See the "BALANCE SHEET CODE -
 DEBIT BALANCES’ field for explanation
of default coding system.</t>
  </si>
  <si>
    <t>BALANCE SHEET CODE - CREDIT ACCRUED INTEREST</t>
  </si>
  <si>
    <t>BALANCE SHEET CODE - DEBIT
ACCRUED INTEREST CONTRA</t>
  </si>
  <si>
    <t>pldbbal</t>
  </si>
  <si>
    <t>plcrbal</t>
  </si>
  <si>
    <t>pldbAcuInt</t>
  </si>
  <si>
    <t>plcrAcuInt</t>
  </si>
  <si>
    <t>pldbAcuIntContra</t>
  </si>
  <si>
    <t>plcrAcuIntContra</t>
  </si>
  <si>
    <t>bsdbbal</t>
  </si>
  <si>
    <t>bscrbal</t>
  </si>
  <si>
    <t>bsdbAcuInt</t>
  </si>
  <si>
    <t>bscrAcuInt</t>
  </si>
  <si>
    <t>bsdbAcuIntContra</t>
  </si>
  <si>
    <t>bscrAcuIntContra</t>
  </si>
  <si>
    <t>If the Interest Received accounts arc not
defined at memo level then this will be one
of 6 accounts used. When debit interest is
applied to a customer account, the opposite
amount i credited to either this or one of
the other Interest Received accounts. The
account used is determined by the
INTEREST RECEIVED POINTER’ field on the interest accruing General Ledger
detail account.
See the "INTEREST RECEIVED
POINTER’ field in the Detail General
Ledger record.</t>
  </si>
  <si>
    <t>See "INTEREST RECEIVED ACCOUNT 1"</t>
  </si>
  <si>
    <t>If the Interest Paid accounts are not defined
at memo level then this will be one of 6
accounts used. When credit interest is
applied to a customer account the opposite
amount is debited to either this or one of the
other Interest Paid accounts. The account
used is determined by the INTEREST
PAID POINTER’ on the interest accruing
General Ledger detail account. See the
“INTEREST PAID POINTER field in the
Detail General Ledger record.</t>
  </si>
  <si>
    <t>INTEREST PAID ACCOUNT 2</t>
  </si>
  <si>
    <t>See INTEREST PAID ACCOUNT 1</t>
  </si>
  <si>
    <t xml:space="preserve">DETAIL ACCOUNT TYPE
</t>
  </si>
  <si>
    <t>This field maintains the default account
type for auto-generated accounts for this
‘memo group in the ledger.
‘When the posting program automatically
creates an account in this memo group it
‘may have this account type depending on
how the transaction has been defined. Valid
values are: 10-99.</t>
  </si>
  <si>
    <t>This field maintains the default account
description for auto-generated accounts.</t>
  </si>
  <si>
    <t>DEFAULT ACCOUNT DESCRIPTION</t>
  </si>
  <si>
    <t>This field indicates whether an advice is to
be printed advising that a change in the.
interest rate has taken place for new
accounts that have been auto-generated.
Valid values are:
0 Do not print advice.
1 Print advice.</t>
  </si>
  <si>
    <t xml:space="preserve">RATE CHANGE ADVICEFLAG
</t>
  </si>
  <si>
    <t>This field contains the default frequency of
interest application runs (BNK120) for
autogeneration of new accounts. Valid
values are:
M Monthly.
Q Quarterly.
H Half yearly.
Y Yearly.
F Fixed accounts run by auto maturities
(BNK125).
A Fixed accounts run by auto maturities
(BNK125) and diary processing
(BNK040).</t>
  </si>
  <si>
    <t>This is the default frequency with which
statements will be printed (BMT110) for
automatically generated new accounts
Valid values are:
AD Daly.
BW Weekly.
CM Monty.
E Q Quarterly.
FH Halfyeay
GG Y Yearly.
x N Non-auto (statement produced
manually).</t>
  </si>
  <si>
    <t xml:space="preserve">STATEMENT DAY
</t>
  </si>
  <si>
    <t>This field maintains the default day of the
‘month in which statements will be printed
for new accounts in this memo group.</t>
  </si>
  <si>
    <t>This field indicates whether confirmation
advices are to be printed for new accounts
in this memo group. Valid values are:
0 Do not print.
1 Print.</t>
  </si>
  <si>
    <t xml:space="preserve">
This field maintains the default service fec
to be charged to new accounts in this memo
group.
Decimal places are currency dependent.</t>
  </si>
  <si>
    <t xml:space="preserve">OMMERCIAL LOAN
CLASSIFICATION
</t>
  </si>
  <si>
    <t>This field contains the default user-defined
code for new accounts in this memo group.</t>
  </si>
  <si>
    <t xml:space="preserve">INTEREST APPLICATION DAY
</t>
  </si>
  <si>
    <t>This field maintains the number of the day
within a month that new accounts will
assume for interest application.</t>
  </si>
  <si>
    <t>INTEREST ADVICE FLAG</t>
  </si>
  <si>
    <t>This field maintains the default demand
note print lag for new commercial loans.
Valid values are:
0 Do not print.
1 Print demand notes.</t>
  </si>
  <si>
    <t>WITHHOLDING TAX FLAG</t>
  </si>
  <si>
    <t>This field determines the rate at which
withholding tax is deducted for new
accounts. The flag will link to a tax record
setup by the CRTAX or CRTAX2
parameter files. Valid values are:
0 Notx.
1 Tax at ate defined by the CRTAX.
parameter file.
2- Tax at rate defined by appropriate
Z record on the CRTAX2 parameter file.</t>
  </si>
  <si>
    <t>This field determines whether
auto-generation of accounts within this
‘memo group is allowed. Valid values are:
0 Allowed.
1 Notallowed.
This field is for system use only. Its a
‘program flag for posting, not a default.</t>
  </si>
  <si>
    <t>ACCOUNT AUTO-GENERATION
FLAG</t>
  </si>
  <si>
    <t>Valid values are:
0 Usememo Bilin amount.
1 Use control fill commission amount,</t>
  </si>
  <si>
    <t>COMMISSION FLAT AMOUNT FLAG</t>
  </si>
  <si>
    <t xml:space="preserve">COMMISSION FLAT AMOUNT
INTERNAL CUSTOMER
</t>
  </si>
  <si>
    <t>This field contains the flat commission
amount posted if the "PAY MODE” field on
the STORD px ter file is set to "1".</t>
  </si>
  <si>
    <t xml:space="preserve"> COMMISSIONFLAT AMOUNT
EXTERNAL CUSTOMER</t>
  </si>
  <si>
    <t>This field contains|the flat commission
‘amount posted if the "PAY MODE’ field on
the STORD ter file is set to "2" or
age.</t>
  </si>
  <si>
    <t xml:space="preserve"> STARTDAY FOR SAVINGS
ACCOUNTS</t>
  </si>
  <si>
    <t xml:space="preserve">MINIMUM INTEREST APPLICATION
</t>
  </si>
  <si>
    <t>This field mies whether minimum
interest is to be charged during interest
application. Valid|values are:
0 No.
1 Yes.</t>
  </si>
  <si>
    <t xml:space="preserve">MINIMUM DEBIT AMOUNT
</t>
  </si>
  <si>
    <t>This field contains the minimum amount of
interest to be applied on debit interest
applications.</t>
  </si>
  <si>
    <t xml:space="preserve">MINIMUM CREDIT AMOUNT
</t>
  </si>
  <si>
    <t>This field contains the minimum amount of
interest to be applied on credit applications.</t>
  </si>
  <si>
    <t xml:space="preserve">WEEKLY AVERAGE INTEREST
RATE
</t>
  </si>
  <si>
    <t xml:space="preserve">MONTHLY AVERAGE INTEREST
RATE
</t>
  </si>
  <si>
    <t>This field contains the Weekly Average
Interest rate which is calculated by
summing the "WEEKLY INTEREST" for
one year on each daily balance, dividing by
the "WEEK TO DATE’ and then
‘multiplying by 100.</t>
  </si>
  <si>
    <t>This field contains the Monthly Average.
Interest rate which is calculated by
summing the "MONTHLY INTEREST" for
one year on cach daily balance, dividing by
the MONTH TO DATE’ and then
‘multiplying by 100.</t>
  </si>
  <si>
    <t xml:space="preserve">YEARLY AVERAGE INTEREST RATE
</t>
  </si>
  <si>
    <t>This field contains the Yearly Average
Interest rate which is calculated by
summing the "YEARLY INTEREST" for
one year on each daily balance, dividing by
the "YEAR TO DATE’ and then
‘multiplying by 100.</t>
  </si>
  <si>
    <t xml:space="preserve">DD/MM BALANCE - YEAR END
</t>
  </si>
  <si>
    <t>This field is used when an end of year date
other than the calendar end of year is
required. For example, the financial year
end could be used as set up via the
SYSTEM parameter file.</t>
  </si>
  <si>
    <t xml:space="preserve">DD/MM INTEREST - YEAR END
</t>
  </si>
  <si>
    <t>STANDING ORDER COMMISSION
ACCOUNT NUMBER</t>
  </si>
  <si>
    <t xml:space="preserve">STANDING ORDER CHEQUE
CHARGES ACCOUNT NUMBER
</t>
  </si>
  <si>
    <t xml:space="preserve">STANDING ORDER SUSPENSE
ACCOUNT NUMBER
</t>
  </si>
  <si>
    <t>COMMISSION RATE</t>
  </si>
  <si>
    <t>USER AREA</t>
  </si>
  <si>
    <t>This field maintains the rate at which
‘commission will be charged (per 100 units)
for standing orders.</t>
  </si>
  <si>
    <t>This field maintains the minimum
commission charge which will be applied
‘per transaction.
Decimal places are currency dependent.</t>
  </si>
  <si>
    <t>MINIMUM CHARGE PER
TRANSACTION (COMMISSION)</t>
  </si>
  <si>
    <t xml:space="preserve">MAXIMUM CHARGE PER
TRANSACTION (COMMISSION)
</t>
  </si>
  <si>
    <t>This field maintains the maximum
commission charge which will be applied
per transaction.
Decimal places are currency dependent.</t>
  </si>
  <si>
    <t>This field maintains the charge (per 100
units) that will be applied to cheques issued
as a result of standing orders.</t>
  </si>
  <si>
    <t xml:space="preserve">CHEQUE CHARGES RATE
</t>
  </si>
  <si>
    <t>This field maintains the maximum charge
that will be applied per cheque.
Decimal places are currency dependent.</t>
  </si>
  <si>
    <t>MINIMUM CHARGE PER CHEQUE</t>
  </si>
  <si>
    <t>This field maintains the minimum charge
that will be applied per cheque.
Decimal places are currency dependent.</t>
  </si>
  <si>
    <t xml:space="preserve">MAXIMUM CHARGE PER CHEQUE
</t>
  </si>
  <si>
    <t xml:space="preserve">INTEREST RECEIVABLE ACCOUNT
(CONSUMER FINANCE)
</t>
  </si>
  <si>
    <t>This field contains the number of the
account which will be credited with interest
receivable on loan input.</t>
  </si>
  <si>
    <t>“This field contains the number of the
account which is credited with the loan
amount</t>
  </si>
  <si>
    <t>CASHLOAN ACCOUNT (CONSUMER
FINANCE)</t>
  </si>
  <si>
    <t xml:space="preserve">SERVICE FEE CHARGEFLAG
</t>
  </si>
  <si>
    <t>This field is only relevant to service fees on
transactions which use the End of Month
Accrual program (BNK117). Valid values
po
0 BNKI17 will accrue the charges.
1 BNK117 will ignore accounts within
This memo group.</t>
  </si>
  <si>
    <t>RETAINED EARNINGS ACCOUNT</t>
  </si>
  <si>
    <t xml:space="preserve">
This field is site specific.</t>
  </si>
  <si>
    <t>A COMMISSION PAID ACCOUNT</t>
  </si>
  <si>
    <t>This field maintains an alternative
description on the memo group, that can
appear on the Status List report. It is only
used if the "ALT DESC’ field on the
PBO100 parameter file is set to "1".</t>
  </si>
  <si>
    <t>ALTERNATIVE MEMO
DESCRIPTION</t>
  </si>
  <si>
    <t/>
  </si>
  <si>
    <t>DEBIT FUND RATE CATEGORY 1</t>
  </si>
  <si>
    <t>CREDIT FUND RATE  CATEGORY 1</t>
  </si>
  <si>
    <t>DEBIT FUND RATE CATEGORY 2</t>
  </si>
  <si>
    <t>CREDIT FUND RATE CATEGORY 2</t>
  </si>
  <si>
    <t>DEBIT FUND RATE CATEGORY 3</t>
  </si>
  <si>
    <t>CREDIT FUND RATECATEGORY 3</t>
  </si>
  <si>
    <t>DEBIT FUND RATE CATEGORY 4</t>
  </si>
  <si>
    <t>CREDIT FUND RATECATEGORY 4</t>
  </si>
  <si>
    <t>DEBIT FUND RATE CATEGORY 5</t>
  </si>
  <si>
    <t>CREDIT FUND RATE  CATEGORY 5</t>
  </si>
  <si>
    <t>DEBIT FUND RATE CATEGORY 6</t>
  </si>
  <si>
    <t>CREDIT FUND RATE  CATEGORY 6</t>
  </si>
  <si>
    <t>DEBIT FUND RATE CATEGORY 7</t>
  </si>
  <si>
    <t>CREDIT FUND RATE  CATEGORY 7</t>
  </si>
  <si>
    <t>DEBIT FUND RATE CATEGORY 8</t>
  </si>
  <si>
    <t>CREDIT FUND RATE  CATEGORY 8</t>
  </si>
  <si>
    <t>DEBIT FUND RATE CATEGORY 9</t>
  </si>
  <si>
    <t>CREDIT FUND RATE  CATEGORY 9</t>
  </si>
  <si>
    <t>DEBIT FUND RATE CATEGORY 10</t>
  </si>
  <si>
    <t>CREDIT FUND RATE  CATEGORY 10</t>
  </si>
  <si>
    <t>DEBIT FUND RATE CATEGORY 11</t>
  </si>
  <si>
    <t>CREDIT FUND RATE  CATEGORY 11</t>
  </si>
  <si>
    <t>DEBIT FUND RATE CATEGORY 12</t>
  </si>
  <si>
    <t>CREDIT FUND RATE  CATEGORY 12</t>
  </si>
  <si>
    <t>DEBIT FUND RATE INTERNAL ACCOUNT</t>
  </si>
  <si>
    <t>CREDIT FUND RATE  INTERNAL ACCOUNT</t>
  </si>
  <si>
    <t>DEBIT FUND RATE FIXED ASSET ACCOUNT</t>
  </si>
  <si>
    <t>CREDIT FUND RATE FIXED ASSET ACCOUNT</t>
  </si>
  <si>
    <t xml:space="preserve"> This  field contains Debit Fund Rate  FIXED ASSET ACCOUNT</t>
  </si>
  <si>
    <t xml:space="preserve"> This  field contains Credit Fund Rate  FIXED ASSET ACCOUNT</t>
  </si>
  <si>
    <t xml:space="preserve"> This  field contains Debit Fund Rate   INTERNAL ACCOUNT</t>
  </si>
  <si>
    <t xml:space="preserve"> This  field contains Credit Fund Rate  INTERNAL ACCOUNT</t>
  </si>
  <si>
    <t>FUND  RATEFOR PERIOD 1</t>
  </si>
  <si>
    <t>FUND  RATEFOR PERIOD 2</t>
  </si>
  <si>
    <t>FUND  RATEFOR PERIOD 3</t>
  </si>
  <si>
    <t>FUND  RATEFOR PERIOD 4</t>
  </si>
  <si>
    <t>FUND  RATEFOR PERIOD 5</t>
  </si>
  <si>
    <t>FUND  RATEFOR PERIOD 6</t>
  </si>
  <si>
    <t>FUND  RATEFOR PERIOD 7</t>
  </si>
  <si>
    <t>FUND  RATEFOR PERIOD 8</t>
  </si>
  <si>
    <t>FUND  RATEFOR PERIOD 9</t>
  </si>
  <si>
    <t>FUND  RATEFOR PERIOD 10</t>
  </si>
  <si>
    <t>FUND  RATEFOR PERIOD 11</t>
  </si>
  <si>
    <t>FUND  RATEFOR PERIOD 12</t>
  </si>
  <si>
    <t>This field contains fund  rate for period 2</t>
  </si>
  <si>
    <t>This field contains fund  rate for period 3</t>
  </si>
  <si>
    <t>This field contains fund  rate for period 4</t>
  </si>
  <si>
    <t>This field contains fund  rate for period 5</t>
  </si>
  <si>
    <t>This field contains fund  rate for period 6</t>
  </si>
  <si>
    <t>This field contains fund  rate for period 7</t>
  </si>
  <si>
    <t>This field contains fund  rate for period 8</t>
  </si>
  <si>
    <t>This field contains fund  rate for period 9</t>
  </si>
  <si>
    <t>This field contains fund  rate for period 10</t>
  </si>
  <si>
    <t>This field contains fund  rate for period 11</t>
  </si>
  <si>
    <t>This field contains fund  rate for period 12</t>
  </si>
  <si>
    <t>This field contains fund  rate for period 1</t>
  </si>
  <si>
    <t>This  field contains debit fund rate category 1</t>
  </si>
  <si>
    <t>This  field contains debit fund rate category 2</t>
  </si>
  <si>
    <t>This  field contains debit fund rate category 3</t>
  </si>
  <si>
    <t>This  field contains debit fund rate category 4</t>
  </si>
  <si>
    <t>This  field contains debit fund rate category 5</t>
  </si>
  <si>
    <t>This  field contains debit fund rate category 6</t>
  </si>
  <si>
    <t>This  field contains debit fund rate category 7</t>
  </si>
  <si>
    <t>This  field contains debit fund rate category 8</t>
  </si>
  <si>
    <t>This  field contains debit fund rate category 9</t>
  </si>
  <si>
    <t>This  field contains debit fund rate category 10</t>
  </si>
  <si>
    <t>This  field contains debit fund rate category 11</t>
  </si>
  <si>
    <t>This  field contains debit fund rate category 12</t>
  </si>
  <si>
    <t>This  field contains credit fund rate  category 1</t>
  </si>
  <si>
    <t>This  field contains credit fund rate category 2</t>
  </si>
  <si>
    <t>This  field contains credit fund ratecategory 3</t>
  </si>
  <si>
    <t>This  field contains credit fund ratecategory 4</t>
  </si>
  <si>
    <t>This  field contains credit fund rate  category 5</t>
  </si>
  <si>
    <t>This  field contains credit fund rate  category 6</t>
  </si>
  <si>
    <t>This  field contains credit fund rate  category 7</t>
  </si>
  <si>
    <t>This  field contains credit fund rate  category 8</t>
  </si>
  <si>
    <t>This  field contains credit fund rate  category 9</t>
  </si>
  <si>
    <t>This  field contains credit fund rate  category 10</t>
  </si>
  <si>
    <t>This  field contains credit fund rate  category 11</t>
  </si>
  <si>
    <t>This  field contains credit fund rate  category 12</t>
  </si>
  <si>
    <t>This field maintains the date on which the
item will be processed and take effect.</t>
  </si>
  <si>
    <t xml:space="preserve">VALUEDATE </t>
  </si>
  <si>
    <t>NARRATIVE1</t>
  </si>
  <si>
    <t>NARRATIVE2</t>
  </si>
  <si>
    <t>NARRATIVE3</t>
  </si>
  <si>
    <t>PROCESSEDFLAG</t>
  </si>
  <si>
    <t>REFERENCE CODELOAN
REPAYMENTS</t>
  </si>
  <si>
    <t>This field indicates the type of record.</t>
  </si>
  <si>
    <t xml:space="preserve">ACCOUNT NUMBER (PART OF KEY)
</t>
  </si>
  <si>
    <t>This field maintains the account number to
which this item will be applied on its value
date.</t>
  </si>
  <si>
    <t>This field contains the account number to
which standing order commissions within
the memo group are posted.</t>
  </si>
  <si>
    <t>This field contains the account number to
which standing order commissions for
cheque production within the memo group
are posted.</t>
  </si>
  <si>
    <t>This field contains the account number to
which standing order amounts will be
posted if the designated account cannot be
found within the memo group.</t>
  </si>
  <si>
    <t>This field contains the LD. of the user
which posted the transaction.</t>
  </si>
  <si>
    <t>This field maintains 2 reference code which
is used for page skipping and control in the
diary processing report.
‘The code is in the format AA BB (where
AA = Department and BB = Category)</t>
  </si>
  <si>
    <t>RECORD TYPE (PART OF KEY</t>
  </si>
  <si>
    <t>This field indicates the batch reference
number assigned to the batch in which this
item was posted.</t>
  </si>
  <si>
    <t>BATCHNUMBER</t>
  </si>
  <si>
    <t xml:space="preserve"> DEBIT/CREDIT INDICATOR</t>
  </si>
  <si>
    <t>This field is determined by the sign of the
transaction amount, Valid values are:
0 DEBIT transaction.
1 CREDIT transaction.</t>
  </si>
  <si>
    <t>This field indicates the type of transaction
which posted the Diary item as defined by
the TTABLE parameter file.</t>
  </si>
  <si>
    <t>REFERENCE</t>
  </si>
  <si>
    <t>This field maintains the reference number
that was input or automatically generated at
time of posting. It may be a cheque number,
draft number, deal number or other
reference depending on the transaction type
involved.
For foreign exchange deals the numbers
may be automatically assigned, but itis
recommended that they be input as detailed
on the dealing ticket so that use may be
‘made of the Deal Number Gap Report.
When in use the Deal Number Gap Report
should be checked to ensure that ALL gaps
in the numbering sequence can be
accounted for.</t>
  </si>
  <si>
    <t>This field maintains the third lin of the
transaction narrative which was used at
time of posting.</t>
  </si>
  <si>
    <t>This field maintains the second line of the
transaction narrative which was used at
time of posting.</t>
  </si>
  <si>
    <t>This field maintains the first line of the
transaction narrative which was used at
time of posting.</t>
  </si>
  <si>
    <t>This field maintains the account balance
Prior to this transaction.
Decimal places are currency dependent.</t>
  </si>
  <si>
    <t xml:space="preserve">AMOUNT - PRINCIPAL FOR LOANS
</t>
  </si>
  <si>
    <t>This field maintains the principal amount
for commercial loan repayment records (03).
Decimal places are currency dependent.</t>
  </si>
  <si>
    <t>This field maintains the account balance
AFTER this transaction.
Decimal places are currency dependent,</t>
  </si>
  <si>
    <t>This field maintains the transaction’s
posting date, that was entered at the time of
posting.</t>
  </si>
  <si>
    <t>Valid values are:
00 No Exceptions.
01 Account Over Limits.
02 Debit/Credit Balance Change.
03 Interest Threshold Crossed.
04 Transaction To Fixed Deposit Account.
05 Value Date Before Last Rate Change.
06 Value Date Before Last Interest
Application Date.
07 Dated Before Last Accrual Of Account
Rates Unequal.
08 Maturity Record Deleted On A Future:
Reversal.
09 Automatically Generated Account.
10 Inactive Account.
11 Tnactive Account Reactivated.
12 Inactive Account Transacted But Not</t>
  </si>
  <si>
    <t>GENERATEDFLAG</t>
  </si>
  <si>
    <t>This field indicates whether the transaction
was auto-generated. Valid values are:
0 Normally input transaction.
1 Auto-generated transaction by system.</t>
  </si>
  <si>
    <t>NEW INTEREST RATE</t>
  </si>
  <si>
    <t>Ifthe transaction is amening te interest
eon the account then this js he pr
crest rate. This i ether entered yyy
Posting (BNK0OI) or Interest qs Changes
(BNK150).</t>
  </si>
  <si>
    <t xml:space="preserve"> NEWMATURITYDATE</t>
  </si>
  <si>
    <t>ACCOUNTTYPE</t>
  </si>
  <si>
    <t xml:space="preserve">INTEREST AMOUNT - LOAN
REPAYMENTS
</t>
  </si>
  <si>
    <t>This field maintains the interest amount that
the system will generate for the loan
account on the value date. It will adjust
accrued interest on the account by this
amount accordingly.
Decimal places are currency dependent.</t>
  </si>
  <si>
    <t>This field determines how interest s to be
applied. Valid values are:
0 Capitalise (i.e. add amount to account).
1 Pay to another account.
2 Payby cheque.
3 Memorandum interest only (ic. the
interest is calculated for reporting
purposes but is not applied).
4 Capitalise account. Only used by the
Auto-Maturities Program (BNK125).
5 Principal to Pay account. Interest to
Nostro. Only used by the
Auto-Maturities Program (BNK125).
6 Principal to matching account. Interest
10 Pay account. Only used by the.
Auto-Maturities Program (BNK125).</t>
  </si>
  <si>
    <t>the transaction was cether forward 
Fixture or a refis then this is new
maturity date of the account</t>
  </si>
  <si>
    <t>This the type of account as defined in the
General Ledger ile GLDODATA fo  the
detail account. Refer to the A TABLE Parameter file for the various accoups types
and their values.</t>
  </si>
  <si>
    <t>TRANSACTION VALUE DATE</t>
  </si>
  <si>
    <t>This field maintains the date on which the
Transaction will be processed and take the effect depending on the required action as 
dictated by the record type 01-08</t>
  </si>
  <si>
    <t>This field indicates whether the customer is employed by the user. Valid values are:
0 Not a staff member.
1 Staff member.
2 Internal customer.
An internal customer is the 'customer” used for Internal Bank Accounts. Advices and Confirmations are NOT printed for intemal customers.
An internal bank account is an account ‘maintained by the bank for the bank (e.g.interest received, commissions etc.).</t>
  </si>
  <si>
    <t>INTEREST PAYMENT FLAG</t>
  </si>
  <si>
    <t>This field indicate, Whether the scheduled
repayment includes acciured  interest, Valid
values are:
Y Repayment amount includes accured
interest
N  Repayment amount, does not includes accured
interest
C Repayment to Annuity loan which include interest in the principal</t>
  </si>
  <si>
    <t>DEMAND NOTE ADVICE FLAG</t>
  </si>
  <si>
    <t>This field indicates whether a demand note
has been printed. Valid values are:
0 No.
1 Yes.</t>
  </si>
  <si>
    <t>This field maintains the contra account
number used at time of posting
In the case of more than one contra being
input, this is the number of the first contra,
If this is a conta posting then the contra
account number holds the account number
of the main posting.</t>
  </si>
  <si>
    <t>DATETELEXED</t>
  </si>
  <si>
    <t>This field maintains the date on which the
transaction was included on the telex report
via the Pay/Receive telex suite.</t>
  </si>
  <si>
    <t>MATURITEIS PROCESSED</t>
  </si>
  <si>
    <t>This field is set to 1 when the diary item
has been processug by the  Diary Processing
Prgram, When the diary process is next run it will delete all item with the mastirities  processed flag set to  "1", Valid values are
0 Not yet processed
1 Processed - may be deleted</t>
  </si>
  <si>
    <t xml:space="preserve"> SETTLEMENT INSTRUCTIONS
</t>
  </si>
  <si>
    <t>This field is for interbank deals only</t>
  </si>
  <si>
    <t>SCHEDULED  REPAYMENTS
ROLLOVER</t>
  </si>
  <si>
    <t>This field is for interbank  System Use only</t>
  </si>
  <si>
    <t>LIMIT/LINE CURRENCY CODE</t>
  </si>
  <si>
    <t xml:space="preserve">
This field maintain currency code in 
Which the limit/linse is maintain
</t>
  </si>
  <si>
    <t xml:space="preserve">CONFIRMATION ADVICE, FORMAT
</t>
  </si>
  <si>
    <t>This feld indices the format in which
conformations are printed It's values
will be determine by settings in vIA the
TTABLE Parameter file.
Valid values are
00,10,11,12,13,20,30,40,41,42,43,44</t>
  </si>
  <si>
    <t xml:space="preserve"> FIXTURE BREAK DATE</t>
  </si>
  <si>
    <t>DRAWER</t>
  </si>
  <si>
    <t>REPAYMENT FREQUENCY</t>
  </si>
  <si>
    <t>This field maintains the date on which the
‘maturity date on the account ‘will be broken.
This is used only for forward valued fixture
breakages.</t>
  </si>
  <si>
    <t>FIXTURE BREAKING
TRANSACTION TYPE</t>
  </si>
  <si>
    <t>Valid values are:
0 This transaction is subject to a forward
valued fixture breakage if the
FIXTURE BREAK DATE’ field
contains a date.
1 This transaction is a forward valued
fixture breakage.
2 This transaction is a forward valued
fixture reversal.</t>
  </si>
  <si>
    <t xml:space="preserve">DEPOSIT MATURITY FLAG
</t>
  </si>
  <si>
    <t>This field indicates whether the Diary
record has been extracted by the Deposit
Maturity Report. Valid values are:
0 No.
1 Yes.</t>
  </si>
  <si>
    <t xml:space="preserve">SYNDICATE APPORTIONMENT
</t>
  </si>
  <si>
    <t>This field indicates whether the Diary
record forms part of a syndicated loan
Valid values are:
0 Not a syndicate.
1 Syndicate auto apportionment.</t>
  </si>
  <si>
    <t xml:space="preserve">SYNDICATE LOAN ACCOUNT
</t>
  </si>
  <si>
    <t>This field maintains the General Ledger
Account Number of the syndicate loan
account.</t>
  </si>
  <si>
    <t xml:space="preserve">DIARY MEMO INDICATOR
</t>
  </si>
  <si>
    <t>This field indicates whether this schedule
repayment record (Type 05) is a memo
repayment or not. Valid values are:
N Normal schedule repayment.
Y Memo schedule  repayment.</t>
  </si>
  <si>
    <t xml:space="preserve">FINAL MATURITY DATE
</t>
  </si>
  <si>
    <t>This field maintains the final maturity date
for a scheduled repayment loan</t>
  </si>
  <si>
    <t xml:space="preserve"> DEAL MARGIN
</t>
  </si>
  <si>
    <t>This field maintains the deal margin on a
scheduled repayment loan.
Valid values are: 0-99.999999</t>
  </si>
  <si>
    <t xml:space="preserve"> BILL, CD ORSECURITY</t>
  </si>
  <si>
    <t>This field determines whether the posting
involves a Bill, Certificate of Deposit or a
Security. Valid values are:
0 NotaBill, CD or Security.
1 Bill of Exchange.
2 Certificate of Deposit
3 Security.
4 Nominal Adjustment (Bill, CD or
Security).
“This field is only relevant for a Bill, CD or
Security posting generated via the Posting
program (BNKOOD).</t>
  </si>
  <si>
    <t xml:space="preserve"> NOMINAL VALUE</t>
  </si>
  <si>
    <t>This field maintains the nominal value of
the Bill, CD or Security.
Decimal places are currency dependent.
Valid values are: + to - 9999999999999
This field is only relevant for a Bill, CD or Security posting generated via the posting
program BNKOOI.</t>
  </si>
  <si>
    <t>This field maintains a 15 character
description of the drawer of the Bill, CD or
Security entered in the posting program,
“This field is only relevant for a Bill, CD or
Security posting generated via the Posting
program (BNK0O1).</t>
  </si>
  <si>
    <t>YIELDRATE</t>
  </si>
  <si>
    <t>DEPOSITORY/BROKER</t>
  </si>
  <si>
    <t>This field maintains the customer number
which holds the details of the
depository/broker.</t>
  </si>
  <si>
    <t>This field maintains the interest yield rate
for aBill, CD or Security.
This field is only relevant for a Bill, CD or
Security posting generated via the Posting
program (BNK001).</t>
  </si>
  <si>
    <t>This field maintains the discount rate for
Bills and the Coupon rate for C.D.'s and
Securities.</t>
  </si>
  <si>
    <t>DISCOUNT/COUPONRATE</t>
  </si>
  <si>
    <t>LEASING HP/SCHEDULE REPAYMENT</t>
  </si>
  <si>
    <t>This field maintains the base equivalent
value if this is a foreign exchange
transaction.</t>
  </si>
  <si>
    <t xml:space="preserve">Valid values are:
0 Scheduled repayment.
1 Leasing repayment.
 </t>
  </si>
  <si>
    <t>Valid values are:
0 Not verified yet.
1 Verified,
2 Reversed deal.
3 Reversal of reversed deal.</t>
  </si>
  <si>
    <t>VERIFY FLAG (MONEY MARKET)</t>
  </si>
  <si>
    <t>FACILITY LIMITS FLAG</t>
  </si>
  <si>
    <t>This field maintains the sequence number
of this transaction for the account affected
by this diary record.</t>
  </si>
  <si>
    <t>TRANSACTION RECORD COUNTER</t>
  </si>
  <si>
    <t>This field is only relevant to limit review
(record type '07’) and limit expiry (record
type '08") diary items. Valid values are:
0 No facility limits.
1 Facility limits.</t>
  </si>
  <si>
    <t>This field is only relevant to annuity loan
schedule repayments. It indicates the.
frequency of repayment as follows:
M Monthy.
Q Quarterly,
H Half Yearly.
Y Yeatly,</t>
  </si>
  <si>
    <t>This field s only relevant to annuity loan
schedule repayments. It indicates the
number of repayments remaining on the
loan.</t>
  </si>
  <si>
    <t>NUMBER OF REPAYMENTS
REMAINING</t>
  </si>
  <si>
    <t xml:space="preserve">  BRANCHNUMBER</t>
  </si>
  <si>
    <t xml:space="preserve"> SWIFT MESSAGE TYPE</t>
  </si>
  <si>
    <t>This field maintains the SWIFT message
number. e.g. for MT100 the SWIFT
message type would be 100. Only used if
this diary item is to be transmitted via the
SWIFT network.</t>
  </si>
  <si>
    <t>SWIFT DEAL NUMBER</t>
  </si>
  <si>
    <t>This field maintains the SWIFT deal
number</t>
  </si>
  <si>
    <t>TRANSACTION REFERENCE</t>
  </si>
  <si>
    <t>This field maintains the SWIFT transaction
reference.</t>
  </si>
  <si>
    <t xml:space="preserve"> RELATED REFERENCE</t>
  </si>
  <si>
    <t>This field maintains the SWIFT related
reference.</t>
  </si>
  <si>
    <t>SETTLEMENT INSTRUCTIONS (1)</t>
  </si>
  <si>
    <t>SETTLEMENT INSTRUCTIONS (2)</t>
  </si>
  <si>
    <t>SETTLEMENT INSTRUCTIONS (3)</t>
  </si>
  <si>
    <t>SETTLEMENT INSTRUCTIONS (4)</t>
  </si>
  <si>
    <t>SETTLEMENT INSTRUCTIONS (5)</t>
  </si>
  <si>
    <t>SETTLEMENT INSTRUCTIONS (6)</t>
  </si>
  <si>
    <t>This field maintains the first part of SWIFT
settlement instructions.</t>
  </si>
  <si>
    <t>This field maintains the second part of SWIFT
settlement instructions.</t>
  </si>
  <si>
    <t>This field maintains the third part of SWIFT
settlement instructions.</t>
  </si>
  <si>
    <t>This field maintains the fourth part of SWIFT
settlement instructions.</t>
  </si>
  <si>
    <t>This field maintains the fifth part of SWIFT
settlement instructions.</t>
  </si>
  <si>
    <t>This field maintains the sixth part of SWIFT
settlement instructions.</t>
  </si>
  <si>
    <t>Valid values arc:
0 No.
1 Yes.</t>
  </si>
  <si>
    <t>PROCESSED BY MT350/MT324
LOOKAHEAD</t>
  </si>
  <si>
    <t>Pension date changed</t>
  </si>
  <si>
    <t>Pension date changed1</t>
  </si>
  <si>
    <t>PROCESSED BY MT320</t>
  </si>
  <si>
    <t>FIXED SCHEDULE FLAG</t>
  </si>
  <si>
    <t>FIXED SCHEDULE DATE</t>
  </si>
  <si>
    <t>This field indicates whether the date relates
toa working day. Valid values arc:
0 Non-working day.
1 Working day.</t>
  </si>
  <si>
    <t xml:space="preserve">WORKING DAY INDICATOR
</t>
  </si>
  <si>
    <t xml:space="preserve">DAY OF WEEK NUMBER
</t>
  </si>
  <si>
    <t>This field maintains the number of the day
in the week.
Valid values are: 1-7.</t>
  </si>
  <si>
    <t>WEEK OF YEAR NUMBER</t>
  </si>
  <si>
    <t>This field maintains the number of the week
in the year.
Valid values are: 1-52.</t>
  </si>
  <si>
    <t>JULIAN DAY OF YEAR</t>
  </si>
  <si>
    <t>This field maintains the number of the day
in the Julian Calendar year.
Valid values are: 1-365 (366 on aleap
year).</t>
  </si>
  <si>
    <t>This field maintains the number of the
account which is due to mature.</t>
  </si>
  <si>
    <t>ACCOUNT NUMBER (PART OF KEY)</t>
  </si>
  <si>
    <t>VALUE DATE (PART OF KEY)</t>
  </si>
  <si>
    <t>This field maintains the date on which the
item will be processed and take effect.
The date is in the format YYYYMMDD.</t>
  </si>
  <si>
    <t xml:space="preserve">This field maintains a reference code which
is used for page skipping and control in the
diary processing report.
The code is in the format AA BB (where.
AA=Department and BB=Category).
</t>
  </si>
  <si>
    <t>REFERENCE CODE FOR LOAN
REPAYMENTS</t>
  </si>
  <si>
    <t xml:space="preserve">RECORD TYPE
</t>
  </si>
  <si>
    <t>This field is set to "02" for Maturity
records, in accordance with the Bank Diary
file.</t>
  </si>
  <si>
    <t>This field indicates the type of transaction
involved as defined by the TTABLE
parameter file.
(See the Central Bankmaster - Control file
Data Dictionary for transaction type
definitions).</t>
  </si>
  <si>
    <t>This field maintains the reference number
that was input or automatically generated at
time of posting. It may be a cheque number,
draft number, deal number or other
reference depending on the transaction type
involved.
For foreign exchange deals, the numbers
may be automatically assigned, if desired,
butit is recommended thal they be input as
detailed on the dealing ticket so that use.
‘may be made of the Deal Number Gap
Report.
‘When in use, the Deal Number Gap Report
should be checked to ensure that ALL gaps
in the numbering sequence can be
accounted for.</t>
  </si>
  <si>
    <t>This field is set to "1" when the diary item
has been processed by the Diary Processing
‘program (BNK040). When the diary
‘process is next run it will delete all items
with the maturities processed flag set to "1".
Valid values are:
0 Not yet processed.
1 Processed - may be deleted.</t>
  </si>
  <si>
    <t>AMOUNT - PRINCIPAL FOR LOANS</t>
  </si>
  <si>
    <t xml:space="preserve">This field maintains the principal amount
for commercial loan repayment records
(05).
Decimal places are currency dependent.
</t>
  </si>
  <si>
    <t xml:space="preserve"> NATIONALITY/CURRENCY
DESCRIPTION</t>
  </si>
  <si>
    <t>CURRENCY SYMBOL</t>
  </si>
  <si>
    <t>CURRENCY/COUNTRY CODE</t>
  </si>
  <si>
    <t>RECORDTYPE</t>
  </si>
  <si>
    <t xml:space="preserve">This field is always set to "XC".
</t>
  </si>
  <si>
    <t>MULTIPLYDIVIDEFLAG</t>
  </si>
  <si>
    <t>NUMBER OF DAYS IN YEAR FOR
INTEREST CALCULATION</t>
  </si>
  <si>
    <t>POSITION ACCOUNT NUMBER -
SWAP DEALS</t>
  </si>
  <si>
    <t>POSITION ACCOUNT NUMBER -
SPOT DEALS</t>
  </si>
  <si>
    <t>POSITION ACCOUNT NUMBER -
ARBITRAGE</t>
  </si>
  <si>
    <t>COMMISSION ACCOUNT NUMBER</t>
  </si>
  <si>
    <t>TELEX ACCOUNT NUMBER</t>
  </si>
  <si>
    <t>NOSTRO ACCOUNT NUMBER</t>
  </si>
  <si>
    <t>This field maintains the default nostro
account for this currency.</t>
  </si>
  <si>
    <t>This field maintains the number of decimal
places defined for this currency.
Valid values are: 0-3.</t>
  </si>
  <si>
    <t>NUMBER OF DECIMAL PLACES
ALLOWED</t>
  </si>
  <si>
    <t>This field maintains the currency to which this record relates. The two codes "00" and "01" always relate to base currency.</t>
  </si>
  <si>
    <t>This field maintains the 3 character code associated with this currency. For example: USD United States Dollar.
IEP Irish Punt. GBP Sterling.</t>
  </si>
  <si>
    <t>This field maintains the full description of the currency. For example:
UNITED STATES DOLLAR.
CANADIAN DOLLAR.
JAPANESE YEN.</t>
  </si>
  <si>
    <t>This field contains the number of days in the year which will be used by interest accrual and application for this currency. It
will be set to either 360 or 365.</t>
  </si>
  <si>
    <t>This field indicates whether the purchase currency will be multiplied or divided by the exchange rate when calculating base currency equivalents. Valid values are:
M Multiply.
D Divide.</t>
  </si>
  <si>
    <t>NARRATIVE CODE</t>
  </si>
  <si>
    <t>This field contains Narrative Code</t>
  </si>
  <si>
    <t xml:space="preserve">NARRATIVE ARABIC </t>
  </si>
  <si>
    <t xml:space="preserve">NARRATIVE ENGLISH </t>
  </si>
  <si>
    <t>This field contains ENGLISH NATTIVE Description</t>
  </si>
  <si>
    <t>This field contains ENGLISH Arabic Description</t>
  </si>
  <si>
    <t xml:space="preserve"> DEF MARGIN</t>
  </si>
  <si>
    <t>MINIMUM MARGIN</t>
  </si>
  <si>
    <t>MAXIMUM MARGIN</t>
  </si>
  <si>
    <t xml:space="preserve">SERIAL NUMBER </t>
  </si>
  <si>
    <t>This field maintains SERIAL NUMBER</t>
  </si>
  <si>
    <t xml:space="preserve"> BASE RATE
</t>
  </si>
  <si>
    <t xml:space="preserve">This field maintains the margin which is BASE RATE
</t>
  </si>
  <si>
    <t>NUMBER OF DAYS IN YEAR FOR INTEREST CALCULATION</t>
  </si>
  <si>
    <t>DEBIT BASE DAYS</t>
  </si>
  <si>
    <t>CREDIT BASE DAYS</t>
  </si>
  <si>
    <t>This field contain debit base days</t>
  </si>
  <si>
    <t>This field contain credit base days</t>
  </si>
  <si>
    <t xml:space="preserve"> CHEQUE ACCOUNT</t>
  </si>
  <si>
    <t xml:space="preserve"> SUSPENSE
ACCOUNT
</t>
  </si>
  <si>
    <t xml:space="preserve"> CURRENT STARTING NUMBER </t>
  </si>
  <si>
    <t xml:space="preserve">  CURRENT ENDING NUMBER </t>
  </si>
  <si>
    <t xml:space="preserve">NEXT RANGE  STARTING NUMBER </t>
  </si>
  <si>
    <t xml:space="preserve">NEXT RANGE ENDING NUMBER </t>
  </si>
  <si>
    <t xml:space="preserve">1-realBranch; 0-pseudoBranch </t>
  </si>
  <si>
    <t>PSUEDO BRANCH FLAG</t>
  </si>
  <si>
    <t xml:space="preserve"> BRANCH CATOGARY TYPE </t>
  </si>
  <si>
    <t xml:space="preserve">BANCH NAME </t>
  </si>
  <si>
    <t xml:space="preserve">AREA CODE </t>
  </si>
  <si>
    <t>This field stores the area code of Branch'</t>
  </si>
  <si>
    <t>ISALMIC BRANCH</t>
  </si>
  <si>
    <t xml:space="preserve">This field identifies whether the branch is a ISALAMIC or not 	Valid Values are :
 0-No
 1-Yes </t>
  </si>
  <si>
    <t>TRANSIT CODE</t>
  </si>
  <si>
    <t>This field stores the identifier of the Transit code of the current Branch.</t>
  </si>
  <si>
    <t xml:space="preserve"> LAST STARTER NUMBER </t>
  </si>
  <si>
    <t xml:space="preserve"> MAXIMUM STARTER NUMBER </t>
  </si>
  <si>
    <t xml:space="preserve"> BRANCH LANGUAGE INDICATOR </t>
  </si>
  <si>
    <t>ACCRUED EXCEPTION FLAG</t>
  </si>
  <si>
    <t xml:space="preserve"> GATEWAY NUMBER </t>
  </si>
  <si>
    <t xml:space="preserve"> PAYROLL PROCESSING INDICATOR </t>
  </si>
  <si>
    <t xml:space="preserve"> BLOCKING DAYS PERIOD </t>
  </si>
  <si>
    <t xml:space="preserve"> PENSION GATEWAY INDICATOR </t>
  </si>
  <si>
    <t xml:space="preserve"> MINIMUM BALANCE REQUIREMENT </t>
  </si>
  <si>
    <t xml:space="preserve"> CREDIT INTEREST RATE APPLICABILITY FLAG </t>
  </si>
  <si>
    <t xml:space="preserve"> CREDIT INTEREST MEMO </t>
  </si>
  <si>
    <t xml:space="preserve"> TIME DEPOSIT ACCOUNT FLAG </t>
  </si>
  <si>
    <t xml:space="preserve"> MIGRATED LOAN MEMO </t>
  </si>
  <si>
    <t xml:space="preserve"> This field stores the row number used for mapping and processing within the ANB610 dataset.</t>
  </si>
  <si>
    <t xml:space="preserve"> This field maintains the column number associated with ANB610 data records.</t>
  </si>
  <si>
    <t xml:space="preserve"> This field records the defined column heading used in ANB610 processing.</t>
  </si>
  <si>
    <t xml:space="preserve"> This field stores whether the ledger is linked to ANB120 transaction processing.</t>
  </si>
  <si>
    <t xml:space="preserve"> LEDGER CONTROL MEMOS </t>
  </si>
  <si>
    <t xml:space="preserve"> ACCOUNT DELETION FLAG FROM OPEN STATUS </t>
  </si>
  <si>
    <t>This field maintains the unique identifier assigned to the gateway transaction for processing.</t>
  </si>
  <si>
    <t>This field records whether the gateway transaction is related to payroll processing.</t>
  </si>
  <si>
    <t>This field stores the number of days during which the gateway transaction remains restricted or blocked.</t>
  </si>
  <si>
    <t>This field maintains whether the gateway transaction pertains to pension related processes.</t>
  </si>
  <si>
    <t>This field maintains the specific sub account where the suspense transaction is tracked.</t>
  </si>
  <si>
    <t>This field maintains the unique identifier assigned to the ledger for accounting and financial tracking.</t>
  </si>
  <si>
    <t>This field records the minimum balance that must be maintained in the ledger account.</t>
  </si>
  <si>
    <t>This field stores whether credit interest is applied to this ledger.</t>
  </si>
  <si>
    <t>This field stores whether the ledger is associated with time deposit accounts.</t>
  </si>
  <si>
    <t>This field maintains whether the ledger contains loan accounts managed by the branch.</t>
  </si>
  <si>
    <t>This field records details regarding loans that have been migrated into the system.</t>
  </si>
  <si>
    <t>This field maintains memos related to ledger control operations.</t>
  </si>
  <si>
    <t>This field records whether the ledger account is eligible for deletion from open status.</t>
  </si>
  <si>
    <t>This field maintains the account number of the position account which is to be used for Spot deals in this currency. Forward deals update the "forward balance” on the account. When the deal ‘matures, the amount of the deal is removed from the forward balance and the account's current balance is updated.
NOTE:This field is loaded by main and
branch BNKCOM.</t>
  </si>
  <si>
    <t>This field maintains the account number of
the position account which is to be used for
Swap deals in this currency.
The Spot side of a Swap deal updates, at
posting, either the "current balance” or the
"unmatured spots” field, depending on
whether or not the deal has matured.
The Forward side updates the forward
balance at posting. When the deal has
matured, the current balance is updated
NOTE:This field is loaded into low
partition by main and branch BNKCOM,</t>
  </si>
  <si>
    <t>This field maintains the account number of
the position account which is to be used for
Arbitrage deals in this currency.
The Spot side of an Arbitrage deal updates,
at posting, either the current balance or the
‘unmatured spots field, depending on
‘whether or not the deal has matured.
The Forward side updates the forward
balance at posting. When the deal has
‘matured, the current balance is updated.
NOTE:This field is loaded by main and
branch BNKCOM.</t>
  </si>
  <si>
    <t>This field maintains the account number of
the account to which all commission
charges, in this currency, will be posted.
NOTE:This field is loaded by main and
‘branch BNKCOM.</t>
  </si>
  <si>
    <t>This field maintains the account number of
the account to which all telex charges, in
this currency, will be posted.
NOTE:This field is loaded by main and
branch BNKCOM.</t>
  </si>
  <si>
    <t>In the case of an individual customerThis field holds the customer's date of birth. In the case of a company, bank etc. This
field holds the date of the establishment of the company, bank etc.</t>
  </si>
  <si>
    <t>This is a memo field which indicates the customer's language preference.This field may be used for information
purposes only.  If required as described above, it is sual for special work to be commissioned.</t>
  </si>
  <si>
    <t>If foreign exchange forward monitoring is
in use, thenThis field determines the
column, within the ‘TABLE OF
FORWARD ACCOUNTS’, from which the
forwards account number will be extracted.
This table is setup via the FEXFTRS
parameter file.
Valid values are: 1-7.</t>
  </si>
  <si>
    <t>If the "GROUP LEADER FLAG" is "0" then this is the customer number of the group leader to which this customer belongs.
If the ‘GROUP LEADER FLAG is "1" thenThis field is either left blank or is the customer number of subsequent group
leader for this group.
Valid values are: 000001 - 999999
NOTE: Nesting of groups is allowable to a maximum level of 10.</t>
  </si>
  <si>
    <t>This field stores the descriptive title or category of the business type.</t>
  </si>
  <si>
    <t xml:space="preserve">This field identifies the nature of the customer’s business </t>
  </si>
  <si>
    <t>This field holds the formal title associated with the customer’s nationality classification.</t>
  </si>
  <si>
    <t>This field stores the country of citizenship or legal nationality of the customer.</t>
  </si>
  <si>
    <t>This field records the name of the branch where the customer is registered or associated.</t>
  </si>
  <si>
    <t>This field maintains the unique identifier code assigned to the customer’s branch.</t>
  </si>
  <si>
    <t>This field stores an additional branch code for the customer if applicable.</t>
  </si>
  <si>
    <t xml:space="preserve">This field holds the title or honorific associated with the customer </t>
  </si>
  <si>
    <t>This field indicates whether the customer is newly registered within the system.</t>
  </si>
  <si>
    <t>This field tracks whether a PIN mailer has been issued or requested for a banking card.</t>
  </si>
  <si>
    <t>This field identifies whether the customer is part of the MAOPAC banking program.</t>
  </si>
  <si>
    <t>This field stores the complete address details of the customer, including street, city, and postal information.</t>
  </si>
  <si>
    <t>This field indicates whether ATM transaction fees apply to the customer’s account.</t>
  </si>
  <si>
    <t>This field maintains the distinct identification number assigned to the customer for tracking purposes.</t>
  </si>
  <si>
    <t>This field stores the area code for the customer’s home telephone number.</t>
  </si>
  <si>
    <t>This field maintains the customer’s home telephone number.</t>
  </si>
  <si>
    <t>This field records the extension number for the customer’s home telephone.</t>
  </si>
  <si>
    <t>This field stores the area code for the customer’s office telephone number.</t>
  </si>
  <si>
    <t>This field records the extension number for the customer’s office telephone.</t>
  </si>
  <si>
    <t>This field specifies the type of banking card issued to the customer.</t>
  </si>
  <si>
    <t>This field stores the name or ID of the account manager handling the customer’s records.</t>
  </si>
  <si>
    <t>This field indicates whether the customer holds VIP status in the banking system.</t>
  </si>
  <si>
    <t>This field categorizes the customer’s account under specific banking package services.</t>
  </si>
  <si>
    <t>This field tracks the customer’s risk level based on financial transactions and regulatory assessments.</t>
  </si>
  <si>
    <t>This field maintains a coded classification of the customer's risk status.</t>
  </si>
  <si>
    <t>This field stores the date when specific restrictions were applied to the customer per SAMA regulations.</t>
  </si>
  <si>
    <t>This field indicates whether the customer is enrolled in a specific banking package.</t>
  </si>
  <si>
    <t>This field tracks whether the customer is assigned a package account under NINlevel classification.</t>
  </si>
  <si>
    <t>This field maintains the customer number associated with the NINlevel package account.</t>
  </si>
  <si>
    <t>This field specifies the payroll category under NINlevel classification.</t>
  </si>
  <si>
    <t>This field records the customer number linked to the NINlevel payroll system.</t>
  </si>
  <si>
    <t>This field stores the organization ID associated with the NINlevel payroll structure.</t>
  </si>
  <si>
    <t>This field indicates the business type assigned under NINlevel classification.</t>
  </si>
  <si>
    <t>This field records the customer number linked to the NINlevel business classification.</t>
  </si>
  <si>
    <t>This field tracks whether the customer is exempt from ATM transaction charges.</t>
  </si>
  <si>
    <t>This field records whether the customer is exempt from minimum balance maintenance fees.</t>
  </si>
  <si>
    <t xml:space="preserve">This field tracks how the customer receives banking account statements </t>
  </si>
  <si>
    <t>This field specifies whether the customer’s statement frequency differs from their assigned banking package settings.</t>
  </si>
  <si>
    <t>This field indicates whether a term deposit advisory notification is needed for the customer.</t>
  </si>
  <si>
    <t>4 YEAR NUMBER 
This field contains the year number (YY)
part of the specified date.
 2 MONTHNUMBER
This field contains the month number (MM)
part of the specified date.
2 DAYNUMBER
This field contains the day number (DD)
part of the specified date.</t>
  </si>
  <si>
    <t>In the case of an account,This field contains
the date on which the account was opened.
In the case of a Bill,This field contains the
date on which the bill was purchased.</t>
  </si>
  <si>
    <t>For accounts accruing interest via the
Normal or Savings methods, ths field holds
the credit interest rate on the account,
For accounts accruing interest via the
Discount, Security or Certificates of
Deposit methods,This field is the yield rate
on the account, The yield rate is
memorandum for the Discount or Security
method, but is part of the interest
calculation formula for the Certificates of
Deposit method.
Valid values are: 0- 999.999999</t>
  </si>
  <si>
    <t>For accounts accruing interest via the
Normal or Savings methods,This field holds
the debit interest rate on the account.
For accounts accruing interest via the
Security or Certificates of Deposit methods,
this field holds the coupon rate on the
account.
For accounts accruing interest via the
Discount method,This field holds the
discount rate on the account.
Valid values are: 0 -999.999999</t>
  </si>
  <si>
    <t>This field maintains the date on which the
interest was last accrued on the account.
This will be the value date of the most
recent transaction, in value date order, prior
to todays date. If a back valued transaction
is posted to the accountThis field will not be
updated.</t>
  </si>
  <si>
    <t>This field maintains the account number of
the matching account for loan repayments.
ie. Arrears account.
‘Scheduled amounts are transferred from
this account to the loan account on the
specified dates.This field could also be
used for scheduled payments to a deposit
account if required.
It is the sublisted account if sublisting is
being used.
Itis also used by the Automaturities
program (BNK125) when the "INTEREST
APPLICATION METHOD’ field is set to
"6".</t>
  </si>
  <si>
    <t>This is the frequency with which statements
will be printed by the Statement Print
program (BMT110).
‘The format ofThis field is XNN, where *X"
is the frequency and "NN" the start month
for the cycle.
Valid values are:
D Daily.
W Weekly.
M Monthy.
Q Quarterly.
H Half yearly.
Y Yearly.
N Non-automatic (statement will be
‘produced manually).</t>
  </si>
  <si>
    <t>This is the total of all service fees that have
been incurred by the account but which
have not yet been applied.
If the *SERVIS FEE field on the TTABLE
‘parameter file is set to "1,This field is
updated as soon as a transaction has been
posted. If it is set to "2", "3" or "4" the field
‘will be updated by the End of Month
Service Fee Accruals program (BNK117).
Decimal places are currency dependent.</t>
  </si>
  <si>
    <t>This field maintains the deal number of the
LAST transaction to this account whose
"Money Market’ flag was set to "1". If the
last deal number was also the first deal
number thenThis field will be blank and the
deal number will be held in the
"ORIGINAL DEAL NUMBER’ field.</t>
  </si>
  <si>
    <t>1. For Savings AccountsThis field holds
the lowest monthly balance.
2. For Foreign Exchange position
accountsThis field holds the unmatured
spots balance.
3. For the Leasing moduleThis field holds
the goods amount for VAT paid and
VAT received accounts.
4. For Consumer Finance loansThis field
holds the deferred interest amount.
Decimal places are currency dependent.</t>
  </si>
  <si>
    <t>This field maintains the Profit and Loss
code for credit accrued interest contra. It
‘would not normally be used.</t>
  </si>
  <si>
    <t>This field contains the number of the
account that will be used by the Profit &amp;
Loss Year End Close program (BNK435).
IfThis field is not define, the account
defined at control group level will be used.
All Profit &amp; Loss at the end of the year for
the memo group will be recorded in this
account.
‘The account is recorded without the first
two characters (the currency) as itis
assumed to be the same currency as the
‘memo group.</t>
  </si>
  <si>
    <t>This field maintains the first line of the
narrative input at time of posting.
For Foreign Exchange records, the position
occupied on the record byThis field is
redefined by the "FOREIGN EXCHANGE
DEAL REFERENCE’ field.</t>
  </si>
  <si>
    <t>If a foreign exchange transaction was
posted,This field contains the Foreign
Exchange deal number.</t>
  </si>
  <si>
    <t>IfThis field is set to "R” the transaction is
recoverable by the Auto-recovery program.</t>
  </si>
  <si>
    <t>This field maintains details regarding the application of credit interest Memo Number</t>
  </si>
  <si>
    <t xml:space="preserve"> BRANCH MASTER  LOAN FLAG </t>
  </si>
  <si>
    <t xml:space="preserve">SYSTEM ROW NUMBER FOR ANB610 RECORDS </t>
  </si>
  <si>
    <t xml:space="preserve">SYSTEM COLUMN NUMBER FOR ANB610 RECORDS </t>
  </si>
  <si>
    <t xml:space="preserve">COLUMN HEADING FOR ANB610 RECORDS </t>
  </si>
  <si>
    <t xml:space="preserve">ANB120 PROCESSING FLAG </t>
  </si>
  <si>
    <t xml:space="preserve">LOAN ACCOUNT ASSOCIATION FLAG </t>
  </si>
  <si>
    <t xml:space="preserve"> This field records whether the ledger is linked to loan related transactions</t>
  </si>
  <si>
    <t xml:space="preserve">BRANCH SHORT CODE </t>
  </si>
  <si>
    <t>This field stores the unique identifier code assigned to the customer's bank SHORT branchCODE.</t>
  </si>
  <si>
    <t>This field maintains the name of the bank
(as it is to be displayed by the posting
program).</t>
  </si>
  <si>
    <t xml:space="preserve">DESCRIPTION
</t>
  </si>
  <si>
    <t>This field maintains the account number
(excluding currency digits) of the clearing
account for the bank.</t>
  </si>
  <si>
    <t xml:space="preserve">CLEARING CONTRA ACCOUNT
NUMBER
</t>
  </si>
  <si>
    <t>This field maintains the 3 digit country
code in which the branch represented by
this sort code is located.</t>
  </si>
  <si>
    <t xml:space="preserve">ISO COUNTRY CODE
</t>
  </si>
  <si>
    <t>IMD NUMBER OF
BANK/BRANCH</t>
  </si>
  <si>
    <t>This field maintains the six digit
Interchange Member Designation allocated
to the financial institution to which the
branch belongs.</t>
  </si>
  <si>
    <t>This field maintains a 4 digit branch
number, defined by the financial institution,
which is unique for each branch within the
IMD number.</t>
  </si>
  <si>
    <t>COMMISSION ACCOUNT</t>
  </si>
  <si>
    <t>This field maintains the account number
(with no currency digits) to which all
commission postings for this branch are
made.</t>
  </si>
  <si>
    <t xml:space="preserve"> BANKSHORT CODE NUMBER (KEY)</t>
  </si>
  <si>
    <t xml:space="preserve"> This field stores the date corresponding to the latest available balance data.</t>
  </si>
  <si>
    <t xml:space="preserve">END OF MONTH RECORD DATE   </t>
  </si>
  <si>
    <t xml:space="preserve"> This field stores the date on which the end of month balance is finalized.</t>
  </si>
  <si>
    <t xml:space="preserve"> PREVIOUS END OF MONTH RECORD DATE   </t>
  </si>
  <si>
    <t xml:space="preserve"> This field stores the date of the prior month's balance closure for reference.</t>
  </si>
  <si>
    <t xml:space="preserve">PROCESSING DATE </t>
  </si>
  <si>
    <t>This field maintains the date on which the  transaction was processed in the system.</t>
  </si>
  <si>
    <t>Interest Review period for account 
D - day
W - week
M - month
Y - year</t>
  </si>
  <si>
    <t>This is used in conjunctionwith the interest review period (above).  E.g. if int review period = 'M' and int review frequency = '2', the account is due for interest review every two months.  Note: if the review period is set to 'Y', the value of the frequency field is ignored (i.e. it is always taken to be 1)</t>
  </si>
  <si>
    <t>Margin which is added to CR funding rate to arrive at the actual funding rate for the account.  May be +/-.</t>
  </si>
  <si>
    <t xml:space="preserve"> Account start date which the ALCO program uses for funding
 interest calculation for single and multi maturities.  This field
 is maintained by the ALCO process.</t>
  </si>
  <si>
    <t xml:space="preserve"> Current maturity date of the account.  For fixtures with one
 maturity, this field holds the GL maturity date.  For fixtures
 with multi-maturities (commercial loans), this field holds the
 final repayment date.</t>
  </si>
  <si>
    <t>Total calculated CR month to date funding amount for the account</t>
  </si>
  <si>
    <t>Total calculated DR month to date funding amount for the account</t>
  </si>
  <si>
    <t>Report Balance on the account</t>
  </si>
  <si>
    <t xml:space="preserve"> Credit funding amount for the day</t>
  </si>
  <si>
    <t>Debit funding amount for the day</t>
  </si>
  <si>
    <t>MATURITY BALANCE</t>
  </si>
  <si>
    <t xml:space="preserve">TOTAL DEBITMATURITY  AMOUNT </t>
  </si>
  <si>
    <t xml:space="preserve">TOTAL CREDIT MATURITY  AMOUNT </t>
  </si>
  <si>
    <t>MATURITY DATE</t>
  </si>
  <si>
    <t>START DATE</t>
  </si>
  <si>
    <t>CREDIT MARGIN FUND RATE</t>
  </si>
  <si>
    <t>DEBIT MARGIN FUND RATE</t>
  </si>
  <si>
    <t>CREDIT MARGIN INTREST REVIEW</t>
  </si>
  <si>
    <t xml:space="preserve"> Margin which is added to DR funding rate to arrive at the actual  funding rate for the account.  May be +/-.</t>
  </si>
  <si>
    <t>Margin which is used for interest reviews when a new CR funding rate is to be calculated.  May be +/-.</t>
  </si>
  <si>
    <t>Margin which is used for interest reviews when a new DR funding rate is to be calculated.  May be +/-.</t>
  </si>
  <si>
    <t>DEBIT MARGIN INTREST REVIEW</t>
  </si>
  <si>
    <t xml:space="preserve"> Account Status
 value '0' = normal, value '1' bad debtor.</t>
  </si>
  <si>
    <t>Total MTD DR funding Interest amount (NON-PERFORMING)</t>
  </si>
  <si>
    <t>Account Status Date</t>
  </si>
  <si>
    <t>MATURITY AMOUNT NON PERFORMING</t>
  </si>
  <si>
    <t xml:space="preserve"> DEBIT INTEREST PAID YEAR TO DATE </t>
  </si>
  <si>
    <t xml:space="preserve"> This field stores the total amount of debit interest paid by the customer from the start of the financial year to the present date. It helps track cumulative interest expenses incurred within the current year for reporting and analysis purposes.</t>
  </si>
  <si>
    <t xml:space="preserve"> DEBIT INTEREST CHARGED YEAR TO DATE </t>
  </si>
  <si>
    <t xml:space="preserve"> This field stores the total amount of debit interest charged to the customer for the current financial year, helping track cumulative loan expenses.</t>
  </si>
  <si>
    <t xml:space="preserve"> CREDIT INTEREST RECEIVED PRIOR YEAR TO DATE </t>
  </si>
  <si>
    <t xml:space="preserve"> This field maintains the total amount of credit interest accrued in the previous financial year.</t>
  </si>
  <si>
    <t xml:space="preserve"> NEW REVIEW PERIOD </t>
  </si>
  <si>
    <t xml:space="preserve"> This field records the revised period for loan or interest rate review, defining when the next evaluation takes place.</t>
  </si>
  <si>
    <t xml:space="preserve"> NEW REVIEW FREQUENCY </t>
  </si>
  <si>
    <t xml:space="preserve"> This field stores the updated frequency for loan reassessment (e.g., monthly, quarterly, annually).</t>
  </si>
  <si>
    <t xml:space="preserve"> PENALTY INTEREST RATE </t>
  </si>
  <si>
    <t xml:space="preserve"> This field maintains the interest rate applied on overdue loan payments or penalties.</t>
  </si>
  <si>
    <t xml:space="preserve"> This field records the unique identifier associated with the customer holding the loan.</t>
  </si>
  <si>
    <t xml:space="preserve"> BLOCKED LOAN BALANCE </t>
  </si>
  <si>
    <t xml:space="preserve"> This field stores any restricted loan balance that is temporarily unavailable for transactions due to specific conditions.</t>
  </si>
  <si>
    <t xml:space="preserve"> SETTLEMENT ACCOUNT NUMBER </t>
  </si>
  <si>
    <t xml:space="preserve"> This field maintains the designated account for settling loan related payments and transactions.</t>
  </si>
  <si>
    <t xml:space="preserve"> MATURITY INTEREST RATE </t>
  </si>
  <si>
    <t xml:space="preserve"> This field stores the interest rate applied at the maturity of a deposit or loan. It determines the final interest earnings or charges at the end of the term.</t>
  </si>
  <si>
    <t xml:space="preserve"> RENEWAL TYPE </t>
  </si>
  <si>
    <t xml:space="preserve"> This field maintains the classification of renewal options available for the term deposit or loan (e.g., automatic renewal, manual renewal).</t>
  </si>
  <si>
    <t xml:space="preserve"> RENEWAL PERIOD </t>
  </si>
  <si>
    <t xml:space="preserve"> This field records the specified duration for renewal, defining the next term applicable after maturity.</t>
  </si>
  <si>
    <t xml:space="preserve"> REVIEW DATE </t>
  </si>
  <si>
    <t xml:space="preserve"> This field stores the scheduled date for evaluating or reassessing the terms of the financial agreement, including interest rates or renewal conditions.</t>
  </si>
  <si>
    <t>totDrInt</t>
  </si>
  <si>
    <t xml:space="preserve">INTEREST REVIEW PERIOD FOR ACCOUNT </t>
  </si>
  <si>
    <t xml:space="preserve">FREQUENCY OF FUNDING INTEREST REVIEW.  </t>
  </si>
  <si>
    <t>CREDIT FUNDING AMOUN</t>
  </si>
  <si>
    <t>DEBIT FUNDING AMOUN</t>
  </si>
  <si>
    <t>ACCOUNT STATUS DATE</t>
  </si>
  <si>
    <t>FILE COUNT</t>
  </si>
  <si>
    <t>FILE NAME</t>
  </si>
  <si>
    <t>TOTAL BRANCH CREDIT INTEREST</t>
  </si>
  <si>
    <t>TOTAL BRANCH DEBIT INTEREST</t>
  </si>
  <si>
    <t>SUB LEDGER MEMO CODE</t>
  </si>
  <si>
    <t xml:space="preserve">AMOUNT TRANSACTION 
</t>
  </si>
  <si>
    <t>This field maintains the Transaction Amount
Decimal places are currency dependent.</t>
  </si>
  <si>
    <t xml:space="preserve">PREOCESS FLAG </t>
  </si>
  <si>
    <t xml:space="preserve">This field maintain for current PREOCESS FLAG </t>
  </si>
  <si>
    <t>INTEREST FLAG</t>
  </si>
  <si>
    <t>Maintain INTEREST FLAG</t>
  </si>
  <si>
    <t>REFERENCE NUMBER</t>
  </si>
  <si>
    <t>INTEREST RECEIVED AMOUNT 1</t>
  </si>
  <si>
    <t>INTEREST RECEIVED AMOUNT 2</t>
  </si>
  <si>
    <t>See "INTEREST RECEIVED AMOUNT 1"</t>
  </si>
  <si>
    <t>INTEREST RECEIVED AMOUNT 3</t>
  </si>
  <si>
    <t>INTEREST RECEIVED AMOUNT 4</t>
  </si>
  <si>
    <t>INTEREST RECEIVED AMOUNT 5</t>
  </si>
  <si>
    <t>INTEREST RECEIVED AMOUNT 6</t>
  </si>
  <si>
    <t>INTEREST PAID AMOUNT 1</t>
  </si>
  <si>
    <t>INTEREST PAID AMOUNT 2</t>
  </si>
  <si>
    <t>See INTEREST PAID AMOUNT 1</t>
  </si>
  <si>
    <t>INTEREST PAID AMOUNT 3</t>
  </si>
  <si>
    <t>INTEREST PAID AMOUNT 4</t>
  </si>
  <si>
    <t>INTEREST PAID AMOUNT 5</t>
  </si>
  <si>
    <t>INTEREST PAID AMOUNT 6</t>
  </si>
  <si>
    <t>If the Interest Received AMOUNTs are
defined at memo level then this will be one
of 6 AMOUNTs used. When debit interest is
applied to a customer account, the opposite
amount is credited to either this or one of
the other Interest Received ACCOUNT. The
AMOUNT used is determined by the
INTEREST RECEIVED POINTER’ field on the interest accruing General Ledger
detail AMOUNT.
See the "INTEREST RECEIVED
POINTER’ field in the Detail General
Ledger record.</t>
  </si>
  <si>
    <t>If the Interest Paid AMOUNTs are not defined
at memo level then this will be one of 6
AMOUNTs used. When credit interest is
applied to a customer account the opposite
amount is debited to either this or one of the
other Interest Paid account. The AMOUNT
used is determined by the INTEREST
PAID POINTER’ on the interest accruing
General Ledger detail AMOUNT. See the
“INTEREST PAID POINTER field in the
Detail General Ledger record.</t>
  </si>
  <si>
    <t>This field maintain Record Type.</t>
  </si>
  <si>
    <t>This field maintains the interest which has
accumulated on the account from the date.
of the last interest application to the last
accrual date. Every transaction posted to the
account accrues interest to the value date of
the transaction, (except transactions to
accounts accruing interest via the Savings
method).</t>
  </si>
  <si>
    <t xml:space="preserve"> PAYEE CREDIT AMOUNT </t>
  </si>
  <si>
    <t xml:space="preserve"> This field stores the credited amount assigned to the payee for financial transactions.</t>
  </si>
  <si>
    <t xml:space="preserve"> PAYEE DEBIT AMOUNT </t>
  </si>
  <si>
    <t xml:space="preserve"> This field maintains the debited amount deducted from the payee’s account for financial processing.</t>
  </si>
  <si>
    <t xml:space="preserve"> This field stores the account number associated with the payee for transactions.</t>
  </si>
  <si>
    <t xml:space="preserve"> INTEREST APPLICATION FREQUENCY </t>
  </si>
  <si>
    <t xml:space="preserve"> This field maintains the defined frequency for interest application (e.g., monthly, quarterly, annually).</t>
  </si>
  <si>
    <t xml:space="preserve"> YEAR TO DATE DOUBTFUL INTEREST </t>
  </si>
  <si>
    <t xml:space="preserve"> This field records the total doubtful interest accumulated in the current financial year.</t>
  </si>
  <si>
    <t xml:space="preserve"> DOUBTFUL INTEREST FLAG </t>
  </si>
  <si>
    <t xml:space="preserve"> This field stores the indicator flag determining whether the recorded interest is categorized as doubtful.</t>
  </si>
  <si>
    <t xml:space="preserve"> INTEREST ACCRUAL ADJUSTMENT </t>
  </si>
  <si>
    <t xml:space="preserve"> This field maintains any modifications or corrections applied to accrued interest figures.</t>
  </si>
  <si>
    <t xml:space="preserve"> YEAR TO DATE NORMAL INTEREST </t>
  </si>
  <si>
    <t xml:space="preserve"> This field records the regular interest accrued throughout the current financial year.</t>
  </si>
  <si>
    <t xml:space="preserve"> PREVIOUS YEAR TO DATE INTEREST </t>
  </si>
  <si>
    <t xml:space="preserve"> This field stores the interest accumulated in the previous financial year for comparison and reporting.</t>
  </si>
  <si>
    <t xml:space="preserve"> SCHEDULED REPAYMENT DATE </t>
  </si>
  <si>
    <t xml:space="preserve"> AMOUNT PAID TOWARDS REPAYMENT </t>
  </si>
  <si>
    <t xml:space="preserve"> This field records the portion of the repayment amount that has already been settled.</t>
  </si>
  <si>
    <t xml:space="preserve"> PAID PRINCIPAL AMOUNT </t>
  </si>
  <si>
    <t xml:space="preserve"> ACCRUED INTEREST AMOUNT </t>
  </si>
  <si>
    <t xml:space="preserve"> This field maintains the total interest accumulated on the loan.</t>
  </si>
  <si>
    <t xml:space="preserve"> PAID ACCRUED INTEREST </t>
  </si>
  <si>
    <t xml:space="preserve"> This field records the portion of accrued interest that has been paid.</t>
  </si>
  <si>
    <t xml:space="preserve"> PAID PENALTY INTEREST </t>
  </si>
  <si>
    <t xml:space="preserve"> This field maintains the penalty interest amount that has already been settled.</t>
  </si>
  <si>
    <t xml:space="preserve"> This field records the interest rate applied to overdue repayments.</t>
  </si>
  <si>
    <t xml:space="preserve"> PENALTY INTEREST ACCRUAL DATE </t>
  </si>
  <si>
    <t xml:space="preserve"> This field stores the date when penalty interest started accruing on overdue balances.</t>
  </si>
  <si>
    <t xml:space="preserve"> ARREARS ACCOUNT NUMBER </t>
  </si>
  <si>
    <t xml:space="preserve"> This field maintains the account where overdue payments and penalties are tracked.</t>
  </si>
  <si>
    <t xml:space="preserve"> This field records the designated account where repayments are processed.</t>
  </si>
  <si>
    <t xml:space="preserve"> CURRENT REPAYMENT STATUS </t>
  </si>
  <si>
    <t xml:space="preserve"> This field stores the status of the repayment (e.g., pending, completed, overdue).</t>
  </si>
  <si>
    <t xml:space="preserve"> This field maintains the date when the repayment status was last updated.</t>
  </si>
  <si>
    <t xml:space="preserve"> FINAL REPAYMENT SETTLEMENT DATE </t>
  </si>
  <si>
    <t xml:space="preserve"> This field records the date when the repayment was fully settled and cleared.</t>
  </si>
  <si>
    <t xml:space="preserve"> MIGRATION STATUS FLAG </t>
  </si>
  <si>
    <t xml:space="preserve"> This field stores an indicator specifying whether the repayment record has been migrated from a previous system.</t>
  </si>
  <si>
    <t>Transaction Currency Code</t>
  </si>
  <si>
    <t>This Field maintain the currency code of transactions</t>
  </si>
  <si>
    <t>ISSUE USER ID</t>
  </si>
  <si>
    <t>This field contains details Bank user id who issued the DRAFT</t>
  </si>
  <si>
    <t xml:space="preserve"> ISSUE TRANSACTION TYPE </t>
  </si>
  <si>
    <t xml:space="preserve"> This field stores the classification of the transaction when the draft is issued (e.g., payment, remittance).</t>
  </si>
  <si>
    <t xml:space="preserve"> TRANSACTION DESCRIPTION </t>
  </si>
  <si>
    <t xml:space="preserve"> This field maintains detailed information regarding the draft transaction, including purpose and associated details.</t>
  </si>
  <si>
    <t xml:space="preserve"> SETTLEMENT DATE </t>
  </si>
  <si>
    <t xml:space="preserve"> This field records the date when the draft transaction was fully settled.</t>
  </si>
  <si>
    <t xml:space="preserve"> SETTLED BY USER IDENTIFIER </t>
  </si>
  <si>
    <t xml:space="preserve"> This field stores the unique ID of the user responsible for settling the draft transaction.</t>
  </si>
  <si>
    <t xml:space="preserve"> SETTLED TRANSACTION TYPE </t>
  </si>
  <si>
    <t xml:space="preserve"> This field maintains the final classification of the transaction upon settlement.</t>
  </si>
  <si>
    <t xml:space="preserve"> SETTLED AMOUNT </t>
  </si>
  <si>
    <t xml:space="preserve"> This field maintains the final amount settled for the draft transaction.</t>
  </si>
  <si>
    <t xml:space="preserve"> This field stores the unique card number used for processing transactions.</t>
  </si>
  <si>
    <t xml:space="preserve"> This field records the monetary value of the transaction conducted using the card.</t>
  </si>
  <si>
    <t xml:space="preserve"> This field stores the effective transaction date used for financial processing.</t>
  </si>
  <si>
    <t xml:space="preserve"> This field stores whether the transaction is flagged for reversal due to discrepancies or corrections.</t>
  </si>
  <si>
    <t xml:space="preserve"> This field stores any system generated error codes linked to the transaction for troubleshooting purposes.</t>
  </si>
  <si>
    <t xml:space="preserve"> TRANSACTION POSTING DATE </t>
  </si>
  <si>
    <t xml:space="preserve"> REVERSAL FLAG INDICATOR </t>
  </si>
  <si>
    <t xml:space="preserve"> TRANSACTION STATUS </t>
  </si>
  <si>
    <t xml:space="preserve"> ERROR CODE IDENTIFIER </t>
  </si>
  <si>
    <t xml:space="preserve"> This field records the Busines date when the transaction was occurred </t>
  </si>
  <si>
    <t xml:space="preserve"> This field records the currency in which the GL balances are maintained.</t>
  </si>
  <si>
    <t xml:space="preserve"> This field stores the unique identifier assigned to the general ledger for financial tracking.</t>
  </si>
  <si>
    <t xml:space="preserve"> DEBIT CLEARED BALANCE </t>
  </si>
  <si>
    <t xml:space="preserve"> This field maintains the total cleared debit balance within the ledger.</t>
  </si>
  <si>
    <t xml:space="preserve"> CREDIT CLEARED BALANCE </t>
  </si>
  <si>
    <t xml:space="preserve"> This field records the total cleared credit balance in the ledger.</t>
  </si>
  <si>
    <t xml:space="preserve"> DEBIT BOOK BALANCE </t>
  </si>
  <si>
    <t xml:space="preserve"> This field stores the total debit book balance, reflecting transactions before clearance.</t>
  </si>
  <si>
    <t xml:space="preserve"> CREDIT BOOK BALANCE </t>
  </si>
  <si>
    <t xml:space="preserve"> This field maintains the total credit book balance, tracking unprocessed transactions.</t>
  </si>
  <si>
    <t xml:space="preserve"> TOTAL NUMBER OF ACCOUNTS </t>
  </si>
  <si>
    <t xml:space="preserve"> TRANSACTION CREDIT CLEARED BALANCE </t>
  </si>
  <si>
    <t xml:space="preserve"> This field stores the credit cleared balance specifically for transactional entries.</t>
  </si>
  <si>
    <t xml:space="preserve"> TRANSACTION DEBIT CLEARED BALANCE </t>
  </si>
  <si>
    <t xml:space="preserve"> This field maintains the debit cleared balance related to transactional entries.</t>
  </si>
  <si>
    <t xml:space="preserve"> TRANSACTION CREDIT BOOK BALANCE </t>
  </si>
  <si>
    <t xml:space="preserve"> This field records the total credit book balance for unprocessed transaction entries.</t>
  </si>
  <si>
    <t xml:space="preserve"> TRANSACTION DEBIT BOOK BALANCE </t>
  </si>
  <si>
    <t xml:space="preserve"> This field stores the total debit book balance for unprocessed transaction entries.</t>
  </si>
  <si>
    <t xml:space="preserve"> LIQUIDITY ADJUSTMENT </t>
  </si>
  <si>
    <t xml:space="preserve"> FOREIGN EXCHANGE POSITION ADJUSTMENT </t>
  </si>
  <si>
    <t xml:space="preserve"> This field maintains the adjustment made to the financial position based on fluctuations in foreign exchange markets.</t>
  </si>
  <si>
    <t xml:space="preserve"> FOREIGN EXCHANGE BASE EQUIVALENT ADJUSTMENT </t>
  </si>
  <si>
    <t xml:space="preserve"> This field records the modification applied to base currency equivalents due to exchange rate variations.</t>
  </si>
  <si>
    <t xml:space="preserve"> This field stores predefined constant values used in exchange rate calculations for stability and reference.</t>
  </si>
  <si>
    <t xml:space="preserve"> ROUNDED DEBIT AMOUNT ADJUSTMENT </t>
  </si>
  <si>
    <t xml:space="preserve"> ROUNDED CREDIT AMOUNT ADJUSTMENT </t>
  </si>
  <si>
    <t xml:space="preserve"> CONSTANT VALUE </t>
  </si>
  <si>
    <t>Bank OF England Flag</t>
  </si>
  <si>
    <t xml:space="preserve"> This field stores the reference used for identifying telex related exchange rate transactions, ensuring accurate communication and processing.</t>
  </si>
  <si>
    <t xml:space="preserve">TELEX LOOKUP INDICATOR </t>
  </si>
  <si>
    <t xml:space="preserve">TRANSACTION LIMIT FOR EXCHANGE </t>
  </si>
  <si>
    <t>This field maintains the number of decimal places defined for this currency.
Valid values are: 0-3.</t>
  </si>
  <si>
    <t>BASE CODE</t>
  </si>
  <si>
    <t>RATE 1</t>
  </si>
  <si>
    <t>RATE 2</t>
  </si>
  <si>
    <t>RATE 3</t>
  </si>
  <si>
    <t>RATE 4</t>
  </si>
  <si>
    <t>This field maintain BASE CODE</t>
  </si>
  <si>
    <t xml:space="preserve"> CHANGE INDICATOR FLAG </t>
  </si>
  <si>
    <t xml:space="preserve"> CALCULATION TYPE </t>
  </si>
  <si>
    <t>LIMIT 1</t>
  </si>
  <si>
    <t>LIMIT 2</t>
  </si>
  <si>
    <t>LIMIT 3</t>
  </si>
  <si>
    <t>LIMIT 4</t>
  </si>
  <si>
    <t xml:space="preserve"> TRANSACTION CODE </t>
  </si>
  <si>
    <t xml:space="preserve"> DATA ENTRY FLAG </t>
  </si>
  <si>
    <t xml:space="preserve"> DEBIT OR CREDIT INDICATOR </t>
  </si>
  <si>
    <t xml:space="preserve"> SELFBALANCING CODE FLAG </t>
  </si>
  <si>
    <t xml:space="preserve"> This field stores whether the transaction is self balancing within the financial records.</t>
  </si>
  <si>
    <t xml:space="preserve"> NARRATIVE CODE FLAG </t>
  </si>
  <si>
    <t xml:space="preserve"> This field maintains whether narrative codes are applied to provide additional transaction details.</t>
  </si>
  <si>
    <t xml:space="preserve"> CONTRA NARRATIVE CODE FLAG </t>
  </si>
  <si>
    <t xml:space="preserve"> This field records the indicator for contra side narrative assignment in transactions.</t>
  </si>
  <si>
    <t xml:space="preserve"> FIXED TRANSACTION NARRATIVE </t>
  </si>
  <si>
    <t xml:space="preserve"> This field stores predefined transaction descriptions that remain unchanged.</t>
  </si>
  <si>
    <t xml:space="preserve"> OPPOSITE TRANSACTION TYPE </t>
  </si>
  <si>
    <t xml:space="preserve"> This field maintains the corresponding transaction type when a contra entry is generated.</t>
  </si>
  <si>
    <t xml:space="preserve"> INTERBANK TRANSACTION INDICATOR </t>
  </si>
  <si>
    <t xml:space="preserve"> This field records whether the transaction occurs between different banks.</t>
  </si>
  <si>
    <t xml:space="preserve"> TRANSACTION CLASSIFICATION FLAG </t>
  </si>
  <si>
    <t xml:space="preserve"> This field stores the classification assigned to different transaction categories.</t>
  </si>
  <si>
    <t xml:space="preserve"> INTEREST RATE MATURITY DATE FLAG </t>
  </si>
  <si>
    <t xml:space="preserve"> This field maintains whether the transaction impacts maturitybased interest calculations.</t>
  </si>
  <si>
    <t xml:space="preserve"> STOPPED PAYMENT INDICATOR </t>
  </si>
  <si>
    <t xml:space="preserve"> This field records whether the transaction has been flagged as a stopped payment request.</t>
  </si>
  <si>
    <t xml:space="preserve"> SINGLE CONTRA INDICATOR </t>
  </si>
  <si>
    <t xml:space="preserve"> This field stores whether a single contra entry is required for balancing.</t>
  </si>
  <si>
    <t xml:space="preserve"> AUTOMATIC DATE FLAG </t>
  </si>
  <si>
    <t xml:space="preserve"> This field maintains whether the transaction date is system generated automatically.</t>
  </si>
  <si>
    <t xml:space="preserve"> CLOSING INTEREST APPLICATION FLAG </t>
  </si>
  <si>
    <t xml:space="preserve"> This field records whether closing interest calculations apply to the transaction.</t>
  </si>
  <si>
    <t xml:space="preserve"> SERVICE FEE APPLICABILITY FLAG </t>
  </si>
  <si>
    <t xml:space="preserve"> This field stores whether service charges apply to the transaction.</t>
  </si>
  <si>
    <t xml:space="preserve"> ADVANCED TRANSACTION FORMAT </t>
  </si>
  <si>
    <t xml:space="preserve"> This field maintains whether advanced formatting is required for processing the transaction.</t>
  </si>
  <si>
    <t xml:space="preserve"> AUTOMATIC CONTRA ACCOUNT NUMBER </t>
  </si>
  <si>
    <t xml:space="preserve"> This field records the contra account number assigned automatically.</t>
  </si>
  <si>
    <t xml:space="preserve"> NEW ACCOUNT INDICATOR </t>
  </si>
  <si>
    <t xml:space="preserve"> This field stores whether the transaction involves the creation of a new account.</t>
  </si>
  <si>
    <t xml:space="preserve"> CONTRA TRANSACTION CONFIRMATION FLAG </t>
  </si>
  <si>
    <t xml:space="preserve"> This field maintains whether confirmation is required for contra entries.</t>
  </si>
  <si>
    <t xml:space="preserve"> AUTOMATIC REFERENCE NUMBER FLAG </t>
  </si>
  <si>
    <t xml:space="preserve"> This field records whether a system generated reference number is assigned.</t>
  </si>
  <si>
    <t xml:space="preserve"> ACCOUNT LIMIT CHECK FLAG </t>
  </si>
  <si>
    <t xml:space="preserve"> This field stores whether the transaction must undergo an account limit check.</t>
  </si>
  <si>
    <t xml:space="preserve"> INTEREST AMOUNT CROSS CHECK FLAG </t>
  </si>
  <si>
    <t xml:space="preserve"> This field maintains whether cross verification of interest amounts is required.</t>
  </si>
  <si>
    <t xml:space="preserve"> MONEY MARKET DEAL FLAG </t>
  </si>
  <si>
    <t xml:space="preserve"> This field records whether the transaction is linked to a money market operation.</t>
  </si>
  <si>
    <t xml:space="preserve"> TELEX EXTRACT TRANSACTION TYPE </t>
  </si>
  <si>
    <t xml:space="preserve"> This field stores the classification of transactions processed via telex extraction.</t>
  </si>
  <si>
    <t xml:space="preserve"> REVERSAL TRANSACTION FLAG </t>
  </si>
  <si>
    <t xml:space="preserve"> LIMITED TRANSACTION FLAG </t>
  </si>
  <si>
    <t xml:space="preserve"> This field records whether the transaction is subject to specific financial limits.</t>
  </si>
  <si>
    <t xml:space="preserve"> ACTIVE MAIN TRANSACTION FLAG </t>
  </si>
  <si>
    <t xml:space="preserve"> This field stores whether the transaction is part of active main ledger entries.</t>
  </si>
  <si>
    <t xml:space="preserve"> CANCELLATION TRANSACTION FLAG </t>
  </si>
  <si>
    <t xml:space="preserve"> This field maintains whether the transaction involves cancellation processing.</t>
  </si>
  <si>
    <t xml:space="preserve"> STATEMENT REPORTING FLAG </t>
  </si>
  <si>
    <t xml:space="preserve"> This field records whether the transaction must be included in financial statements.</t>
  </si>
  <si>
    <t xml:space="preserve"> MULTICURRENCY TRANSACTION FLAG </t>
  </si>
  <si>
    <t xml:space="preserve"> PARTIAL NARRATIVE LENGTH CONTROL </t>
  </si>
  <si>
    <t xml:space="preserve"> This field maintains the number of characters allowed in transaction narratives.</t>
  </si>
  <si>
    <t xml:space="preserve"> TRANSACTION MEMO NOTE </t>
  </si>
  <si>
    <t xml:space="preserve"> This field records any additional memo details relevant to the transaction.</t>
  </si>
  <si>
    <t xml:space="preserve"> SYNDICATED LOAN AUTO PROCESS FLAG </t>
  </si>
  <si>
    <t xml:space="preserve"> This field stores whether the transaction is linked to an automated syndicated loan process.</t>
  </si>
  <si>
    <t xml:space="preserve"> SYNDICATED LOAN MEMO BALANCE </t>
  </si>
  <si>
    <t xml:space="preserve"> This field maintains memo balances for syndicated loan transactions.</t>
  </si>
  <si>
    <t xml:space="preserve"> FINAL MATURITY TRANSACTION FLAG </t>
  </si>
  <si>
    <t xml:space="preserve"> This field records whether the transaction affects maturity based adjustments.</t>
  </si>
  <si>
    <t xml:space="preserve"> ACTIVE CONTRA TRANSACTION FLAG </t>
  </si>
  <si>
    <t xml:space="preserve"> This field stores whether the contra entry is actively tracked.</t>
  </si>
  <si>
    <t xml:space="preserve"> BLOCKED TRANSACTION FLAG </t>
  </si>
  <si>
    <t xml:space="preserve"> This field maintains whether the transaction is restricted or flagged for review.</t>
  </si>
  <si>
    <t xml:space="preserve"> TRANSACTION CLEARING PERIOD </t>
  </si>
  <si>
    <t xml:space="preserve"> This field records the duration required for clearing the transaction in the system.</t>
  </si>
  <si>
    <t xml:space="preserve"> END OF DAY PROCESSING FLAG </t>
  </si>
  <si>
    <t xml:space="preserve"> This field stores whether the transaction is included in end of day accounting.</t>
  </si>
  <si>
    <t xml:space="preserve"> BILLS &amp; CERTIFICATES INDICATOR </t>
  </si>
  <si>
    <t xml:space="preserve"> This field maintains whether the transaction involves bills or certificates of deposit.</t>
  </si>
  <si>
    <t xml:space="preserve"> OUTSTANDING TRANSACTION FLAG </t>
  </si>
  <si>
    <t xml:space="preserve"> This field records whether the transaction remains outstanding.</t>
  </si>
  <si>
    <t xml:space="preserve"> UNRECONCILED TRANSACTION FLAG </t>
  </si>
  <si>
    <t xml:space="preserve"> This field stores whether the transaction has not been reconciled within the financial books.</t>
  </si>
  <si>
    <t xml:space="preserve"> PASSBOOK PRINTING FLAG </t>
  </si>
  <si>
    <t xml:space="preserve"> This field maintains whether the transaction must be printed in the passbook.</t>
  </si>
  <si>
    <t xml:space="preserve"> SWIFT MESSAGE TYPE CODE </t>
  </si>
  <si>
    <t xml:space="preserve"> This field records the SWIFT message classification for international fund transfers.</t>
  </si>
  <si>
    <t xml:space="preserve"> CORRESPONDENT BANK FLAG </t>
  </si>
  <si>
    <t xml:space="preserve"> This field stores whether the transaction involves correspondent banking operations.</t>
  </si>
  <si>
    <t xml:space="preserve"> TRANSACTION LIMIT INDICATOR </t>
  </si>
  <si>
    <t xml:space="preserve"> This field maintains the maximum permitted transaction amount for compliance.</t>
  </si>
  <si>
    <t xml:space="preserve"> SORT CODE REQUIREMENT FLAG </t>
  </si>
  <si>
    <t xml:space="preserve"> This field records whether a sort code is required for processing.</t>
  </si>
  <si>
    <t xml:space="preserve"> VAT TRANSACTION INDICATOR </t>
  </si>
  <si>
    <t xml:space="preserve"> This field stores whether value added tax (VAT) applies to the transaction.</t>
  </si>
  <si>
    <t xml:space="preserve"> TRANSACTION AMOUNT ROUNDING FLAG </t>
  </si>
  <si>
    <t xml:space="preserve"> This field maintains whether rounding rules are applied to the transaction amount.</t>
  </si>
  <si>
    <t>LOAN ACCOUNT TYPE 1</t>
  </si>
  <si>
    <t>LOAN ACCOUNT TYPE 2</t>
  </si>
  <si>
    <t>LOAN ACCOUNT TYPE 3</t>
  </si>
  <si>
    <t>LOAN ACCOUNT TYPE 4</t>
  </si>
  <si>
    <t>LOAN ACCOUNT TYPE 5</t>
  </si>
  <si>
    <t>LOAN ACCOUNT TYPE 6</t>
  </si>
  <si>
    <t>LOAN ACCOUNT TYPE 7</t>
  </si>
  <si>
    <t>LOAN ARREARS RECORD 1</t>
  </si>
  <si>
    <t xml:space="preserve"> This fields store different classifications of loan accounts, defining their specific characteristics and processing rules.</t>
  </si>
  <si>
    <t>This fields maintain details regarding overdue payments and arrears accumulated on different loan types.</t>
  </si>
  <si>
    <t>LOAN ARREARS RECORD 10</t>
  </si>
  <si>
    <t>LOAN ARREARS RECORD 2</t>
  </si>
  <si>
    <t>LOAN ARREARS RECORD 3</t>
  </si>
  <si>
    <t>LOAN ARREARS RECORD 4</t>
  </si>
  <si>
    <t>LOAN ARREARS RECORD 5</t>
  </si>
  <si>
    <t>LOAN ARREARS RECORD 6</t>
  </si>
  <si>
    <t>LOAN ARREARS RECORD 7</t>
  </si>
  <si>
    <t>LOAN ARREARS RECORD 8</t>
  </si>
  <si>
    <t>LOAN ARREARS RECORD 9</t>
  </si>
  <si>
    <t xml:space="preserve"> ACCOUNT TYPE </t>
  </si>
  <si>
    <t xml:space="preserve"> ACCOUNT TYPE DESCRIPTION </t>
  </si>
  <si>
    <t xml:space="preserve"> This field records a detailed explanation of the account type for reference purposes.</t>
  </si>
  <si>
    <t xml:space="preserve"> CREDIT CATEGORY CLASSIFICATION </t>
  </si>
  <si>
    <t xml:space="preserve"> This field stores the credit related classification assigned to the account type.</t>
  </si>
  <si>
    <t xml:space="preserve"> INTEREST CALCULATION METHOD </t>
  </si>
  <si>
    <t xml:space="preserve"> This field maintains the defined methodology for computing interest rates applicable to the account type.</t>
  </si>
  <si>
    <t>SUPRESS LIMIT CHECK</t>
  </si>
  <si>
    <t xml:space="preserve"> ENGLISH BRANCH NAME </t>
  </si>
  <si>
    <t xml:space="preserve"> ENGLISH BRANCH CITY </t>
  </si>
  <si>
    <t xml:space="preserve"> This field maintains the city location of the branch in English for geographical reference.</t>
  </si>
  <si>
    <t xml:space="preserve"> ADDITIONAL BRANCH DATA </t>
  </si>
  <si>
    <t xml:space="preserve"> This field records miscellaneous data related to branch operations or system configurations.</t>
  </si>
  <si>
    <t xml:space="preserve"> ARABIC BRANCH NAME </t>
  </si>
  <si>
    <t xml:space="preserve"> ARABIC BRANCH CITY </t>
  </si>
  <si>
    <t xml:space="preserve"> This field maintains the city location of the branch in Arabic for regional accuracy.</t>
  </si>
  <si>
    <t xml:space="preserve"> ALLOWABLE CODE FLAG </t>
  </si>
  <si>
    <t xml:space="preserve"> This field records a flag indicating whether specific operational codes are permitted for branch transactions.</t>
  </si>
  <si>
    <t xml:space="preserve"> STATEMENT PROCESSING DAY 1 </t>
  </si>
  <si>
    <t xml:space="preserve"> This field stores the first designated day for generating financial statements.</t>
  </si>
  <si>
    <t xml:space="preserve"> STATEMENT PROCESSING DAY 2 </t>
  </si>
  <si>
    <t xml:space="preserve"> This field maintains the second scheduled day for statement processing.</t>
  </si>
  <si>
    <t xml:space="preserve"> STATEMENT PROCESSING DAY 3 </t>
  </si>
  <si>
    <t xml:space="preserve"> This field records the third scheduled day for financial statement creation.</t>
  </si>
  <si>
    <t xml:space="preserve"> STATEMENT PROCESSING DAY 4 </t>
  </si>
  <si>
    <t xml:space="preserve"> This field stores the fourth allocated day for statement generation.</t>
  </si>
  <si>
    <t xml:space="preserve"> STATEMENT PROCESSING DAY 5 </t>
  </si>
  <si>
    <t xml:space="preserve"> This field maintains the fifth scheduled day for financial reporting.</t>
  </si>
  <si>
    <t xml:space="preserve"> STATEMENT PROCESSING DAY 6 </t>
  </si>
  <si>
    <t xml:space="preserve"> This field records the sixth designated day for transaction statement processing.</t>
  </si>
  <si>
    <t xml:space="preserve"> STATEMENT PROCESSING DAY 7 </t>
  </si>
  <si>
    <t xml:space="preserve"> This field stores the seventh scheduled day for branch statement execution.</t>
  </si>
  <si>
    <t xml:space="preserve"> STATEMENT PROCESSING DAY 8 </t>
  </si>
  <si>
    <t xml:space="preserve"> This field maintains the eighth day marked for financial documentation.</t>
  </si>
  <si>
    <t xml:space="preserve"> STATEMENT PROCESSING DAY 9 </t>
  </si>
  <si>
    <t xml:space="preserve"> This field records the ninth allocated day for statement processing operations.</t>
  </si>
  <si>
    <t xml:space="preserve"> STATEMENT PROCESSING FOR SPECIAL DAYS (A TO Z) </t>
  </si>
  <si>
    <t xml:space="preserve"> This field stores additional special case statement processing days beyond the usual sequence.</t>
  </si>
  <si>
    <t xml:space="preserve"> USER IDENTIFICATION </t>
  </si>
  <si>
    <t xml:space="preserve"> DATE &amp; TIME OF BLOCK REQUEST </t>
  </si>
  <si>
    <t xml:space="preserve"> This field records the timestamp when the card blocking action was initiated.</t>
  </si>
  <si>
    <t xml:space="preserve"> PENDING BLOCK STATUS </t>
  </si>
  <si>
    <t xml:space="preserve"> SUPERVISOR IDENTIFICATION </t>
  </si>
  <si>
    <t xml:space="preserve"> This field maintains the unique ID of the supervisor reviewing or approving the card block request.</t>
  </si>
  <si>
    <t xml:space="preserve"> BLOCKING ACTION TYPE </t>
  </si>
  <si>
    <t xml:space="preserve"> This field records the amount that has been restricted or frozen as part of the card blocking process.</t>
  </si>
  <si>
    <t xml:space="preserve"> PREVIOUS BLOCKED AMOUNT </t>
  </si>
  <si>
    <t xml:space="preserve"> This field stores the earlier amount that was blocked, if applicable, for historical tracking.</t>
  </si>
  <si>
    <t xml:space="preserve"> This field maintains any notes or instructions provided by the supervisor regarding the card block status.</t>
  </si>
  <si>
    <t xml:space="preserve"> CARDHOLDER NAME </t>
  </si>
  <si>
    <t xml:space="preserve"> This field records the name of the cardholder as printed on the card for verification.</t>
  </si>
  <si>
    <t xml:space="preserve"> INTERNAL CARD STATUS </t>
  </si>
  <si>
    <t xml:space="preserve"> EXTERNAL CARD STATUS </t>
  </si>
  <si>
    <t xml:space="preserve"> CARD OR ACCOUNT INDICATOR </t>
  </si>
  <si>
    <t xml:space="preserve"> LAST UPDATED BY USER </t>
  </si>
  <si>
    <t xml:space="preserve"> This field stores the user ID responsible for making the latest updates to the blocking record.</t>
  </si>
  <si>
    <t xml:space="preserve"> LAST UPDATE TIMESTAMP </t>
  </si>
  <si>
    <t xml:space="preserve"> This field maintains the exact date and time when the card block status was last modified.</t>
  </si>
  <si>
    <t xml:space="preserve"> This field maintains the unique identifier assigned to the general ledger associated with the memo.</t>
  </si>
  <si>
    <t xml:space="preserve"> LOAN ANALYSIS INDICATOR </t>
  </si>
  <si>
    <t xml:space="preserve"> This field records whether the memo is linked to loan related financial analysis.</t>
  </si>
  <si>
    <t xml:space="preserve"> FEE INCOME INDICATOR </t>
  </si>
  <si>
    <t xml:space="preserve"> This field stores whether the memo record involves fee based income generation.</t>
  </si>
  <si>
    <t xml:space="preserve"> MEMO DESCRIPTION </t>
  </si>
  <si>
    <t xml:space="preserve"> This field maintains the textual description of the memo record for clarity and reference.</t>
  </si>
  <si>
    <t xml:space="preserve"> FIRST INTEREST RECEIVED RECORD </t>
  </si>
  <si>
    <t xml:space="preserve"> This field stores an indicator identifying whether the memo is flagged for doubtful interest.</t>
  </si>
  <si>
    <t xml:space="preserve"> ARREARS MEMO </t>
  </si>
  <si>
    <t xml:space="preserve"> This field maintains details regarding overdue balances associated with the memo record.</t>
  </si>
  <si>
    <t xml:space="preserve"> ISLAMIC LOAN COMPLIANCE FLAG </t>
  </si>
  <si>
    <t xml:space="preserve"> This field records whether the memo adheres to Islamic finance regulations.</t>
  </si>
  <si>
    <t xml:space="preserve"> ZERO DEBIT INTEREST INDICATOR </t>
  </si>
  <si>
    <t xml:space="preserve"> This field stores whether debit interest is applicable in this memo record.</t>
  </si>
  <si>
    <t xml:space="preserve"> INTEREST PAID RECORD </t>
  </si>
  <si>
    <t xml:space="preserve"> This field maintains details of interest payments processed as part of the memo.</t>
  </si>
  <si>
    <t xml:space="preserve"> MEMO CATEGORY </t>
  </si>
  <si>
    <t xml:space="preserve"> This field records the classification of the memo based on financial reporting structure.</t>
  </si>
  <si>
    <t xml:space="preserve"> FINANCIAL ANALYSIS FLAG </t>
  </si>
  <si>
    <t xml:space="preserve"> This field stores whether the memo is associated with financial analysis operations.</t>
  </si>
  <si>
    <t xml:space="preserve"> DELETE INHIBIT FLAG </t>
  </si>
  <si>
    <t xml:space="preserve"> This field maintains whether the memo record can be removed or is restricted from deletion.</t>
  </si>
  <si>
    <t xml:space="preserve"> DOUBTFUL MEMO INDICATOR </t>
  </si>
  <si>
    <t xml:space="preserve"> This field records if the memo transaction is categorized under doubtful conditions.</t>
  </si>
  <si>
    <t xml:space="preserve"> PRIMARY INTEREST INCOME RECORD </t>
  </si>
  <si>
    <t xml:space="preserve"> This field stores the first level interest income recorded under the memo.</t>
  </si>
  <si>
    <t xml:space="preserve"> ADVANCED INTEREST RECORD </t>
  </si>
  <si>
    <t xml:space="preserve"> This field maintains details of advanced interest amounts applicable to the memo.</t>
  </si>
  <si>
    <t xml:space="preserve"> SECOND INTEREST RECEIVED RECORD </t>
  </si>
  <si>
    <t xml:space="preserve"> This field records additional interest received linked to the memo.</t>
  </si>
  <si>
    <t xml:space="preserve"> SECOND INTEREST PAID RECORD </t>
  </si>
  <si>
    <t xml:space="preserve"> This field stores additional interest payment records under the memo.</t>
  </si>
  <si>
    <t xml:space="preserve"> PRIMARY INTEREST EXPENSE RECORD </t>
  </si>
  <si>
    <t xml:space="preserve"> This field maintains the first level interest expense tracked in the memo.</t>
  </si>
  <si>
    <t xml:space="preserve"> SECOND INTEREST INCOME RECORD </t>
  </si>
  <si>
    <t xml:space="preserve"> This field records further interest income attributed to the memo transaction.</t>
  </si>
  <si>
    <t xml:space="preserve"> SECOND INTEREST EXPENSE RECORD </t>
  </si>
  <si>
    <t xml:space="preserve"> This field stores additional interest expense amounts recorded in the memo.</t>
  </si>
  <si>
    <t xml:space="preserve"> DEFAULT ACCOUNT ASSOCIATION </t>
  </si>
  <si>
    <t xml:space="preserve"> This field maintains the default financial account linked to the memo transaction.</t>
  </si>
  <si>
    <t xml:space="preserve"> RATE ADVISORY INDICATOR </t>
  </si>
  <si>
    <t xml:space="preserve"> This field records whether interest rate advisory applies to the memo.</t>
  </si>
  <si>
    <t xml:space="preserve"> This field stores the defined frequency for interest rate application.</t>
  </si>
  <si>
    <t xml:space="preserve"> INTEREST APPLICATION MONTH </t>
  </si>
  <si>
    <t xml:space="preserve"> This field maintains the month assigned for interest application as per the memo conditions.</t>
  </si>
  <si>
    <t xml:space="preserve"> INTEREST APPLICATION DAY </t>
  </si>
  <si>
    <t xml:space="preserve"> This field records the specific day assigned for applying interest rates based on the memo.</t>
  </si>
  <si>
    <t xml:space="preserve"> INTEREST APPLICATION TYPE </t>
  </si>
  <si>
    <t xml:space="preserve"> This field stores the method used for calculating and applying interest linked to the memo.</t>
  </si>
  <si>
    <t xml:space="preserve"> SECONDARY DOUBTFUL INTEREST FLAG </t>
  </si>
  <si>
    <t xml:space="preserve"> This field maintains additional doubtful indicators applied to the memo.</t>
  </si>
  <si>
    <t xml:space="preserve"> STATEMENT FREQUENCY CONTROL </t>
  </si>
  <si>
    <t xml:space="preserve"> This field records the frequency at which financial statements are generated based on memo transactions.</t>
  </si>
  <si>
    <t xml:space="preserve"> STATEMENT MONTH </t>
  </si>
  <si>
    <t xml:space="preserve"> This field stores the designated month assigned for statement reporting.</t>
  </si>
  <si>
    <t xml:space="preserve"> STATEMENT PROCESSING DAY </t>
  </si>
  <si>
    <t xml:space="preserve"> This field maintains the specific day when statement generation occurs.</t>
  </si>
  <si>
    <t xml:space="preserve"> LIMIT ENFORCEMENT FLAG </t>
  </si>
  <si>
    <t xml:space="preserve"> This field records whether financial limits are enforced on memo transactions.</t>
  </si>
  <si>
    <t xml:space="preserve"> CREDIT BASE VALUE </t>
  </si>
  <si>
    <t xml:space="preserve"> This field stores the base credit amount defined under memo transactions.</t>
  </si>
  <si>
    <t xml:space="preserve"> DEBIT BASE VALUE </t>
  </si>
  <si>
    <t xml:space="preserve"> This field maintains the base debit amount allocated in memo transactions.</t>
  </si>
  <si>
    <t xml:space="preserve"> CONFIRMATION ADVISORY FLAG </t>
  </si>
  <si>
    <t xml:space="preserve"> This field records whether transaction confirmation is required.</t>
  </si>
  <si>
    <t xml:space="preserve"> PROFIT &amp; LOSS DEBIT CODE </t>
  </si>
  <si>
    <t xml:space="preserve"> This field stores the debit code assigned for profit &amp; loss transactions.</t>
  </si>
  <si>
    <t xml:space="preserve"> PROFIT &amp; LOSS CREDIT CODE </t>
  </si>
  <si>
    <t xml:space="preserve"> This field maintains the credit code associated with profit &amp; loss transactions.</t>
  </si>
  <si>
    <t xml:space="preserve"> BALANCE SHEET DEBIT CODE </t>
  </si>
  <si>
    <t xml:space="preserve"> This field records the debit code used for balance sheet transactions.</t>
  </si>
  <si>
    <t xml:space="preserve"> BALANCE SHEET CREDIT CODE </t>
  </si>
  <si>
    <t xml:space="preserve"> This field stores the credit code applied to balance sheet transactions.</t>
  </si>
  <si>
    <t xml:space="preserve"> RECONCILIATION FLAG </t>
  </si>
  <si>
    <t xml:space="preserve"> This field maintains whether memo transactions require reconciliation.</t>
  </si>
  <si>
    <t xml:space="preserve"> BALANCE CHECK INDICATOR </t>
  </si>
  <si>
    <t xml:space="preserve"> This field records if memo transactions impact account balances.</t>
  </si>
  <si>
    <t xml:space="preserve"> INTEREST FLAG INDICATOR </t>
  </si>
  <si>
    <t xml:space="preserve"> This field stores whether interest application applies to memo records.</t>
  </si>
  <si>
    <t xml:space="preserve"> MATURITY STATUS FLAG </t>
  </si>
  <si>
    <t xml:space="preserve"> This field maintains whether the memo transaction has matured.</t>
  </si>
  <si>
    <t xml:space="preserve"> MEMO TYPE FLAG </t>
  </si>
  <si>
    <t xml:space="preserve"> This field records the classification type assigned to memo transactions.</t>
  </si>
  <si>
    <t xml:space="preserve"> MEMO SUB TYPE FLAG </t>
  </si>
  <si>
    <t xml:space="preserve"> MEMO FUND FLAG </t>
  </si>
  <si>
    <t xml:space="preserve"> This field records the classification type assigned to memo SUB type transactions.</t>
  </si>
  <si>
    <t xml:space="preserve"> This field records the classification type assigned to fund</t>
  </si>
  <si>
    <t xml:space="preserve"> This field stores the unique code identifying the branch where the account is created/modified.</t>
  </si>
  <si>
    <t xml:space="preserve"> This field indicates whether the account record is newly created or modified. N - New ; U - Update</t>
  </si>
  <si>
    <t xml:space="preserve"> SUPERVISOR ID</t>
  </si>
  <si>
    <t xml:space="preserve"> This field stores the ID of the supervisor employee iD who approved the creation / update.</t>
  </si>
  <si>
    <t xml:space="preserve"> This field indicates the current status of the account  during creation /update</t>
  </si>
  <si>
    <t xml:space="preserve"> CHECKBOOK REQUEST STATUS </t>
  </si>
  <si>
    <t xml:space="preserve"> This field tracks whether a checkbook is issued or requested for the account.</t>
  </si>
  <si>
    <t xml:space="preserve"> DROPPED ACCOUNT STATUS </t>
  </si>
  <si>
    <t xml:space="preserve"> ACCOUNT OPEN DATE </t>
  </si>
  <si>
    <t xml:space="preserve"> This field stores the date when the account was first opened.</t>
  </si>
  <si>
    <t xml:space="preserve"> This field records the date of the last update made to the account details.</t>
  </si>
  <si>
    <t xml:space="preserve">BANKMASTER UPDATE STATUS </t>
  </si>
  <si>
    <t xml:space="preserve"> This field holds any remarks or feedback provided by the supervisor regarding account maintenance.</t>
  </si>
  <si>
    <t xml:space="preserve"> INTEREST APPLICATION STATUS </t>
  </si>
  <si>
    <t xml:space="preserve"> CREDIT INTEREST RATE </t>
  </si>
  <si>
    <t xml:space="preserve"> DEBIT INTEREST RATE </t>
  </si>
  <si>
    <t xml:space="preserve"> This field holds a distinct number assigned to the account for tracking purposes.</t>
  </si>
  <si>
    <t xml:space="preserve"> UNIQUE SUB IDENTIFIER </t>
  </si>
  <si>
    <t xml:space="preserve"> This field stores a secondary unique identifier related to the account.</t>
  </si>
  <si>
    <t xml:space="preserve"> STATEMENT GENERATION DAY </t>
  </si>
  <si>
    <t xml:space="preserve"> This field determines the specific day of the month when account statements are generated. 0-Branch Statement Day ; 1 - Month End </t>
  </si>
  <si>
    <t xml:space="preserve"> ACCOUNT STATUS CHANGE INDICATOR </t>
  </si>
  <si>
    <t xml:space="preserve"> This field tracks whether the status of the account has been modified. 0-Not Changed ; 1-Changed</t>
  </si>
  <si>
    <t xml:space="preserve"> This field stores the original status of the account before any changes were made.</t>
  </si>
  <si>
    <t xml:space="preserve"> This field indicates the new status of the account after modifications.</t>
  </si>
  <si>
    <t xml:space="preserve"> ACCOUNT DESCRIPTION </t>
  </si>
  <si>
    <t xml:space="preserve"> This field provides additional descriptive information about the account.</t>
  </si>
  <si>
    <t xml:space="preserve"> INITIAL ACCOUNT STATUS </t>
  </si>
  <si>
    <t xml:space="preserve"> This field records the initial status assigned to the account upon creation.</t>
  </si>
  <si>
    <t xml:space="preserve"> SAMA ACCOUNT STATUS </t>
  </si>
  <si>
    <t xml:space="preserve"> This field maintains the account status as per regulatory requirements defined by SAMA (Saudi Arabian Monetary Authority).00-Open;01-Inactive;02-Dormant;03-Unclaimed</t>
  </si>
  <si>
    <t xml:space="preserve"> SAMA ACCOUNT STATUS CHANGE INDICATOR </t>
  </si>
  <si>
    <t xml:space="preserve"> This field tracks whether the SAMA account status has been modified. 0-Not Changed ; 1-Changed</t>
  </si>
  <si>
    <t xml:space="preserve"> PREVIOUS SAMA ACCOUNT STATUS </t>
  </si>
  <si>
    <t xml:space="preserve"> This field stores the original regulatory status of the account.</t>
  </si>
  <si>
    <t xml:space="preserve"> UPDATED SAMA ACCOUNT STATUS </t>
  </si>
  <si>
    <t xml:space="preserve"> This field indicates the new regulatory status after modifications.</t>
  </si>
  <si>
    <t xml:space="preserve"> INITIAL SAMA ACCOUNT STATUS </t>
  </si>
  <si>
    <t xml:space="preserve"> This field records the initial SAMA status assigned to the account upon creation.</t>
  </si>
  <si>
    <t xml:space="preserve"> This field provides the reason for the modification in account status.</t>
  </si>
  <si>
    <t xml:space="preserve"> DORMANT ACCOUNT ACTIVATION UPDATE </t>
  </si>
  <si>
    <t xml:space="preserve"> This field tracks whether a dormant account has been reactivated.0-No(Normal Update) ; 1-Yes(Updated to remove dormant restriction)</t>
  </si>
  <si>
    <t xml:space="preserve"> ACCOUNT CREDIT LIMIT </t>
  </si>
  <si>
    <t xml:space="preserve"> This field maintains the maximum credit limit available on the account.</t>
  </si>
  <si>
    <t xml:space="preserve"> INTEREST FREQUENCY CODE </t>
  </si>
  <si>
    <t xml:space="preserve"> This field specifies how often interest is applied to the account.</t>
  </si>
  <si>
    <t xml:space="preserve"> This field indicates the specific day of the month when interest is applied.</t>
  </si>
  <si>
    <t xml:space="preserve"> INACTIVE ACCOUNT FLAG </t>
  </si>
  <si>
    <t xml:space="preserve"> This field marks whether the account is inactive in the system. 0-Not dormant ; 1-dormant</t>
  </si>
  <si>
    <t xml:space="preserve"> SAMA BLOCKED ACCOUNT STATUS CHANGE INDICATOR </t>
  </si>
  <si>
    <t xml:space="preserve"> This field tracks modifications in the SAMA.
 Valid Values are: 01-YES;0-NO .
 This is set as "1" when Branch admin lift the a/c status   for a sama blocked account </t>
  </si>
  <si>
    <t xml:space="preserve"> This field stores the identifier of the user who last modified the account details.</t>
  </si>
  <si>
    <t xml:space="preserve"> This field maintains the timestamp for the last modification of the account record</t>
  </si>
  <si>
    <t>transCounter</t>
  </si>
  <si>
    <t xml:space="preserve">TRANSACTION COUNTER </t>
  </si>
  <si>
    <t>The transaction counter is used to locate the
record within the file.</t>
  </si>
  <si>
    <t>KEY</t>
  </si>
  <si>
    <t>Yes</t>
  </si>
  <si>
    <t>Key</t>
  </si>
  <si>
    <t>Key2</t>
  </si>
  <si>
    <t>Key1</t>
  </si>
  <si>
    <t xml:space="preserve">UNIQUE NUMBER </t>
  </si>
  <si>
    <t>DATE &amp; TIME</t>
  </si>
  <si>
    <t>date and Time of transcaction</t>
  </si>
  <si>
    <t>KEY1</t>
  </si>
  <si>
    <t>KEY2</t>
  </si>
  <si>
    <t>KEY3</t>
  </si>
  <si>
    <t>This field stores the current processing status of the fund transfer.S-Create Skeleton/ I-Issued/ V-Verified/ C-Confirmed/ D-Cancelled/ P-Stopped/ O-Dormant/ R-Repurchased/ T-Settled/Cleared</t>
  </si>
  <si>
    <t>This field maintains the finalized status of the fund transfer 0-Initialised; 1-Direct Transfer; 2-SWIFT/Telex; 3-Postal/Fax; 4-Telephone</t>
  </si>
  <si>
    <t xml:space="preserve">This field maintains any secondary status flag related to the transaction. T - Settled </t>
  </si>
  <si>
    <t xml:space="preserve">Key2 </t>
  </si>
  <si>
    <t>Key 1</t>
  </si>
  <si>
    <t>Key 2</t>
  </si>
  <si>
    <t>File Description</t>
  </si>
  <si>
    <t>Account number which is formed as below:
CCMMMNNNNNNNSS
DIGITS DESCRIPTION
1-2 Currency Reference (CC).
3-5 Memorandum Account Reference(MMM).
6-12 Customer or Ledger Account Reference (NNNNNNN).
13-14 Sub-account Reference (SS)</t>
  </si>
  <si>
    <t>K1,1</t>
  </si>
  <si>
    <t>K3,3</t>
  </si>
  <si>
    <t>K1,2</t>
  </si>
  <si>
    <t>K1,3</t>
  </si>
  <si>
    <t>K2,2</t>
  </si>
  <si>
    <t>K2,1</t>
  </si>
  <si>
    <t>K3,1</t>
  </si>
  <si>
    <t>KEY4</t>
  </si>
  <si>
    <t>K4,1</t>
  </si>
  <si>
    <t>KEYS</t>
  </si>
  <si>
    <t>Sub Ledger Memo Code (Currency Plus Memo)</t>
  </si>
  <si>
    <t>Credit Balance INTEREST</t>
  </si>
  <si>
    <t xml:space="preserve"> Debit Balance INTEREST</t>
  </si>
  <si>
    <t>K2,3</t>
  </si>
  <si>
    <t>K3,2</t>
  </si>
  <si>
    <t>K4,2</t>
  </si>
  <si>
    <t>K4,3</t>
  </si>
  <si>
    <t>16,3. Decimal precision is currency dependent</t>
  </si>
  <si>
    <t xml:space="preserve">Valid values are:
0 Capitalise (i.e. credit/debit the amount
toffrom the account which accrued the
interest).
1 Pay to another account.
2 Payby cheque.
3 Memorandum interest only. (This value
is calculated for reporting purposes
only. Itis not applied to any account).
4 Capitalise and leave resulting balances
on the account. 
5 Principal to Pay Account. Interest to
Nostro.
6 Principal to Matching Account. Interest
to Pay Account. </t>
  </si>
  <si>
    <t>If the Interest Received accounts are not
defined at memo level then this will be one
of 6 accounts used. When debit interest is
applied to a customer account, the opposite
amount is credited to either this or one of
the other Interest Received accounts. The
account used is determined by the
INTEREST RECEIVED POINTER’ field on the interest accruing General Ledger
detail account.
See the "INTEREST RECEIVED
POINTER’ field in the Detail General
Ledger record.</t>
  </si>
  <si>
    <t>K1,4</t>
  </si>
  <si>
    <t>K3,4</t>
  </si>
  <si>
    <t>BRANCH CODE (PART OF KEY)</t>
  </si>
  <si>
    <t xml:space="preserve">This field stores the classification of the branch </t>
  </si>
  <si>
    <t>This field maintains the preferred language setting associated with the branch.</t>
  </si>
  <si>
    <t>This field stores the starting number of the defined customer  range.</t>
  </si>
  <si>
    <t>This field holds the final number of the customer range.</t>
  </si>
  <si>
    <t>This field stores the initial number of the defined next cutomer range from .</t>
  </si>
  <si>
    <t>This field holds the final number of the next customer range, marking its limit.</t>
  </si>
  <si>
    <t>This field stores the most recent starter cheque number .</t>
  </si>
  <si>
    <t>This field maintains the highest possible starter cheque book can be issued.</t>
  </si>
  <si>
    <t>This field stores the indicator determining whether any accrued exceptions exist for the branch.</t>
  </si>
  <si>
    <t xml:space="preserve">MEMO CODE </t>
  </si>
  <si>
    <t xml:space="preserve"> This field records interest  received memo code.</t>
  </si>
  <si>
    <t>This field stores thebranch code where the account belongs.</t>
  </si>
  <si>
    <t xml:space="preserve"> This field stores the repayment date for loan repayment </t>
  </si>
  <si>
    <t>REPAYMENT AMOUNT DUE</t>
  </si>
  <si>
    <t xml:space="preserve"> This field maintains the due  repayment amount so far</t>
  </si>
  <si>
    <t xml:space="preserve"> PRINCIPAL  AMOUNT DUE</t>
  </si>
  <si>
    <t xml:space="preserve"> This field contains the  principal amount due so far.</t>
  </si>
  <si>
    <t xml:space="preserve"> This field stores the portion of the principal loan amount that has been repaid so far.</t>
  </si>
  <si>
    <t>This field maintains the calculated penalty interest amount</t>
  </si>
  <si>
    <t xml:space="preserve">PENALTY ACCURED INTEREST
</t>
  </si>
  <si>
    <t>This field maintains the branch sort code</t>
  </si>
  <si>
    <t>NOTE: We select only DR (Detail Recod)</t>
  </si>
  <si>
    <t xml:space="preserve"> This field maintains the branch code where the accounts belong.</t>
  </si>
  <si>
    <t xml:space="preserve"> This field records the number of accounts linked to this memo and branch.</t>
  </si>
  <si>
    <t xml:space="preserve"> SUSPENSE ACCOUNT NUMBER </t>
  </si>
  <si>
    <t>Reamrks</t>
  </si>
  <si>
    <t xml:space="preserve"> This field maintains the Remarks it contain some Valis data</t>
  </si>
  <si>
    <t>Values BS, PL and CT</t>
  </si>
  <si>
    <t>This field maintains a 4 digit branch
number</t>
  </si>
  <si>
    <t xml:space="preserve">BalanceSheet/ProfitAndLoss/Ledger </t>
  </si>
  <si>
    <t>Has Balance sheet code for BS record, Profilt and Loss code for PL record and Ledger code for CT records.</t>
  </si>
  <si>
    <t xml:space="preserve">INDICATOR STATUS   </t>
  </si>
  <si>
    <t>E and R for Balance sheet and L and R for P&amp;L.</t>
  </si>
  <si>
    <t xml:space="preserve">CURRENT SAR BALANCE </t>
  </si>
  <si>
    <t xml:space="preserve"> CURRENT FX BALANCE  </t>
  </si>
  <si>
    <t xml:space="preserve"> This field maintains the current SAR balance at branch and bsCode level</t>
  </si>
  <si>
    <t xml:space="preserve"> CURRENT DATE</t>
  </si>
  <si>
    <t xml:space="preserve">END OF MONTH SAR BALANCE </t>
  </si>
  <si>
    <t xml:space="preserve">END OF MONTH FX BALANCE    </t>
  </si>
  <si>
    <t xml:space="preserve">PREVIOUS MONTH SAR BALANCE </t>
  </si>
  <si>
    <t xml:space="preserve">PREVIOUS MONTH CURRENT FX BALANCE  </t>
  </si>
  <si>
    <t xml:space="preserve"> This field maintains the end of month SAR balance at branch and bsCode level</t>
  </si>
  <si>
    <t xml:space="preserve"> This field maintains the end of month FX balance  at branch and bsCode level</t>
  </si>
  <si>
    <t xml:space="preserve"> This field maintains the previous month SAR balance at branch and bsCode level</t>
  </si>
  <si>
    <t xml:space="preserve"> This field maintains the previous month FX balance  at branch and bsCode level</t>
  </si>
  <si>
    <t xml:space="preserve"> This field maintains the current FX balance  at branch and bsCode level</t>
  </si>
  <si>
    <t>K1,5</t>
  </si>
  <si>
    <t>K2,4</t>
  </si>
  <si>
    <t>The branch initiated the card blocking</t>
  </si>
  <si>
    <t xml:space="preserve"> This field maintains the user ID who  initiated the card block request.</t>
  </si>
  <si>
    <t xml:space="preserve"> This field records the unique number of the blocked card </t>
  </si>
  <si>
    <t xml:space="preserve"> This field stores the account number linked to the blocked card.</t>
  </si>
  <si>
    <t xml:space="preserve"> This field stores the current pending status of the card blocking request, indicating if further actions are required. 
 1-Pending with supervisor
 2-Pending with CSO 
 3-Rejected
 9-completed</t>
  </si>
  <si>
    <t xml:space="preserve"> This field maintains the specific blocking action taken
 N-New blocking 
 A-Amend 
 D-Deleted </t>
  </si>
  <si>
    <t xml:space="preserve"> This field records whether the block applies specifically to the card or the linked account.C-Credit card
A-Account  </t>
  </si>
  <si>
    <t>This field contains the number of days in the year which will be used by interest accrual and application for this currency. It will be set to either 360 or 365.</t>
  </si>
  <si>
    <t>CURRENCYCODE</t>
  </si>
  <si>
    <t>CURRENCY SHORT  CODE</t>
  </si>
  <si>
    <t>Memorandum Account Reference(MMM)</t>
  </si>
  <si>
    <t>Currency Reference (CC)</t>
  </si>
  <si>
    <t xml:space="preserve"> This field stores the internal card status of the card within the FDI system.</t>
  </si>
  <si>
    <t xml:space="preserve"> This field maintains the card’s external status maintained in FDI system.</t>
  </si>
  <si>
    <t>This field contain unique sequence number</t>
  </si>
  <si>
    <t xml:space="preserve"> This field maintains the reference number assigned by the branch master for tracking purposes.</t>
  </si>
  <si>
    <t xml:space="preserve"> BANK MASTER REFERENCE NUMBER </t>
  </si>
  <si>
    <t xml:space="preserve">BUSINESS   DATE </t>
  </si>
  <si>
    <t xml:space="preserve"> This field maintains the current processing status of the transaction </t>
  </si>
  <si>
    <t xml:space="preserve"> This field maintains the category of the account.</t>
  </si>
  <si>
    <t>LIMIT CODE 1</t>
  </si>
  <si>
    <t>LIMIT CODE 2</t>
  </si>
  <si>
    <t>LIMIT CODE 3</t>
  </si>
  <si>
    <t>LIMIT CODE 4</t>
  </si>
  <si>
    <t>LIMIT CODE 5</t>
  </si>
  <si>
    <t xml:space="preserve"> This field records the limit code 1</t>
  </si>
  <si>
    <t xml:space="preserve"> This field records the limit code 2</t>
  </si>
  <si>
    <t xml:space="preserve"> This field records the limit code 3</t>
  </si>
  <si>
    <t xml:space="preserve"> This field records the limit code 4</t>
  </si>
  <si>
    <t xml:space="preserve"> This field records the limit code 5</t>
  </si>
  <si>
    <t>12,0</t>
  </si>
  <si>
    <t>Change flag indicator</t>
  </si>
  <si>
    <t>Tired flag</t>
  </si>
  <si>
    <t xml:space="preserve"> TIERED FLAG</t>
  </si>
  <si>
    <t>Calculation type</t>
  </si>
  <si>
    <t>This field maintains the base interest rate code1.</t>
  </si>
  <si>
    <t>This field maintains the base interest rate code 2.</t>
  </si>
  <si>
    <t>This field maintains the base interest rate code 3.</t>
  </si>
  <si>
    <t>This field maintains the base interest rate code 4.</t>
  </si>
  <si>
    <t>Limit for rate code 1</t>
  </si>
  <si>
    <t>Limit for rate code 2</t>
  </si>
  <si>
    <t>Limit for rate code 3</t>
  </si>
  <si>
    <t>Limit for rate code 4</t>
  </si>
  <si>
    <t>RecordKey</t>
  </si>
  <si>
    <t>CL0000</t>
  </si>
  <si>
    <t>This field maintains the currency code</t>
  </si>
  <si>
    <t>This field maintains the monetary value deposited in the  deposit account.</t>
  </si>
  <si>
    <t xml:space="preserve">This field maintains the default margin </t>
  </si>
  <si>
    <t>16,3 decimal place currency depdendent</t>
  </si>
  <si>
    <t xml:space="preserve">This field maintains the minimum margin </t>
  </si>
  <si>
    <t xml:space="preserve">This field maintains the maximum margin </t>
  </si>
  <si>
    <t>recordKey</t>
  </si>
  <si>
    <t>Record Key</t>
  </si>
  <si>
    <t>SP0000</t>
  </si>
  <si>
    <t>FX TOLERENCE</t>
  </si>
  <si>
    <t>FX Tollerence percentage</t>
  </si>
  <si>
    <t>Transaction type code</t>
  </si>
  <si>
    <t>Transaction type description.</t>
  </si>
  <si>
    <t>Alpha numeric transaction code.</t>
  </si>
  <si>
    <t xml:space="preserve"> This field maintains data entry flag</t>
  </si>
  <si>
    <t>Reconciliation transaction type. 2- settelement transaction.</t>
  </si>
  <si>
    <t>Thid field indicate if this transaction type is allowed for multi currency .</t>
  </si>
  <si>
    <t xml:space="preserve"> This field maintains debit credit flag.</t>
  </si>
  <si>
    <t>This field maintains the 3 character alpha currency code. For example: USD United States Dollar.
IEP Irish Punt. GBP Sterling.</t>
  </si>
  <si>
    <t xml:space="preserve">This field maintains the 30 character name  associated with this currency. </t>
  </si>
  <si>
    <t>Account number used in cheque related transactions.</t>
  </si>
  <si>
    <t>Not used</t>
  </si>
  <si>
    <t>Suspense account for this currency</t>
  </si>
  <si>
    <t xml:space="preserve"> This field maintains the rounding adjustment applied to debit amounts </t>
  </si>
  <si>
    <t xml:space="preserve"> This field records the rounding adjustment applied to credit amounts </t>
  </si>
  <si>
    <t xml:space="preserve">This field maintains the currency to which this record relates. </t>
  </si>
  <si>
    <t>Primary account number</t>
  </si>
  <si>
    <t>fundRateCatgNoDays1</t>
  </si>
  <si>
    <t>fundRateCatgDrFundRt1</t>
  </si>
  <si>
    <t>Customer Number</t>
  </si>
  <si>
    <t>This field is introduced for index purpose on Cloudera</t>
  </si>
  <si>
    <t>Ledger code</t>
  </si>
  <si>
    <t xml:space="preserve"> LAST UPDATED BY BANK MASTER DATE </t>
  </si>
  <si>
    <t xml:space="preserve"> Maintains the timestamp of the most recent modification made by the BANK MASTER.</t>
  </si>
  <si>
    <t xml:space="preserve"> LAST BANK MASTER UPDATE DATE </t>
  </si>
  <si>
    <t>This field records the latest date the BANK MASTER updated the heir information.</t>
  </si>
  <si>
    <t xml:space="preserve"> BANK MASTER UPDATE STATUS </t>
  </si>
  <si>
    <t>This field maintains the last update date by the BANK MASTER for the joint account.</t>
  </si>
  <si>
    <t>This field maintains the latest date the BANK MASTER updated the signatory information.</t>
  </si>
  <si>
    <t>This field stores whether the BANK MASTER has reviewed or updated the term deposit record.</t>
  </si>
  <si>
    <t xml:space="preserve"> BANK MASTER ACCOUNT NUMBER </t>
  </si>
  <si>
    <t xml:space="preserve"> BANK MASTER BRANCH CODE </t>
  </si>
  <si>
    <t xml:space="preserve">BranchCode </t>
  </si>
  <si>
    <t>CurrnecyCode</t>
  </si>
  <si>
    <t>This field maintains the detailed Arabic description of the memo .</t>
  </si>
  <si>
    <t>This field records the English version of the memo description .</t>
  </si>
  <si>
    <t>This field contains the code representing the credit balance sheet code</t>
  </si>
  <si>
    <t>This field stores the code identifying the debit balance sheet code.</t>
  </si>
  <si>
    <t>This field defines whether the memo is associated with a variable interest rate adjustment.
0-No, 1-Yes</t>
  </si>
  <si>
    <t>This field maintains the classification of the financial product linked to the memo record. Valid values 
  1-fixture multiMaturity
 2-single maturity
 3-variable account
 4-Internal account
 5-FixedAssetAccount
6-Maturities.</t>
  </si>
  <si>
    <t>This field stores whether the memo record pertains to consumer loan related accounts.
1- Consumer Loans</t>
  </si>
  <si>
    <t xml:space="preserve">This field maintain process flag. </t>
  </si>
  <si>
    <t>BANKMASTER DATE</t>
  </si>
  <si>
    <t xml:space="preserve">BANKMASTER REFERENCE </t>
  </si>
  <si>
    <t>This field holds the BANKMASTER REFERENCE.</t>
  </si>
  <si>
    <t>This field maintains the amount of the transaction. Decimal places are currency dependent.</t>
  </si>
  <si>
    <t>CH- Stopped Cheque/SP-Stopped Payment</t>
  </si>
  <si>
    <t>Bankmaster account number</t>
  </si>
  <si>
    <t xml:space="preserve"> CHEQUE NUMBER / STOP PAYMENT REF NUMBER</t>
  </si>
  <si>
    <t>Has the cheque number for CH records and stop payment reference for SP records.</t>
  </si>
  <si>
    <t>This field stores the date on which the cheque stoppage/stop payment was requested.</t>
  </si>
  <si>
    <t>This field contains the unique cheque number that has been requested for stoppage. It is used only for CH records.</t>
  </si>
  <si>
    <t>This field maintains whether the stopped cheque has been physically destroyed or retained. Only for CH records.</t>
  </si>
  <si>
    <t>This field maintains the amount is to be  transfer or draft .Decimal places are currency dependent.</t>
  </si>
  <si>
    <t>Transfer / DD value date</t>
  </si>
  <si>
    <t>12,8</t>
  </si>
  <si>
    <t>This field contains the transfer amount in SAR.</t>
  </si>
  <si>
    <t xml:space="preserve"> VERIFICATION  COUNTER </t>
  </si>
  <si>
    <t>FINONE Loan number</t>
  </si>
  <si>
    <t xml:space="preserve"> FINONE LOAN NUMBER </t>
  </si>
  <si>
    <t>Branch code of the customer</t>
  </si>
  <si>
    <t>This field maintains the  installmanets amount.
Decimal places are currency dependent.</t>
  </si>
  <si>
    <t>BRANCH CODE / PARTITION NUMBER</t>
  </si>
  <si>
    <t>Daily transactions initiated from Branchpower or Bankmaster.</t>
  </si>
  <si>
    <t>branchPartitionNO</t>
  </si>
  <si>
    <t xml:space="preserve">TRANSACTION SOURCE
</t>
  </si>
  <si>
    <t>TG - Branch initiated transactions
TR - Bankmaster initiated transactions</t>
  </si>
  <si>
    <t>This field stores the EDW Involved Party number</t>
  </si>
  <si>
    <t>present in last record only</t>
  </si>
  <si>
    <t>feeType</t>
  </si>
  <si>
    <t>FEE TYPE</t>
  </si>
  <si>
    <t>SF- Service Fee
MI-Minimum balance fee
MF-Monthly Fee
AF-ATM Fee</t>
  </si>
  <si>
    <t>This field maintains the branch name in Arabic.</t>
  </si>
  <si>
    <t>This field holds the branchl name in English.</t>
  </si>
  <si>
    <t>This field stores the biller name in Arabic.</t>
  </si>
  <si>
    <t>This field maintains the biller name in English.</t>
  </si>
  <si>
    <t>This field tracks whether   identifications, such as national IDs, are issued for the city.</t>
  </si>
  <si>
    <t>This field stores the   name of the ledger type in Arabic for localization.</t>
  </si>
  <si>
    <t>This field stores the   name of the country in Arabic for localization.</t>
  </si>
  <si>
    <t xml:space="preserve"> Provides the   name of the SAMA subcategory in Arabic for localization.</t>
  </si>
  <si>
    <t>This field maintains records of   documents supplied by the customer.</t>
  </si>
  <si>
    <t xml:space="preserve"> Stores any   license number issued to the customer.</t>
  </si>
  <si>
    <t>This field records the heir’s last name in Arabic for   documentation.</t>
  </si>
  <si>
    <t>This field records the signatory’s last name in Arabic for   documentation.</t>
  </si>
  <si>
    <t>This field maintains the   registration date of the term deposit in the system.</t>
  </si>
  <si>
    <t>This field records the branch where the user is   registered.</t>
  </si>
  <si>
    <t xml:space="preserve"> This field maintains the date on which the transaction was   posted to the account.</t>
  </si>
  <si>
    <t>This field records the last name of the user for   use.</t>
  </si>
  <si>
    <t>This field holds the branch’s   name in English.</t>
  </si>
  <si>
    <t xml:space="preserve"> This field stores the   branch name in English for identification and reporting purposes.</t>
  </si>
  <si>
    <t xml:space="preserve"> This field stores the   branch name in Arabic for localization and documentation.</t>
  </si>
  <si>
    <t>This field records the   date on which the loan agreement commenced.</t>
  </si>
  <si>
    <t>This field holds the coverying Bank code</t>
  </si>
  <si>
    <t>This field stores the   covering bank name in Arabic</t>
  </si>
  <si>
    <t>This field records the covering bank details in English</t>
  </si>
  <si>
    <t>This field holds the complete address of the CVR bank in English .</t>
  </si>
  <si>
    <t>ANB account number for covering bank</t>
  </si>
  <si>
    <t>Covering Bank account for ANB</t>
  </si>
  <si>
    <t xml:space="preserve"> FIRST NOTICE DUE</t>
  </si>
  <si>
    <t xml:space="preserve"> SECOND NOTICE DUE</t>
  </si>
  <si>
    <t xml:space="preserve"> THIRD NOTICE DUE</t>
  </si>
  <si>
    <t xml:space="preserve">This field indicates whether updates to customer records are required or not.
Valid Values are :
 0 - No
 1 - Yes </t>
  </si>
  <si>
    <t>This field maintains the unique identifier assigned to the city .</t>
  </si>
  <si>
    <t>This field stores the   name of the city in Arabic .</t>
  </si>
  <si>
    <t>This field holds the   name of the city in English .</t>
  </si>
  <si>
    <t>This field maintains the document identifier for this main/sub category</t>
  </si>
  <si>
    <t>This field stores the   name of the package account in Arabic .</t>
  </si>
  <si>
    <t xml:space="preserve"> Provides a brief description of the system configuration in Arabic .</t>
  </si>
  <si>
    <t xml:space="preserve"> Provides the   title description in Arabic .</t>
  </si>
  <si>
    <t xml:space="preserve"> Provides the   name of the currency in Arabic .</t>
  </si>
  <si>
    <t>This field stores the heir’s first name in Arabic .</t>
  </si>
  <si>
    <t>This field records the   name of the biller in Arabic .</t>
  </si>
  <si>
    <t>This field stores the signatory’s first name in Arabic .</t>
  </si>
  <si>
    <t xml:space="preserve"> Records a brief description of the system configuration in English .</t>
  </si>
  <si>
    <t xml:space="preserve"> Records the   name of the SAMA subcategory in English .</t>
  </si>
  <si>
    <t xml:space="preserve"> Records a brief description of the system configuration settings in English .</t>
  </si>
  <si>
    <t xml:space="preserve"> Records the   title description in English .</t>
  </si>
  <si>
    <t xml:space="preserve"> Records the   name of the currency in English .</t>
  </si>
  <si>
    <t>This field stores the   name of the biller in English .</t>
  </si>
  <si>
    <t>fundRateCatgNoDays2</t>
  </si>
  <si>
    <t>fundRateCatgNoDays3</t>
  </si>
  <si>
    <t>fundRateCatgNoDays4</t>
  </si>
  <si>
    <t>fundRateCatgNoDays5</t>
  </si>
  <si>
    <t>fundRateCatgNoDays6</t>
  </si>
  <si>
    <t>fundRateCatgNoDays7</t>
  </si>
  <si>
    <t>fundRateCatgNoDays8</t>
  </si>
  <si>
    <t>fundRateCatgNoDays9</t>
  </si>
  <si>
    <t>fundRateCatgNoDays10</t>
  </si>
  <si>
    <t>fundRateCatgNoDays11</t>
  </si>
  <si>
    <t>fundRateCatgNoDays12</t>
  </si>
  <si>
    <t>fundRateCatgCrFundRt1</t>
  </si>
  <si>
    <t>fundRateCatgCrFundRt2</t>
  </si>
  <si>
    <t>fundRateCatgCrFundRt3</t>
  </si>
  <si>
    <t>fundRateCatgCrFundRt4</t>
  </si>
  <si>
    <t>fundRateCatgCrFundRt5</t>
  </si>
  <si>
    <t>fundRateCatgCrFundRt6</t>
  </si>
  <si>
    <t>fundRateCatgCrFundRt7</t>
  </si>
  <si>
    <t>fundRateCatgCrFundRt8</t>
  </si>
  <si>
    <t>fundRateCatgCrFundRt9</t>
  </si>
  <si>
    <t>fundRateCatgCrFundRt10</t>
  </si>
  <si>
    <t>fundRateCatgCrFundRt11</t>
  </si>
  <si>
    <t>fundRateCatgCrFundRt12</t>
  </si>
  <si>
    <t>fundRateCatgDrFundRt2</t>
  </si>
  <si>
    <t>fundRateCatgDrFundRt3</t>
  </si>
  <si>
    <t>fundRateCatgDrFundRt4</t>
  </si>
  <si>
    <t>fundRateCatgDrFundRt5</t>
  </si>
  <si>
    <t>fundRateCatgDrFundRt6</t>
  </si>
  <si>
    <t>fundRateCatgDrFundRt7</t>
  </si>
  <si>
    <t>fundRateCatgDrFundRt8</t>
  </si>
  <si>
    <t>fundRateCatgDrFundRt9</t>
  </si>
  <si>
    <t>fundRateCatgDrFundRt10</t>
  </si>
  <si>
    <t>fundRateCatgDrFundRt11</t>
  </si>
  <si>
    <t>fundRateCatgDrFundRt12</t>
  </si>
  <si>
    <t>FIN ONE USER ID</t>
  </si>
  <si>
    <t>This field records the   name of the ledger type in English.</t>
  </si>
  <si>
    <t>This field maintains the   name of the country in English.</t>
  </si>
  <si>
    <t>This field records the   name of the package account in English.</t>
  </si>
  <si>
    <t>This field maintains the unique identifier assigned to a customer number range set.</t>
  </si>
  <si>
    <t>SAR - SAMA regulations.</t>
  </si>
  <si>
    <t xml:space="preserve">00-Undefined
01-Individual Saudi National
02-Individual Saudi with Special
03-Individual GCC citizen
04-Expatriate with valid Iqama
05-Tribal Individulas with Iqama
06-Employee Visa in passport
07-Res foreignr in local share
08-non-Res foregnr in local share
09-Other Non-resident individuals
10-Licensed Business and shops
11-Resident corporations
12-Limited liabilities companies
13-General partnerships
14-Limited partnerships
15-Partnerships Limited by share
16-Licensed Money exchange
17-Joint stock companies
18-Insurance companies
19-Mix co by local and foren pers
20-Mix co by local and foren corp
21-Entities owned by foren person
22-Co with more than 1 partners
23-Co owned by foreign investor
24-Cooperative societies
25-Non banking GCC corporations
26-Pilgrim Missions
27-Foren pvt org with   ksa agnt
28-Foren pvt org without ksa agnt
29-Charitable and welfare orgn
30-Priv charaity and welfare orgn
31-Public welfare organizations
32-Public endowments
33-National/Private endowments
34-Vocational Societies and commi
35-Literary, Sport and Social Clu
36-Public corporations and public
37-Chambers of Commerce and Indus
38-Embassies, consulates and thei
39-Resident diplomats
40-Diplomats on temporary visit
41-Foreign airlines
42-Muslim World league,IIRO,Youth
43-UN, WB, IMF, GCC
44-NonBanking GCC co &amp; busi entit
45-GCC co. trade in saudi shares
46-NonBank Co w/o saudi projects
47-NonBank Co with saudi projects
48-NonRes(Incl.GCC) comm banks
49-NonResident Money exchangers
50-NonResident insurance company
51-NonRes/GCC payment card co
52-Intermediary investmnt account
53-Govts and depts in attach A
54-Govt depts for collecting dona
55-Corp Lice co, esta, stores/res
56-Internal Customer
57-Cooperative Funds
58-Relief committee &amp; campaigns
59-Tribesmen of Rabi Alkhali
60-Expats with other dependents
61-Expats(The Burmese)
62-Expats(The Beluchis &amp; Turiksta
63-Minor under expats` iqama
64-A/cs of comm.of friendship
65-Account of heirs
66-Non-Res.comm.bnk/companies
67-Govt.&amp;Semi Govt GCC entities
68-Ministries/Govt Dept
69-Saudi exempted from photo
70-Expats exempted sponsor  letr
71-Expats visiting
72-Expats saudi stewards
73-Non-resident Saudi Individual
74-Non-resident GCC Individual
75-Companies under formation
76-Gulf companies
77-Gulf investment firm
78-Retirement pension &amp; SIO funds
79-Affliated Investment fund
80-Non-Res Govt &amp; quasi govt
81-Will
82-Finance Houses
83-Discharge Receivables account
84-Juveniles Distinguished Person
85-Arab Monetary Fund
86-Arab Urban Development Institu
87-Donations for Wergild Purposes
88-Activity Not Finance from Gov
</t>
  </si>
  <si>
    <t xml:space="preserve"> SERV - Server configuration.</t>
  </si>
  <si>
    <t>01-Saudi Riyal
13-Austrian Shilling
14-Moroccan Dirham
15-Yemen Riyal
16-Srilanka Rupees
17-Belgian Francs
18-Australian Dollar
19-Canadian Dollar
20-Malaysian Ringet
21-Swedish Krona
22-Pakistan Rupee
23-Deutsche Mark
24-Sudan Pound
25-Netherlands Guilder
26-Greece Derakhma
27-Danish Krona
29-Egyptian Pound
30-Finnish Mark
31-French Francs
32-EUROPEAN CURRENCY UNIT
33-New Zealand Dollar
34-Irish Pound
35-Italian Lira
36-Indonesian Rupee
37-South African Rand
38-Nepal Rupee
40-Iraqi Dinar
41-Jordanian Dinar
43-Japanese Yen
45-Kuwaiti Dinar
49-Norway Krona
51-Lebanese Lira
53-Qatari Riyal
54-Arab Emirates Dirham
58- RUTHENIUM
59-Turkey Lira
61-Swiss Francs
62-Omani Riyal
63-Serian Lira
67-U.S. Dollar
70-Bahraini Dinar
75-Hong Kong Dollar
80-Bangladesh
84-British Pound
85-Indian Rupees
86-Spanish Peseta
87-Leebian Dinar
88-Algerian Dinar
89-Singapore Dollar
90-Thailand Pehita
91-Cyprus Pound
92-Tunisian Dinar
93-Gold
94-PLATINUM
95-Silver</t>
  </si>
  <si>
    <t>K1,6</t>
  </si>
  <si>
    <t>K1,7</t>
  </si>
  <si>
    <t>K,1,4</t>
  </si>
  <si>
    <t>This is the frequency with which statements
will be printed by the Statement program
Valid values are:
02 Daily.
03 Weekly.
04 Monthy.
05 Quarterly.
06 Half yearly.
07 Yearly.
01 Non-automatic (statement will be
‘produced manually).</t>
  </si>
  <si>
    <t xml:space="preserve"> This field indicates if the account has been dropped .
0 - Not Dropped , 1 - Dropped</t>
  </si>
  <si>
    <t>Valid Values are:
00 - Customer main/local address
01 - Customer abroad address
02 - Reference address
03 - Owner local address
04 - Owner abroad address
05 - Heirs Address</t>
  </si>
  <si>
    <t>K,1,3</t>
  </si>
  <si>
    <t>Key3</t>
  </si>
  <si>
    <t>This field tracks whether a new PIN request status
Valid Values are : 
0-Requested
 1-Approved
 2-Processed
 3-GeneratedAtDc9000 (Card printing machine)
 4-ReceivedByBranch
 5-ReceivedByCustomer
 8-Canceled by Branch
 9-Rejected</t>
  </si>
  <si>
    <t>This field indicates the current status of the cheque book request  
1 - Requested
 2 - Produced
 3 - Received by Branch
 4 - Issued to customer
 9 - Rejected by branch</t>
  </si>
  <si>
    <t xml:space="preserve"> LAST INTEREST CALCULATED</t>
  </si>
  <si>
    <t xml:space="preserve"> This field stores the interest was last calculated for the Last execution.</t>
  </si>
  <si>
    <t>This field tracks whether Term and coniditons doument or Form is printed or not . 1-Succesfully printed</t>
  </si>
  <si>
    <t>This field maintains the unique address number associated with the customer.
Valid values are 
0000 - Customer main/local address -Always used for the 1st account holder
0001 - 1st business owner / stakeholder / heir	-Used when there are additional parties
0002 - 2nd business owner / stakeholder / heir -Assigned sequentially
0003 - 3rd associated entity -Continues as needed
0..n - N-th associated party -Scalable to any number of linked persons</t>
  </si>
  <si>
    <t>coreAccNo</t>
  </si>
  <si>
    <t>coreCustNo</t>
  </si>
  <si>
    <t>CORE ACCOUNT NUMBER</t>
  </si>
  <si>
    <t>This field tracks when the card related core account number</t>
  </si>
  <si>
    <t>This field tracks when the card related core customer number</t>
  </si>
  <si>
    <t>sequenceNo</t>
  </si>
  <si>
    <t>Unique sequence number for identifying card in the logs (since card numbers are masked in the log file for PCI compliance)</t>
  </si>
  <si>
    <t>icvv</t>
  </si>
  <si>
    <t>SEQUENCE NUMBER</t>
  </si>
  <si>
    <t>I CVV  DATA</t>
  </si>
  <si>
    <t xml:space="preserve"> ICVV is calculated for DCMS interface for chipcard </t>
  </si>
  <si>
    <t>This field specifies the type of identification used 
(e.g.,  I - Saudi ID ; Q - Iqama ; P - passport).</t>
  </si>
  <si>
    <t xml:space="preserve">This field categorizes the customer’s account under specific banking packages or services.
Valid Values are :
 0 - None
 1 - Munafa
 2 - Wahat
 3 - Al Safwa
 4 - Mubarak
 5 - Private Banking
etc </t>
  </si>
  <si>
    <t xml:space="preserve"> Tracks the specific date on which funds were transferred to Unclaimed account</t>
  </si>
  <si>
    <t xml:space="preserve"> Stores the unique identifier of the unclaimed account to which the funds transferred</t>
  </si>
  <si>
    <t xml:space="preserve"> Records the destination customer account number where the funds were originated</t>
  </si>
  <si>
    <t>This field stores the classification of the action performed by the supervisor 
0 - Logon
 1 - Logout
 2 - Invalid Password
 3 - Password change
 4 - User Locked
 5 - Password reset
 6 - User closed
 7 - User Added
 8 - User Deactivated
 9 - Password Expired</t>
  </si>
  <si>
    <t>K3.1</t>
  </si>
  <si>
    <t>K4.1</t>
  </si>
  <si>
    <t>Key4</t>
  </si>
  <si>
    <t>Number of branches supported/allowed for a user to work on a certain functionality.</t>
  </si>
  <si>
    <t>User allowed  Branch code 1</t>
  </si>
  <si>
    <t>User allowed in Branch code 3</t>
  </si>
  <si>
    <t>User allowed in Branch code 4</t>
  </si>
  <si>
    <t>User allowed in Branch code 5</t>
  </si>
  <si>
    <t>User allowed in Branch code 2</t>
  </si>
  <si>
    <t>DATE OF LAST PROCESSING</t>
  </si>
  <si>
    <t>This field records the timestamp when any action is happened from user end e.g. Login to system/ password cahnge/etc</t>
  </si>
  <si>
    <t xml:space="preserve">This field maintains whether the user is currently active or inactive within the system.Valid Values are :
 0 - Open/Reset 
1 - Active
2 - Locked
3 - Closed  </t>
  </si>
  <si>
    <t>This field stores the user's primary system access level or role
00 - CSO enquiry
01 - CSO update
02 - supervisor approvals
31 - Teller
32 - Chief Teller
40 - card Enquiry
41 - card request/update
42 - card supervisor
43 - card production user
60 - Account enquiry
61 - Account update
62 - Account supervisor
63 - SAMA STATUS UPDATE
51 - table enquiry
52 - table update
90 - security enquiry
91 - security update
92 - HELP DESK user
81 - Merchant statement
82 - Manual CC blocking - CSO
83 - Manual CC blocking - supervisor
84 - Manual A/c blocking - CSO
85 - Manual A/c blocking - supervisor
86 - Allow restricted branch balance enquiry
87 - Historical statement for deleted accounts
93 - Cheque Processing
94 - FTP historical statements to branches
99 - USER to check the connectivity</t>
  </si>
  <si>
    <t>This field maintainsstaus of user logged in or not.
 1-Login Success</t>
  </si>
  <si>
    <t xml:space="preserve">This field stores whether the user has permission to perform system
0 - Local
 1 - Global 
 2 - Restricted Global </t>
  </si>
  <si>
    <t>This field stores the user's primary system access level or role
 00 - teller enquiry
 01 - teller update
 02 - supervisor approvals
 50 - table enquiry
 51 - table update
 90 - security enquiry
 91 - security update
 99 - SUPER_USER</t>
  </si>
  <si>
    <t>This field stores the unique identifier of the Customer linked to signatory record</t>
  </si>
  <si>
    <t>CUSTOMER TYPE</t>
  </si>
  <si>
    <t>This filed maintain type of customer.</t>
  </si>
  <si>
    <t>creditTransferCode</t>
  </si>
  <si>
    <t>payerAcctNum</t>
  </si>
  <si>
    <t>payerName1</t>
  </si>
  <si>
    <t>payerName2</t>
  </si>
  <si>
    <t>particulars1</t>
  </si>
  <si>
    <t>particulars2</t>
  </si>
  <si>
    <t>particulars3</t>
  </si>
  <si>
    <t>payeeBankName</t>
  </si>
  <si>
    <t>payeeBankcode</t>
  </si>
  <si>
    <t>payeeAcctNum</t>
  </si>
  <si>
    <t>payeeName1</t>
  </si>
  <si>
    <t>payeeName2</t>
  </si>
  <si>
    <t>Credit Transfer Code</t>
  </si>
  <si>
    <t>Unique identifier for a specific type of credit transfer or transaction instruction.</t>
  </si>
  <si>
    <t>Payer Account Number</t>
  </si>
  <si>
    <t>The account number of the individual or entity initiating the payment.</t>
  </si>
  <si>
    <t>Payer Name Line 1</t>
  </si>
  <si>
    <t>Primary name or first line of the payer’s name.</t>
  </si>
  <si>
    <t>Payer Name Line 2</t>
  </si>
  <si>
    <t>Particulars Line 1</t>
  </si>
  <si>
    <t>Custom reference or detail for the transfer, often for internal use.</t>
  </si>
  <si>
    <t>Particulars Line 2</t>
  </si>
  <si>
    <t>Particulars Line 3</t>
  </si>
  <si>
    <t>Payee Bank Name</t>
  </si>
  <si>
    <t>The name of the receiving bank where funds will be sent.</t>
  </si>
  <si>
    <t>Payee Bank Code</t>
  </si>
  <si>
    <t>Payee Account Number</t>
  </si>
  <si>
    <t>The account number of the recipient of the funds.</t>
  </si>
  <si>
    <t>Payee Name Line 1</t>
  </si>
  <si>
    <t>Primary name or first line of the recipient’s name.</t>
  </si>
  <si>
    <t>Payee Name Line 2</t>
  </si>
  <si>
    <t>Payment Amount</t>
  </si>
  <si>
    <t>The amount of money to be transferred, including currency precision.</t>
  </si>
  <si>
    <t>Bank identifier</t>
  </si>
  <si>
    <t xml:space="preserve">Additional reference information, </t>
  </si>
  <si>
    <t>Further elaboration</t>
  </si>
  <si>
    <t>Additional details or second line of the payee's name</t>
  </si>
  <si>
    <t>Additional details or second line of the payer's name</t>
  </si>
  <si>
    <t>SpotSwapArbitCommission Account number configuration. Online gateway get the spotAccount and FX postion account for a given currency code from here. (cpd0data.rel in REL dir).
The Currency Position file contains a record for each currency.
The file is created with one hundred records (one for each currency). The setting of the "RECORD TYPE’
field determines whether a particular record is in use.The file is mainly used by the Foreign Exchange
‘module. However, itis also used by Central Bankmaster for default nostro accounts and inter
currency transactions via the Posting program (BNKOO) etc.
Each record contains position account numbers for spot, swap and arbitrage deals, the spot and forward
exchange rates and the number of decimals to be used in all amounts in the particular currency.
The record layout of the Currency Position file will be determined by the method of forward foreign
exchange revaluation being used. Two methods of forward foreign exchange revaluation are available as
follows:
1. The "Dates &amp; Rates’ method.
2. The "Premium Discount’ method.
‘The setting of the "APPORTIONMENT INDICATOR’ field on the FX0000 record in the
Control file (CNDOBB FILE) determines which of these methods is to be used. (See Foreign Exchange
Data Dictionary for further details). 
NOTE: Itis not possible to use the Insert or Delete
options of Easidata on this file.</t>
  </si>
  <si>
    <t>Customer Data/ Customer Limits.
The Customer Register file maintains details of all customers. The details are in four categories:
1. CUSTOMERS WITH ACCOUNTS -These include clients, companies etc. Customers ‘may have one or more accounts, details of which are held in the general ledger file GLDODATA
2. CUSTOMERS WITHOUT ACCOUNTS-These include brokers, correpondents etc. Details
are held for use in confirmations printing and reporting.
3. CUSTOMER CORRESPONDENCE ADDRESS- Details are held on alternative addresses for
customer correspondence addressing.
4. INTERNAL CUSTOMERS-These are customers set up to allow an account to be formed for internal accounts, e.g. Interest received, suspense etc.
A record is maintained in the file for each customer number in use and each record has a corresponding.
record in each of the index files.
A customer record must exist before any accounts can be set up for a particular customer.</t>
  </si>
  <si>
    <t>Calander file holds working day, day of week, week of year and day of year.This file contains a record of each working and non-working day in the year.</t>
  </si>
  <si>
    <t>diary-Future value dated transactions.
The Diary file maintains a record of future events. A record is held for each outstanding forward-dated item in the system. These include uncleared postings, maturities due, forward dated interest rate changes, scheduled loan repayments, forward value postings,limit reviews, limit expiries and memorandum diary items. The Diary program accesses this file during the Start of Day jobstream and processes those items due. It marks those items as having been processed so that they may be deleted in the next run of the program.</t>
  </si>
  <si>
    <t>Has the link between ISO Currency code/BM currency code /country code  (Picked from BM DD)-
This file contains the ISO standard codes for each country. These codes are set up by ACT Kindle and the only field which the user should change is the 'BANKMASTER CURRENCY CODE’ field, so that the Gateway willbe able to relate the Branchpower currency to the Bankmaster currency,</t>
  </si>
  <si>
    <t xml:space="preserve">Record Type :BI-Biller ID
This table maintains the authoritative list of unique identifiers assigned to registered billers within the financial institution's systems. </t>
  </si>
  <si>
    <t>Record Type :CC
This table captures standardized classification codes and descriptions defined by the Saudi Central Bank (SAMA) for regulatory reporting and operational alignment.</t>
  </si>
  <si>
    <t>Record Type :CT
This table captures master data related to cities as used in customer address records, branch assignments, and geo-location-based services. Each entry includes city code, city name in English and Arabic</t>
  </si>
  <si>
    <t>Record Type :DC
This table details sub-classifications under the broader SAMA category taxonomy, providing additional granularity for regulatory reporting and operational mapping.</t>
  </si>
  <si>
    <t>Record Type :MM
This table maintains metadata for all Memo Code</t>
  </si>
  <si>
    <t>Record Type :NA
This table maintains metadata for all Country Code and  name in English and Arabic</t>
  </si>
  <si>
    <t>Record Type :PK
This table maintains metadata for all package Code  and  name in English and Arabic</t>
  </si>
  <si>
    <t>Record Type :RN
This table maintains metadata for all Range Details</t>
  </si>
  <si>
    <t>Record Type :SC
This table maintains metadata for Sadad Configuration</t>
  </si>
  <si>
    <t>Record Type :SS
This table maintains metadata for all Sama Sub Category  Code and  name in English and Arabic</t>
  </si>
  <si>
    <t>Record Type :XC
This table maintains metadata for Currency Code ISO  details</t>
  </si>
  <si>
    <t xml:space="preserve">Details about user login, logout, lock, unlock, etc
This table maintains a comprehensive trail of user authentication and access management activities across systems. Each entry includes user ID, login timestamp, logout timestamp, . It also captures access events such as account lock , account unlock password changes, failed login attempts, and session timeout flags. </t>
  </si>
  <si>
    <t>All CSD users with their role
A complete list of all Customer Service Desk (CSD) users and their roles is typically not publicly available</t>
  </si>
  <si>
    <t>Activities on userProfile
This table tracks changes and administrative actions performed on user profiles within the system. Each entry includes user ID, type of activity (e.g., creation, update, role reassignment, deactivation), modified fields (such as contact details, role assignment, access level), old and new values, timestamp of the change, initiating user or system process, and source channel (e.g., admin console, workflow automation). Optional fields may capture reason codes, approval reference (for privileged updates), and linked access control policy. These records provide full traceability of identity and access adjustments, ensuring compliance with information security frameworks and audit requirements.</t>
  </si>
  <si>
    <t>Users who have inquiry on other branch accounts
To track user IDs who have performed inquiries on accounts belonging to other branches, you would typically rely on an audit or access log maintained by your core banking or customer service system</t>
  </si>
  <si>
    <t>Transaction history - Record Type 1 and 2
The Transaction History file maintains a record of all transactions that have been entered since installation of Bank master.. At least one record is held for each posting which occurs - in the case of postings containing  narrative to hold the information.</t>
  </si>
  <si>
    <t>Transaction history - Record Type 2 and 3
The Transaction History file maintains a record of all transactions that have been entered since installation of Bank master.. At least one record is held for each posting which occurs - in the case of postings containing  narrative to hold the information.</t>
  </si>
  <si>
    <t>Holds the Title code and description like Mr, Mrs, etc
This table maintains standardized title codes and their corresponding descriptions used across customer and user records. Each entry includes the title code , title description, and language.</t>
  </si>
  <si>
    <t xml:space="preserve">
This table logs all outgoing and incoming credit transfer transactions. Each entry includes transaction reference number, customer ID, beneficiary details , transfer amount, currency, value date, and payment purpose code. Additional fields may capture initiating account number, channel of initiation , intermediary bank details , charges type ,  and transaction status Audit attributes such as timestamp, initiating user/system, and authorization trail may also be included.</t>
  </si>
  <si>
    <t>This table contains a record of all unmatured accounts with a maturity date on or before the Bank Diary
program run date.The file is used to ensure that the Diary records are processed in account number within branch order.This file is only relevant to a centralised multi-branch database.</t>
  </si>
  <si>
    <t xml:space="preserve">RecType: BD -Branch Details
This table captures the core profile and operational attributes of each branch within the financial institution's network. Each entry includes branch code, branch name, location (address, city, region), contact details, operating hours, associated zone/region code, and regulatory identifiers (e.g., SWIFT/BIC if applicable). Additional attributes may include branch type , branch manager ID, and status (active/inactive). </t>
  </si>
  <si>
    <t>Movement of fund from Account to Unclaimed Accout from 2004
This table documents the transfer of idle or dormant balances from active customer accounts to designated unclaimed accounts in accordance with regulatory and internal policy timelines. Each entry includes customer ID, original account number, amount transferred, date of last activity, transfer date, unclaimed account reference, initiating system or user, and applicable reason code. Optional fields may include notification history, reversal handling parameters, and statutory holding period flags.</t>
  </si>
  <si>
    <t xml:space="preserve">Audit on Heir/Proxy details maintenance.
This table captures changes made to heir or proxy designations linked to a customer's account or relationship profile. Each entry includes the customer ID, heir/proxy ID, type of relationship , legal heir, authorized representative, nature of update , previous and new values, effective date, timestamp of the change, and the user or system that performed the action. </t>
  </si>
  <si>
    <t>Maser file for Heir or Proxy details
This table serves as the authoritative source for managing heir or proxy relationships linked to customer accounts or profiles. Each entry includes customer ID, heir/proxy ID, full name, relationship type , identification details contact information, effective and expiry dates, supporting document references, and status  It may also capture legal capacity, allocation percentages  and digital cons</t>
  </si>
  <si>
    <t xml:space="preserve">Activities on account ownership maintenance
This table logs all operational activities related to the assignment, modification, or transfer of account ownership. Each entry includes account number, existing and updated owner customer IDs, type of change, timestamps of request and completion, initiating user or system, and source channel  Optional fields may include document references , approval status, and audit trail linkage. </t>
  </si>
  <si>
    <t>Master file for Account ownership (Owner, Manager, Trustee, cashier)
This table serves as the centralized registry of all individuals and roles associated with account ownership and operational authority. Each entry includes account number, customer ID, role type , full name, identification details, role effective and expiry dates, and current status (active/inactive). Additional attributes may include authorization level, relationship to account owner, document references (e.g., legal mandates, power of attorney), and channel-specific access rights.</t>
  </si>
  <si>
    <t>Master file for Joint account customer details
This table serves as the authoritative repository for all joint account relationships maintained within the institution. Each entry includes joint account number, primary customer ID, co-holder ID(s), co-holder full names, relationship types.</t>
  </si>
  <si>
    <t>Version</t>
  </si>
  <si>
    <t>Modified By</t>
  </si>
  <si>
    <t>Date &amp; Time</t>
  </si>
  <si>
    <t>Description / Notes</t>
  </si>
  <si>
    <t>Bhagwat T./Arul A. /Rajesh S.</t>
  </si>
  <si>
    <t>Intial Draft</t>
  </si>
  <si>
    <t>Bhagwat T.</t>
  </si>
  <si>
    <t>Contains the branch/memo level computed interest  for applicaiton.</t>
  </si>
  <si>
    <t>Contains detailed breakdown of all interest application transactions  at the individual account level.</t>
  </si>
  <si>
    <t>This table contains the interest that has been accrued at the account level.</t>
  </si>
  <si>
    <t>This table has the interest income,exoense,received and paid accounts at the memo level</t>
  </si>
  <si>
    <t xml:space="preserve">This table defines the configuration settings for various gateway files, such as payroll, pension, and other financial gateways. </t>
  </si>
  <si>
    <t xml:space="preserve">This table captures configuration information related to memo entries within the ledger system. </t>
  </si>
  <si>
    <t>This table contains loan repayments details of both due and paid amount in terms of   principal, interst, penalty .</t>
  </si>
  <si>
    <t>BM Branch configuration with Clearing contra account .This file contains sort code records which uniquely identify each branch within a bank or financialinstitution.</t>
  </si>
  <si>
    <t xml:space="preserve">This  table contains details of settled and unsettled drafts . Each record includes key details such as draft number, transaction date, amount, and draft status. </t>
  </si>
  <si>
    <t>BThis table contains  data related to financial extracts. Each entry outlines the necessary information of currency and Memo wise for generating financial reports.</t>
  </si>
  <si>
    <t>BM User ID  and Branch code mapping.</t>
  </si>
  <si>
    <t>Monthly Cumulative balances for FINANCE extracts at branch/balance sheet code level.</t>
  </si>
  <si>
    <t>Log of Account and Credit card blocking has data onwards from 2005.</t>
  </si>
  <si>
    <t xml:space="preserve">Holds Credit Card payments from 2004. </t>
  </si>
  <si>
    <t>RecType AC: Account type details like Interest calculatilon method, limit codes to be updated  during transaction posting.</t>
  </si>
  <si>
    <t>RecType BD : Branch info like name, city, satement day.</t>
  </si>
  <si>
    <t>RecType BR : Maintains the Currency Base Rates and limits</t>
  </si>
  <si>
    <t>RecType CL : Holds Loan and Arrear Account Types.</t>
  </si>
  <si>
    <t>RecType MR : Margin Rates.</t>
  </si>
  <si>
    <t>RecType NR : Narrative description for Narrative code.</t>
  </si>
  <si>
    <t>RecType SP : Suspense account number, FX tolerance.</t>
  </si>
  <si>
    <t>RecType TR: Transaction configuration details like ReversalTransactionFlag, transactionClass, etc.</t>
  </si>
  <si>
    <t>RecType XC : Currency details like decimal place, Exchange Rate, drBaseDays/CrBaseDays.</t>
  </si>
  <si>
    <t xml:space="preserve"> This table holds the applicable fund rates across currency and value date.</t>
  </si>
  <si>
    <t xml:space="preserve">GL RECORD 10-99.
The General Ledger file contains details of all accounts held in the system. </t>
  </si>
  <si>
    <t>GL RECORD 05
This table has details at Memo (currency + Ledger) level record . It contains the memo description, memo data and statistical information at memo level.</t>
  </si>
  <si>
    <t xml:space="preserve">Interest accrual related accounts configuration.
</t>
  </si>
  <si>
    <t xml:space="preserve">Details  about Letters issued to customers-.
This table maintains details of official letters and communications issued to customers by the financial institution. Each entry includes attributes such as letter type , issue date, customer ID, delivery method , and reference number. </t>
  </si>
  <si>
    <t xml:space="preserve">Has Balance sheet code MEMO (ledgerCode)
</t>
  </si>
  <si>
    <t>This table captures the configuration and tracking of fund transfers directed to Tradenet accounts since 2008.</t>
  </si>
  <si>
    <t xml:space="preserve">Stopped Cheque file. </t>
  </si>
  <si>
    <t>This table holds information related to transfers or drafts that have been initiated.</t>
  </si>
  <si>
    <t>Loan repayment data.</t>
  </si>
  <si>
    <t xml:space="preserve">This file contains details revelent to standing orders. Including the order number, the amount and the type of payment, the person to whom the payment will be made, limits on the number of payments to be made, the dates on which the payments will be made and any charges accrued by the standing order.
</t>
  </si>
  <si>
    <t xml:space="preserve">This table has the fees collected for Minimum balance, ATM fee, monthly and service fee. </t>
  </si>
  <si>
    <t>Maintain the details about blocked customers at ANB and the banks in the Kingdom  level.</t>
  </si>
  <si>
    <t>Contains details about the arrear amount blocked for credit card payment</t>
  </si>
  <si>
    <t>This table captures a chronological log of changes made to customer account details for audit and compliance purposes. Each entry includes the account number, type of update , old and new values, date and time of the change, and the user or system initiating the modification.</t>
  </si>
  <si>
    <t xml:space="preserve">This table contains the essential data elements required for printing the Account Open Card at the time of account initiation. Each entry includes customer identification details, account number, account type, branch code, account opening date, and associated product information. </t>
  </si>
  <si>
    <t xml:space="preserve">This table captures audit trail entries for any modifications made to customer address information. Each entry includes customer number, type of address changed , previous and updated address values, date and time of the change, and the user or system responsible for the update. </t>
  </si>
  <si>
    <t>This table maintains a centralized repository of customer address information. Each entry captures multiple address types—such as residential, mailing, and office—along with associated metadata like country, region, postal code, effective dates, and verification status</t>
  </si>
  <si>
    <t>This table provides a  cross-reference between Hijri and Gregorian calendar dates.</t>
  </si>
  <si>
    <t>This table consolidates audit information related to debit card lifecycle . Each entry tracks card issuance, activation, PIN setup, limits modification, status changes  etc.</t>
  </si>
  <si>
    <t>This table serves as the centralized repository for all active and historical debit card data. Each entry includes attributes such as card number (masked for security), customer ID, linked account(s), card type, issue and expiry dates, status, etc.</t>
  </si>
  <si>
    <t>Requested cheque books cancelled by branch.
This table logs cheque book issuance requests that were subsequently cancelled at the branch level. Each entry includes details such as customer ID, account number, request reference, cheque book type, date of original request, cancellation date, branch ID, reason for cancellation, and user ID of the staff who performed the action.</t>
  </si>
  <si>
    <t>This table serves as the central registry of all cheque book requests initiated by customers across channels . Each entry includes customer ID, account number, cheque book type , request date and time, status (e.g., pending, processed, cancelled), delivery method.</t>
  </si>
  <si>
    <t xml:space="preserve">This table captures all changes made to customer representatives  used for identifying or linking customers across systems. Each entry logs the customer ID, reference type old and new values, timestamp of the change, and the user or system responsible for the update. </t>
  </si>
  <si>
    <t xml:space="preserve">This table serves as the authoritative repository for customer representative identifiers used across internal and external systems. Each entry includes the customer ID, Custer type, reference value, source system, effective date, and current status (active/inactive). </t>
  </si>
  <si>
    <t>Record Type :CB
This table maintains information about covering banks used for international or correspondent banking transactions.</t>
  </si>
  <si>
    <t xml:space="preserve">This table captures a detailed audit trail of changes made to customer personal information across core banking and digital channels. Each entry logs the customer ID, specific field modified (such as name, nationality, identification number, or date of birth), the previous and updated values, timestamp of change, and the user or system responsible for the modification. </t>
  </si>
  <si>
    <t xml:space="preserve">This table serves as the centralized repository of core customer information maintained across all banking systems. Each entry includes customer ID, full name, date of birth, nationality, identification details contact information and customer type. It may also contain segmentation tags , relationship manager ID, onboarding channel, risk classification, and preferred communication language. </t>
  </si>
  <si>
    <t xml:space="preserve">Audit on ID details maintenance
This table tracks all updates made to customer identification information, ensuring transparency and compliance with KYC regulations. Each entry logs the customer ID, ID type (e.g., national ID, passport, residency permit), old and new ID values, issuing authority, country of issuance, expiration date changes (if any), timestamp of modification, and the user or system that performed the change. Optional fields may include reason codes for modification, source channel (branch, online, etc.), and verification status. </t>
  </si>
  <si>
    <t>Audit of Joint account details
This table captures all modifications related to joint account configurations and co-account holder information. Each entry includes the primary customer ID, joint account number, co-holder ID(s), type of relationship (e.g., spouse, business partner), nature of update (addition, removal, role change), and detailed before-and-after values. It also logs the timestamp of change, responsible user or system, and any supporting documentation references. Optional metadata may include approval workflow steps, digital consent flags, and change origin (e.g., branch, mobile banking, legal order).</t>
  </si>
  <si>
    <t>Internal to sadad payment module of CSD./RecordType of SC having sadad bill type, internal to CSD
This table captures internal transaction messages and interface-level activity between the Customer Service Desk (CSD) system and the SADAD Payment Module. Each entry includes CSD terminal ID, customer ID, internal transaction ID, SADAD biller code, reference number, amount, timestamp of initiation, payment status (initiated, processed, failed), operator ID, and system response codes. It may also track communication logs, middleware routing details, and correlation IDs for troubleshooting purposes.</t>
  </si>
  <si>
    <t xml:space="preserve">SAMA account status change
This table documents status modifications applied to customer accounts in accordance with Saudi Central Bank (SAMA) regulations. Each entry includes the customer ID, account number, previous status (e.g., active, frozen, dormant), updated status, reason code (such as regulatory hold, legal instruction, fraud investigation), timestamp of status change, initiating authority (e.g., compliance department, legal team), and SAMA-related reference number or directive, if applicable. Optional fields may include notification status to the customer, expiry date for temporary holds, and associated risk classifications. </t>
  </si>
  <si>
    <t xml:space="preserve">Master file for ID mainenance
This table serves as the centralized repository for all customer identification documents maintained within the institution’s systems. Each entry includes customer ID, ID type (e.g., national ID, passport, residency permit), document number, country of issuance, issuing authority, issuance and expiry dates, and verification status. Additional attributes may include ID image reference, OCR capture status, linked biometric data, and activation state. </t>
  </si>
  <si>
    <t xml:space="preserve">Details about SADAD bills paid from CSD. 
This table logs all SADAD bill payment transactions initiated from the Customer Service Desk (CSD) channel. Each entry includes the customer ID, biller code, bill reference number, bill type , payment amount, payment date/time, transaction reference, CSD terminal ID, and operator ID. Additional fields may capture the channel source (e.g., in-branch, IVR support), payment status, and reversal flags if applicable. </t>
  </si>
  <si>
    <t xml:space="preserve">Activities on Account signatories maintenance
This table logs all events related to the setup, modification, or removal of signatories associated with customer accounts. Each entry captures the account number, signatory ID, signatory name, nature of change, role assigned, signing mandate , timestamp of change, and user or system initiating the action. Optional fields may include linked documentation, reason code, and approval workflow metadata. </t>
  </si>
  <si>
    <t xml:space="preserve">Master file for Account Signatories
This table serves as the official repository of all individuals authorized to sign or operate customer accounts, particularly for corporate, joint, and institutional clients. Each entry includes account number, signatory ID, full name, identification details, assigned role , signing mandate , effective and expiry dates, and activation status. Optional fields may include associated resolution documents, authority level , role hierarchy, digital signature references, and relationship to the account holder or entity. </t>
  </si>
  <si>
    <t>This table captures requests and processing details related to stop cheque instructions issued by account holders. Each entry includes account number, cheque number or range, request date and time, stop reason, request channel and customer ID. Additional fields may include the identity of the staff or system processing the request, status of the stop instruction (pending, executed, rejected), override approval reference (if applicable), and expiry or validity period of the instruction. These records ensure secure cheque handling, support fraud mitigation, and comply with both customer service protocols and regulatory reporting requirements.</t>
  </si>
  <si>
    <t>Standing Order setup log.
This table captures the creation and configuration of standing orders (SODs) initiated directly within the bank's master system, bypassing customer-facing channels. Each entry includes standing order ID, originating branch or department, customer ID, debit account number, beneficiary details, amount, frequency , start and end dates, and purpose code.</t>
  </si>
  <si>
    <t>This table captures all events and transactions related to the lifecycle of time deposit accounts. Each entry includes customer ID, time deposit account number, deposit amount, tenure , interest rate, interest type value date, maturity date, and maturity instructions.</t>
  </si>
  <si>
    <t>TR (partition)/TG (branch) files in Rel directory holds daily transaction details.</t>
  </si>
  <si>
    <t>Daily file having all limits exceeded each day. 
This table contains details of all limits exceeded eachday</t>
  </si>
  <si>
    <t>Customer risk class configuration and limit flag. 
This table defines the configuration of customer risk levels and associated operational constraints, as mandated by regulatory frameworks and internal policies .Each entry includes customer ID, risk category , risk scoring methodology reference, date of classification, and classification authority . It also includes limit flags governing product or transaction thresholds, such as maximum transaction amount, international remittance eligibility, or investment access levels. Optional attributes may include review frequency, reassessment triggers, and linked risk exposure limits.</t>
  </si>
  <si>
    <t>This table contains range configuration information for bank branches Each entry includes a unique Branch  code that identifies a specific branch within a financial institution.</t>
  </si>
  <si>
    <t>Version 1.0 Is was Number  changed to String on 03/07/2025</t>
  </si>
  <si>
    <t>FinoneAlcoAccNo</t>
  </si>
  <si>
    <t>FINONE ALCO ACCOUNT NO</t>
  </si>
  <si>
    <t>Memo(5) + Finone Loan no(8)</t>
  </si>
  <si>
    <t>issedTransCount</t>
  </si>
  <si>
    <t>settledTransCount</t>
  </si>
  <si>
    <t>ISSUE TRANSACTION COUNT</t>
  </si>
  <si>
    <t>SETTLED TRANSACTION COUNT</t>
  </si>
  <si>
    <t xml:space="preserve"> This field maintains theTransaction count of settled data</t>
  </si>
  <si>
    <t xml:space="preserve"> This field maintains the Transaction count of issued data</t>
  </si>
  <si>
    <t>Version 1.0 column name renamed old name was accno 16/07/2025</t>
  </si>
  <si>
    <t>documnetNo1</t>
  </si>
  <si>
    <t>documnetNo2</t>
  </si>
  <si>
    <t>documnetNo3</t>
  </si>
  <si>
    <t>documnetNo4</t>
  </si>
  <si>
    <t>documnetNo5</t>
  </si>
  <si>
    <t>documnetNo6</t>
  </si>
  <si>
    <t>documnetNo7</t>
  </si>
  <si>
    <t>documnetNo8</t>
  </si>
  <si>
    <t>documnetNo9</t>
  </si>
  <si>
    <t>documnetNo10</t>
  </si>
  <si>
    <t>documnetNo11</t>
  </si>
  <si>
    <t>documnetNo12</t>
  </si>
  <si>
    <t>documnetNo13</t>
  </si>
  <si>
    <t>documnetNo14</t>
  </si>
  <si>
    <t>documnetNo15</t>
  </si>
  <si>
    <t>documnetNo16</t>
  </si>
  <si>
    <t>documnetNo17</t>
  </si>
  <si>
    <t>documnetNo18</t>
  </si>
  <si>
    <t>documnetNo19</t>
  </si>
  <si>
    <t>documnetNo20</t>
  </si>
  <si>
    <t xml:space="preserve"> DOCUMENT NUMBER 1</t>
  </si>
  <si>
    <t xml:space="preserve"> DOCUMENT NUMBER 2</t>
  </si>
  <si>
    <t xml:space="preserve"> DOCUMENT NUMBER 3</t>
  </si>
  <si>
    <t xml:space="preserve"> DOCUMENT NUMBER 4</t>
  </si>
  <si>
    <t xml:space="preserve"> DOCUMENT NUMBER 5</t>
  </si>
  <si>
    <t xml:space="preserve"> DOCUMENT NUMBER 6</t>
  </si>
  <si>
    <t xml:space="preserve"> DOCUMENT NUMBER 7</t>
  </si>
  <si>
    <t xml:space="preserve"> DOCUMENT NUMBER 8</t>
  </si>
  <si>
    <t xml:space="preserve"> DOCUMENT NUMBER 9</t>
  </si>
  <si>
    <t xml:space="preserve"> DOCUMENT NUMBER 10</t>
  </si>
  <si>
    <t xml:space="preserve"> DOCUMENT NUMBER 11</t>
  </si>
  <si>
    <t xml:space="preserve"> DOCUMENT NUMBER 12</t>
  </si>
  <si>
    <t xml:space="preserve"> DOCUMENT NUMBER 13</t>
  </si>
  <si>
    <t xml:space="preserve"> DOCUMENT NUMBER 14</t>
  </si>
  <si>
    <t xml:space="preserve"> DOCUMENT NUMBER 15</t>
  </si>
  <si>
    <t xml:space="preserve"> DOCUMENT NUMBER 16</t>
  </si>
  <si>
    <t xml:space="preserve"> DOCUMENT NUMBER 17</t>
  </si>
  <si>
    <t xml:space="preserve"> DOCUMENT NUMBER 18</t>
  </si>
  <si>
    <t xml:space="preserve"> DOCUMENT NUMBER 19</t>
  </si>
  <si>
    <t xml:space="preserve"> DOCUMENT NUMBER 20</t>
  </si>
  <si>
    <t>Data type was Missing added on 16/07/2025</t>
  </si>
  <si>
    <t xml:space="preserve">NAME IN ARABIC </t>
  </si>
  <si>
    <t xml:space="preserve">NAME IN ENGLISH </t>
  </si>
  <si>
    <t>Record Type  :AP-&gt;
AS-&gt;Account status  type info
BS-&gt;Business type info
DT-&gt;Deocument type info
ED-&gt;education code  type info
IA-&gt;Interest Application  info
ID-&gt;ID type info
LT-&gt;Mail type info
MI-&gt;Income Code  type info
PF-&gt;Payment frequency info
PM-&gt;payment mode info
PO-&gt;Position type info
PR-&gt;Profession  Code type info
PT-&gt;payment type info
RC-&gt;Account status change reason
RS-&gt;Returned Reason info
SG-&gt;segmention info
SN-&gt;SWIFT country info
SP-&gt;SADAD payment type	
ST-&gt;SOD type info
SF-&gt;Satement Frequency  Code  info
SM-&gt;Sama Main Category  Code  info
SS-&gt;Sama Sub Category  Code  info
SY-&gt;Sama Sub Category  Code  info
TP-&gt;Customer type info
TT-&gt;Title Code type info</t>
  </si>
  <si>
    <t>This field maintains a unique identifier representing the specific type of record</t>
  </si>
  <si>
    <t xml:space="preserve">CONTROL TYPE CODE </t>
  </si>
  <si>
    <t>Stores Arebic Name for Perticular record and Control Tpe combination</t>
  </si>
  <si>
    <t>Stores English Name for  Perticular record and Control Tpe combination</t>
  </si>
  <si>
    <t>Record Type :SC
This table maintains metadata for Server Configuration</t>
  </si>
  <si>
    <t>Converted from Number to String 22/07/2025</t>
  </si>
  <si>
    <t>Removed from Table  on 22/07/2025</t>
  </si>
  <si>
    <t>Multiple Currency Used Flag</t>
  </si>
  <si>
    <t>This field contains the Multiple Currency Used Flag</t>
  </si>
  <si>
    <t>Date is stored Always 4 Digit converted from Date to String on 23/07/2025</t>
  </si>
  <si>
    <t>Record Type  :AP-&gt;Application Module
AS-&gt;Account status  type info
BS-&gt;Business type info
DT-&gt;Deocument type info
ED-&gt;education code  type info
IA-&gt;Interest Application  info
ID-&gt;ID type info
LT-&gt;Mail type info
MI-&gt;Income Code  type info
PF-&gt;Payment frequency info
PM-&gt;payment mode info
PO-&gt;Position type info
PR-&gt;Profession  Code type info
PT-&gt;payment type info
RC-&gt;Account status change reason
RS-&gt;Returned Reason info
SG-&gt;segmention info
SN-&gt;SWIFT country info
SP-&gt;SADAD payment type	
ST-&gt;SOD type info
SF-&gt;Satement Frequency  Code  info
SM-&gt;Sama Main Category  Code  info
SS-&gt;Sama Sub Category  Code  info
SV-&gt; Sadad Service code
TR-&gt;Teller transaction type
TP-&gt;Customer type info
TT-&gt;Title Code type info
  name in English and Arabic name or description.</t>
  </si>
  <si>
    <t>RecType C0:  Maintain configuration Date and fees.</t>
  </si>
  <si>
    <t xml:space="preserve"> ALCO Account Details file.This table maintains the detailed account-level data required for ALCO reporting, monitoring, and strategic balance sheet management. Each record includes the account number, account name, customer ID, product type, interest rate type, rate value, currency, maturity date, repricing frequency, and balance information. It also captures risk classification, funding source, branch code, and account status. </t>
  </si>
  <si>
    <t>fixRate</t>
  </si>
  <si>
    <t xml:space="preserve">FIX RATE </t>
  </si>
  <si>
    <t>This field records fixed exchange rate set by the bank</t>
  </si>
  <si>
    <t>dormantFee</t>
  </si>
  <si>
    <t>DORMANT FEE</t>
  </si>
  <si>
    <t>This field store fee charged for inactive or dormant accounts.</t>
  </si>
  <si>
    <t>MINIMUM BALANCE</t>
  </si>
  <si>
    <t>Minimum balance required to avoid fees or maintain account status.</t>
  </si>
  <si>
    <t>BANKING DATE</t>
  </si>
  <si>
    <t>reportBalanceDate</t>
  </si>
  <si>
    <t>REPORT BALANCE DATE</t>
  </si>
  <si>
    <t>The date used to generate a snapshot of account balances for reporting purposes. Often aligns with month-end or quarter-end.</t>
  </si>
  <si>
    <t>LAST STATEMENT DATE</t>
  </si>
  <si>
    <t>The date of the most recent account statement issued to the customer or institution.</t>
  </si>
  <si>
    <t>lastInterestDate</t>
  </si>
  <si>
    <t>LAST INTEREST DATE</t>
  </si>
  <si>
    <t>The last date on which interest was calculated or posted to the account.</t>
  </si>
  <si>
    <t>taxLimit</t>
  </si>
  <si>
    <t>TAX LIMIT</t>
  </si>
  <si>
    <t>A threshold value used for tax calculations, such as exemption limits or taxable caps.</t>
  </si>
  <si>
    <t>lastExtractionDate</t>
  </si>
  <si>
    <t>LAST EXTRACTION DATE</t>
  </si>
  <si>
    <t>The most recent date on which data was extracted from the system for reporting or analysis.</t>
  </si>
  <si>
    <t>lastFxRevalDate</t>
  </si>
  <si>
    <t>LAST FOREIGN EXCHANGE REVALUATION DATE</t>
  </si>
  <si>
    <t>The last date on which foreign currency balances were revalued based on updated exchange rates.</t>
  </si>
  <si>
    <t>ns33Limit</t>
  </si>
  <si>
    <t>NS33 LIMIT</t>
  </si>
  <si>
    <t>nextDetailNo</t>
  </si>
  <si>
    <t>NEXT DETAIL NUMBER</t>
  </si>
  <si>
    <t>The next available identifier or sequence number for detailed transaction entries.</t>
  </si>
  <si>
    <t>serviceCharge</t>
  </si>
  <si>
    <t>SERVICE CHARGE</t>
  </si>
  <si>
    <t>A fee applied for account maintenance or specific banking services.</t>
  </si>
  <si>
    <t>servicePer</t>
  </si>
  <si>
    <t>SERVICE PERCENTAGE</t>
  </si>
  <si>
    <t>Represents the percentage rate applied for service-related charges.</t>
  </si>
  <si>
    <t>This table defines the configuration of currency code and account fee record system</t>
  </si>
  <si>
    <t xml:space="preserve">Internal to sadad payment module of CSD./RecordType of ER having sadad Error code and and there Englisha and Arebic names
</t>
  </si>
  <si>
    <t>Removed Since it was not present  on  31/07/2025</t>
  </si>
  <si>
    <t>File Name Changed</t>
  </si>
  <si>
    <t>spotRate</t>
  </si>
  <si>
    <t>SPOT RATE</t>
  </si>
  <si>
    <t>ColumnAdded on 28/07/2025</t>
  </si>
  <si>
    <t>fwdDate1</t>
  </si>
  <si>
    <t>FORWARD DATE 1</t>
  </si>
  <si>
    <t>The future date on which the forward exchange rate becomes effective.</t>
  </si>
  <si>
    <t>fwdRate1</t>
  </si>
  <si>
    <t>FORWARD RATE 1</t>
  </si>
  <si>
    <t>The agreed-upon exchange rate for the specified forward date.</t>
  </si>
  <si>
    <t>fwdDate2</t>
  </si>
  <si>
    <t>FORWARD DATE 2</t>
  </si>
  <si>
    <t>fwdRate2</t>
  </si>
  <si>
    <t>FORWARD RATE 2</t>
  </si>
  <si>
    <t>fwdDate3</t>
  </si>
  <si>
    <t>FORWARD DATE 3</t>
  </si>
  <si>
    <t>fwdRate3</t>
  </si>
  <si>
    <t>FORWARD RATE 3</t>
  </si>
  <si>
    <t>fwdDate4</t>
  </si>
  <si>
    <t>FORWARD DATE 4</t>
  </si>
  <si>
    <t>fwdRate4</t>
  </si>
  <si>
    <t>FORWARD RATE 4</t>
  </si>
  <si>
    <t>lastSales</t>
  </si>
  <si>
    <t>LAST SALES</t>
  </si>
  <si>
    <t>The exchange rate used in the most recent sale of foreign currency.</t>
  </si>
  <si>
    <t>lastPurchase</t>
  </si>
  <si>
    <t>LAST PURCHASE</t>
  </si>
  <si>
    <t>The rate applied in the most recent purchase of foreign currency.</t>
  </si>
  <si>
    <t>lastBase</t>
  </si>
  <si>
    <t>LAST BASE</t>
  </si>
  <si>
    <t>The last recorded rate for the base currency</t>
  </si>
  <si>
    <t>lastDeals</t>
  </si>
  <si>
    <t>LAST DEALLS</t>
  </si>
  <si>
    <t>The rate used in the most recent FX deal, regardless of buy/sell direction.</t>
  </si>
  <si>
    <t>fwdDate5</t>
  </si>
  <si>
    <t>FORWARD DATE 5</t>
  </si>
  <si>
    <t>fwdRate5</t>
  </si>
  <si>
    <t>FORWARD RATE 5</t>
  </si>
  <si>
    <t>fwdDate6</t>
  </si>
  <si>
    <t>FORWARD DATE 6</t>
  </si>
  <si>
    <t>fwdRate6</t>
  </si>
  <si>
    <t>FORWARD RATE 6</t>
  </si>
  <si>
    <t>fwdDate7</t>
  </si>
  <si>
    <t>FORWARD DATE 7</t>
  </si>
  <si>
    <t>fwdRate7</t>
  </si>
  <si>
    <t>FORWARD RATE 7</t>
  </si>
  <si>
    <t>fwdDate8</t>
  </si>
  <si>
    <t>FORWARD DATE 8</t>
  </si>
  <si>
    <t>fwdRate8</t>
  </si>
  <si>
    <t>FORWARD RATE 8</t>
  </si>
  <si>
    <t>fwdDate9</t>
  </si>
  <si>
    <t>FORWARD DATE 9</t>
  </si>
  <si>
    <t>fwdRate9</t>
  </si>
  <si>
    <t>FORWARD RATE 9</t>
  </si>
  <si>
    <t>fwdDate10</t>
  </si>
  <si>
    <t>FORWARD DATE 10</t>
  </si>
  <si>
    <t>fwdRate10</t>
  </si>
  <si>
    <t>FORWARD RATE  10</t>
  </si>
  <si>
    <t>fwdDate11</t>
  </si>
  <si>
    <t>FORWARD DATE 11</t>
  </si>
  <si>
    <t>fwdRate11</t>
  </si>
  <si>
    <t>FORWARD RATE 11</t>
  </si>
  <si>
    <t>fwdDate12</t>
  </si>
  <si>
    <t>FORWARD DATE 12</t>
  </si>
  <si>
    <t>fwdRate12</t>
  </si>
  <si>
    <t>FORWARD RATE 12</t>
  </si>
  <si>
    <t>prmDsInd</t>
  </si>
  <si>
    <t>PRIMARY DISPLAY INDICATOR</t>
  </si>
  <si>
    <t>A flag that determines whether the currency exchange rate or value is shown as the primary display in user interfaces or reports.</t>
  </si>
  <si>
    <t xml:space="preserve">serviceFeeAccNo               </t>
  </si>
  <si>
    <t>SERVICE FEE ACCOUNT NUMBER</t>
  </si>
  <si>
    <t xml:space="preserve">stdOrdCmAccNo                 </t>
  </si>
  <si>
    <t>STANDARD ORDER COMMISSION ACCOUNT NUMBER</t>
  </si>
  <si>
    <t>Likely used to capture commissions earned from standard customer orders</t>
  </si>
  <si>
    <t xml:space="preserve">stdChqChAccNo                 </t>
  </si>
  <si>
    <t>STANDARD CHEQUE CLEARING ACCOUNT NUMBER</t>
  </si>
  <si>
    <t>Used to track the account number designated for standard cheque clearing transactions. Helps in routing and settlement of cheque payments.</t>
  </si>
  <si>
    <t xml:space="preserve">defaultSuspenseAccNo          </t>
  </si>
  <si>
    <t>DEFAULT SUSPENSE ACCOUNT NUMBER</t>
  </si>
  <si>
    <t xml:space="preserve">Temporary holding account for transactions with missing or unclear details. </t>
  </si>
  <si>
    <t xml:space="preserve">retEarn                    </t>
  </si>
  <si>
    <t>RETAINED EARNINGS</t>
  </si>
  <si>
    <t xml:space="preserve">Represents accumulated profits retained by the bank rather than distributed. </t>
  </si>
  <si>
    <t xml:space="preserve">soNpAccNo                     </t>
  </si>
  <si>
    <t>STATUTORY OR NON-PERFORMING ACCOUNT NUMBER</t>
  </si>
  <si>
    <t xml:space="preserve">Likely refers to an account used for statutory provisioning or tracking non-performing assets </t>
  </si>
  <si>
    <t xml:space="preserve">upfrontIntAccNo  </t>
  </si>
  <si>
    <t>UPFRONT INTEREST ACCOUNT NUMBER</t>
  </si>
  <si>
    <t xml:space="preserve">Used to record interest income received in advance, especially in loan products where interest is deducted upfront. </t>
  </si>
  <si>
    <t>feeTxnBankingDate</t>
  </si>
  <si>
    <t xml:space="preserve">FEE TRANSACTION BANKING  DATE </t>
  </si>
  <si>
    <t xml:space="preserve">Fee Transaction Banking Date </t>
  </si>
  <si>
    <t xml:space="preserve">Column  Newly  Added on  28/07/2025  </t>
  </si>
  <si>
    <t>10,2</t>
  </si>
  <si>
    <t>precision Information Added on 29/07/2025</t>
  </si>
  <si>
    <t>repayBal</t>
  </si>
  <si>
    <t>REPAYMENT BALANCE</t>
  </si>
  <si>
    <t xml:space="preserve"> This field records the balance  when the repayment was fully settled and cleared.</t>
  </si>
  <si>
    <t>INTEREST RATE</t>
  </si>
  <si>
    <t xml:space="preserve"> This field records the rate of interest</t>
  </si>
  <si>
    <t xml:space="preserve"> This field has date with no esidata param to define it</t>
  </si>
  <si>
    <t xml:space="preserve">Added column on 04/08/2025 </t>
  </si>
  <si>
    <t xml:space="preserve">overallDC         </t>
  </si>
  <si>
    <t>Overall Debit/Credit</t>
  </si>
  <si>
    <t>Net debit or credit position of the account.</t>
  </si>
  <si>
    <t xml:space="preserve">intDays           </t>
  </si>
  <si>
    <t>Interest Days</t>
  </si>
  <si>
    <t>Number of days used for interest calculation.</t>
  </si>
  <si>
    <t xml:space="preserve">drCategory     </t>
  </si>
  <si>
    <t>Debit Category</t>
  </si>
  <si>
    <t>Classification of debit transactions.</t>
  </si>
  <si>
    <t xml:space="preserve">nettDC            </t>
  </si>
  <si>
    <t>Net Debit/Credit</t>
  </si>
  <si>
    <t>Final net amount after all debits and credits.</t>
  </si>
  <si>
    <t xml:space="preserve">cashInflow     </t>
  </si>
  <si>
    <t>Cash Inflow</t>
  </si>
  <si>
    <t>Total cash received into the account.</t>
  </si>
  <si>
    <t xml:space="preserve">cshOutflow     </t>
  </si>
  <si>
    <t>Cash Outflow</t>
  </si>
  <si>
    <t>Total cash withdrawn or paid out.</t>
  </si>
  <si>
    <t xml:space="preserve">tranfPosition     </t>
  </si>
  <si>
    <t>Transfer Position</t>
  </si>
  <si>
    <t>Status or amount related to fund transfers.</t>
  </si>
  <si>
    <t xml:space="preserve">liquidity         </t>
  </si>
  <si>
    <t>Liquidity</t>
  </si>
  <si>
    <t>Availability of liquid funds in the account.</t>
  </si>
  <si>
    <t xml:space="preserve">custAnalysis      </t>
  </si>
  <si>
    <t>Customer Analysis</t>
  </si>
  <si>
    <t>Analytical data about customer behavior or transactions.</t>
  </si>
  <si>
    <t xml:space="preserve">CALimitNo      </t>
  </si>
  <si>
    <t>Credit Assessment Limit Number</t>
  </si>
  <si>
    <t>Identifier for credit limit assessment.</t>
  </si>
  <si>
    <t xml:space="preserve">CASubTotal1    </t>
  </si>
  <si>
    <t>Credit Assessment Subtotals</t>
  </si>
  <si>
    <t>Intermediate totals used in credit scoring or limit calculation.</t>
  </si>
  <si>
    <t xml:space="preserve">CASubTotal2    </t>
  </si>
  <si>
    <t xml:space="preserve">CASubTotal3    </t>
  </si>
  <si>
    <t xml:space="preserve">CASubTotal4    </t>
  </si>
  <si>
    <t xml:space="preserve">CASubTotal5    </t>
  </si>
  <si>
    <t xml:space="preserve">CASubTotal6    </t>
  </si>
  <si>
    <t xml:space="preserve">CASubTotal7    </t>
  </si>
  <si>
    <t xml:space="preserve">CASubTotal8    </t>
  </si>
  <si>
    <t xml:space="preserve">CASubTotal9    </t>
  </si>
  <si>
    <t xml:space="preserve">liquidityStatus   </t>
  </si>
  <si>
    <t>Liquidity Status</t>
  </si>
  <si>
    <t>Indicates whether account has sufficient liquidity.</t>
  </si>
  <si>
    <t xml:space="preserve">autoStrip         </t>
  </si>
  <si>
    <t>Auto Strip</t>
  </si>
  <si>
    <t>Automatic deduction or allocation of funds.</t>
  </si>
  <si>
    <t xml:space="preserve">passbook          </t>
  </si>
  <si>
    <t>Passbook</t>
  </si>
  <si>
    <t>Indicates if passbook is issued or updated.</t>
  </si>
  <si>
    <t xml:space="preserve">availableBal      </t>
  </si>
  <si>
    <t>Available Balance</t>
  </si>
  <si>
    <t>Funds available for withdrawal.</t>
  </si>
  <si>
    <t xml:space="preserve"> fixedDeposit       </t>
  </si>
  <si>
    <t>Fixed Deposit</t>
  </si>
  <si>
    <t>Amount held in fixed deposit.</t>
  </si>
  <si>
    <t xml:space="preserve"> billCdSec          </t>
  </si>
  <si>
    <t>Bill Code Security</t>
  </si>
  <si>
    <t>Security or collateral linked to bill transactions.</t>
  </si>
  <si>
    <t xml:space="preserve"> dormant            </t>
  </si>
  <si>
    <t>Dormant</t>
  </si>
  <si>
    <t>Flag indicating inactive account.</t>
  </si>
  <si>
    <t xml:space="preserve"> months          </t>
  </si>
  <si>
    <t>Months</t>
  </si>
  <si>
    <t>Duration field, often used for maturity or tenure.</t>
  </si>
  <si>
    <t xml:space="preserve"> closedAccount      </t>
  </si>
  <si>
    <t>Closed Account</t>
  </si>
  <si>
    <t>Indicates if account is closed.</t>
  </si>
  <si>
    <t xml:space="preserve"> asAtInt            </t>
  </si>
  <si>
    <t>As At Interest</t>
  </si>
  <si>
    <t>Interest calculated as of a specific date.</t>
  </si>
  <si>
    <t xml:space="preserve"> swfitType          </t>
  </si>
  <si>
    <t>SWIFT Type</t>
  </si>
  <si>
    <t>Type of SWIFT transaction or message.</t>
  </si>
  <si>
    <t xml:space="preserve"> dpIntLim           </t>
  </si>
  <si>
    <t>Deposit Interest Limit</t>
  </si>
  <si>
    <t>Maximum interest applicable on deposits.</t>
  </si>
  <si>
    <t xml:space="preserve"> nominalAc          </t>
  </si>
  <si>
    <t>Nominal Account</t>
  </si>
  <si>
    <t>Account used for temporary or balancing entries.</t>
  </si>
  <si>
    <t xml:space="preserve"> arrearAdv          </t>
  </si>
  <si>
    <t>Arrear Advance</t>
  </si>
  <si>
    <t>Advance given against arrears.</t>
  </si>
  <si>
    <t xml:space="preserve"> CFType             </t>
  </si>
  <si>
    <t>Cash Flow Type</t>
  </si>
  <si>
    <t>Type of cash flow</t>
  </si>
  <si>
    <t xml:space="preserve"> insurance          </t>
  </si>
  <si>
    <t>Insurance</t>
  </si>
  <si>
    <t>Insurance linked to account or loan.</t>
  </si>
  <si>
    <t xml:space="preserve"> taxCalc            </t>
  </si>
  <si>
    <t>Tax Calculation</t>
  </si>
  <si>
    <t>Method or result of tax computation.</t>
  </si>
  <si>
    <t xml:space="preserve"> intType            </t>
  </si>
  <si>
    <t>Interest Type</t>
  </si>
  <si>
    <t xml:space="preserve">Type of interest </t>
  </si>
  <si>
    <t xml:space="preserve"> intHist            </t>
  </si>
  <si>
    <t>Interest History</t>
  </si>
  <si>
    <t>Record of past interest calculations.</t>
  </si>
  <si>
    <t xml:space="preserve"> taxMethod          </t>
  </si>
  <si>
    <t>Tax Method</t>
  </si>
  <si>
    <t xml:space="preserve">Taxation approach </t>
  </si>
  <si>
    <t xml:space="preserve"> revCred            </t>
  </si>
  <si>
    <t>Reversal Credit</t>
  </si>
  <si>
    <t>Credit entry reversing a previous debit.</t>
  </si>
  <si>
    <t xml:space="preserve"> fixDepPb           </t>
  </si>
  <si>
    <t>Fixed Deposit Passbook</t>
  </si>
  <si>
    <t>Passbook details for fixed deposit.</t>
  </si>
  <si>
    <t xml:space="preserve"> yrDaysFlag         </t>
  </si>
  <si>
    <t>Year Days Flag</t>
  </si>
  <si>
    <t>Indicates whether interest is calculated on 360 or 365 days.</t>
  </si>
  <si>
    <t xml:space="preserve"> penaltyInt         </t>
  </si>
  <si>
    <t>Penalty Interest</t>
  </si>
  <si>
    <t>Interest charged as penalty for overdue payments.</t>
  </si>
  <si>
    <t xml:space="preserve"> acctLimitHistory   </t>
  </si>
  <si>
    <t>Account Limit History</t>
  </si>
  <si>
    <t>Historical changes in account limits.</t>
  </si>
  <si>
    <t xml:space="preserve"> compundInterest    </t>
  </si>
  <si>
    <t>Compound Interest</t>
  </si>
  <si>
    <t>Interest calculated on principal + accrued interest.</t>
  </si>
  <si>
    <t xml:space="preserve"> branchLend         </t>
  </si>
  <si>
    <t>Branch Lending</t>
  </si>
  <si>
    <t>Lending done by a specific branch.</t>
  </si>
  <si>
    <t xml:space="preserve"> nbtLimit        </t>
  </si>
  <si>
    <t>Net Banking Transaction Limit</t>
  </si>
  <si>
    <t>Limit for online banking transactions.</t>
  </si>
  <si>
    <t xml:space="preserve"> upfrtDep           </t>
  </si>
  <si>
    <t>Upfront Deposit</t>
  </si>
  <si>
    <t>Deposit collected in advance.</t>
  </si>
  <si>
    <t xml:space="preserve"> pIntPer            </t>
  </si>
  <si>
    <t>Periodic Interest Percentage</t>
  </si>
  <si>
    <t>Interest rate applied periodically.</t>
  </si>
  <si>
    <t xml:space="preserve"> bbcLend            </t>
  </si>
  <si>
    <t>Bank Branch Credit Lending</t>
  </si>
  <si>
    <t>Lending done under a specific credit program.</t>
  </si>
  <si>
    <t>This field maintain the Supress check limit flag.
 0-Realtime posting limit performed 
1-Limit checking not performed</t>
  </si>
  <si>
    <t>anutyLn1</t>
  </si>
  <si>
    <t>ANNUITY LOAN FLAGS 1</t>
  </si>
  <si>
    <t>Annuity Loan Flags 1</t>
  </si>
  <si>
    <t>anutyLn2</t>
  </si>
  <si>
    <t>ANNUITY LOAN FLAGS 2</t>
  </si>
  <si>
    <t>Annuity Loan Flags 2</t>
  </si>
  <si>
    <t>anutyLn3</t>
  </si>
  <si>
    <t>ANNUITY LOAN FLAGS 3</t>
  </si>
  <si>
    <t>Annuity Loan Flags 3</t>
  </si>
  <si>
    <t>anutyLn4</t>
  </si>
  <si>
    <t>ANNUITY LOAN FLAGS 4</t>
  </si>
  <si>
    <t>Annuity Loan Flags 4</t>
  </si>
  <si>
    <t>anutyLn5</t>
  </si>
  <si>
    <t>ANNUITY LOAN FLAGS 5</t>
  </si>
  <si>
    <t>Annuity Loan Flags 5</t>
  </si>
  <si>
    <t>anutyLn6</t>
  </si>
  <si>
    <t>ANNUITY LOAN FLAGS 6</t>
  </si>
  <si>
    <t>Annuity Loan Flags 6</t>
  </si>
  <si>
    <t>anutyLn7</t>
  </si>
  <si>
    <t>ANNUITY LOAN FLAGS 7</t>
  </si>
  <si>
    <t>Annuity Loan Flags 7</t>
  </si>
  <si>
    <t>anutyLn8</t>
  </si>
  <si>
    <t>ANNUITY LOAN FLAGS 8</t>
  </si>
  <si>
    <t>Annuity Loan Flags 8</t>
  </si>
  <si>
    <t>anutyLn9</t>
  </si>
  <si>
    <t>ANNUITY LOAN FLAGS 9</t>
  </si>
  <si>
    <t>Annuity Loan Flags 9</t>
  </si>
  <si>
    <t>anutyLn10</t>
  </si>
  <si>
    <t>ANNUITY LOAN FLAGS 10</t>
  </si>
  <si>
    <t>Annuity Loan Flags 10</t>
  </si>
  <si>
    <t>doubtfulInd</t>
  </si>
  <si>
    <t>ISDOUBTFULLOAN</t>
  </si>
  <si>
    <t>Indicates whether the loan is classified as doubtful due to repayment risk</t>
  </si>
  <si>
    <t>doubtfulPer</t>
  </si>
  <si>
    <t>DOUBTFULPERIOD</t>
  </si>
  <si>
    <t>Time period during which the loan is considered doubtful</t>
  </si>
  <si>
    <t>pointer1</t>
  </si>
  <si>
    <t>POINTER 1</t>
  </si>
  <si>
    <t>This fields maintain details of Potnter 1</t>
  </si>
  <si>
    <t>pointer2</t>
  </si>
  <si>
    <t>POINTER 2</t>
  </si>
  <si>
    <t>blockMod</t>
  </si>
  <si>
    <t>MODIFICATIONBLOCKED</t>
  </si>
  <si>
    <t>Flag to indicate if loan modifications are restricted</t>
  </si>
  <si>
    <t>enhanceMod</t>
  </si>
  <si>
    <t>MODIFICATIONENHANCED</t>
  </si>
  <si>
    <t>Flag to indicate if enhanced modification features are enabled</t>
  </si>
  <si>
    <t>tranType1</t>
  </si>
  <si>
    <t>TRANSACTION TYPE 1</t>
  </si>
  <si>
    <t>This fields maintain details of transaction type 1</t>
  </si>
  <si>
    <t>tranType2</t>
  </si>
  <si>
    <t>TRANSACTION TYPE 2</t>
  </si>
  <si>
    <t>This fields maintain details of transaction type 2</t>
  </si>
  <si>
    <t>tranType3</t>
  </si>
  <si>
    <t>TRANSACTION TYPE 3</t>
  </si>
  <si>
    <t>This fields maintain details of transaction type 3</t>
  </si>
  <si>
    <t>tranType4</t>
  </si>
  <si>
    <t>TRANSACTION TYPE 4</t>
  </si>
  <si>
    <t>This fields maintain details of transaction type 4</t>
  </si>
  <si>
    <t>tranType5</t>
  </si>
  <si>
    <t>TRANSACTION TYPE 5</t>
  </si>
  <si>
    <t>This fields maintain details of transaction type 5</t>
  </si>
  <si>
    <t>spoolDef</t>
  </si>
  <si>
    <t>SPOOL DEFINITION</t>
  </si>
  <si>
    <t>Define Spool In ON or OFF</t>
  </si>
  <si>
    <t>xrefCode</t>
  </si>
  <si>
    <t>CROSS REFERENCE CODE</t>
  </si>
  <si>
    <t>hashCode</t>
  </si>
  <si>
    <t>HASH CODE</t>
  </si>
  <si>
    <t>A fixed-length value generated from data for integrity checks or indexing.</t>
  </si>
  <si>
    <t>autoRef</t>
  </si>
  <si>
    <t>AUTOMATIC REFERENCE</t>
  </si>
  <si>
    <t>Enables automatic cross-referencing of labeled items  in documentation or systems.</t>
  </si>
  <si>
    <t>navgRate</t>
  </si>
  <si>
    <t>NAVIGATION RATE</t>
  </si>
  <si>
    <t>Possibly refers to average rate used in navigation or rate tracking systems.</t>
  </si>
  <si>
    <t>minMax</t>
  </si>
  <si>
    <t>MINIMUM/MAXIMUM</t>
  </si>
  <si>
    <t>Defines lower and upper bounds for values such as inventory, loan amounts, or interest rates.</t>
  </si>
  <si>
    <t>rtChgStm</t>
  </si>
  <si>
    <t>RATE CHANGE STATEMENT</t>
  </si>
  <si>
    <t>Indicates when and how interest or fee rates are adjusted.</t>
  </si>
  <si>
    <t>recBalanc</t>
  </si>
  <si>
    <t>RECORD BALANCE</t>
  </si>
  <si>
    <t>Tracks the balance of a specific record or account.</t>
  </si>
  <si>
    <t>rateMask</t>
  </si>
  <si>
    <t>RATE MASK</t>
  </si>
  <si>
    <t>A template or pattern used to format or restrict rate values.</t>
  </si>
  <si>
    <t>xrateMask</t>
  </si>
  <si>
    <t>EXTENDED RATE MASK</t>
  </si>
  <si>
    <t>An advanced version of RATEMASK, possibly with more granular control.</t>
  </si>
  <si>
    <t>subRefFlag</t>
  </si>
  <si>
    <t>SUB REFERENCE FLAG</t>
  </si>
  <si>
    <t>Indicates whether a sub-reference is active or applicable.</t>
  </si>
  <si>
    <t>repayBch</t>
  </si>
  <si>
    <t>REPAYMENT BRANCH</t>
  </si>
  <si>
    <t>Identifies the branch responsible for loan repayment processing.</t>
  </si>
  <si>
    <t>fullXref</t>
  </si>
  <si>
    <t>FULL CROSS REFERENCE</t>
  </si>
  <si>
    <t>A complete mapping of related records or transactions.</t>
  </si>
  <si>
    <t>yearEndMMDD</t>
  </si>
  <si>
    <t>YEAR END (MMDD)</t>
  </si>
  <si>
    <t>Specifies the month and day of the fiscal year-end.</t>
  </si>
  <si>
    <t>lapseMonths</t>
  </si>
  <si>
    <t>LAPSE MONTHS</t>
  </si>
  <si>
    <t>Number of months after which a policy or account lapses.</t>
  </si>
  <si>
    <t>maskFill</t>
  </si>
  <si>
    <t>MASK FILL</t>
  </si>
  <si>
    <t>Character or value used to fill masked fields.</t>
  </si>
  <si>
    <t>limitsBc</t>
  </si>
  <si>
    <t>LIMITS BY CATEGORY</t>
  </si>
  <si>
    <t>Sets limits based on business category or classification.</t>
  </si>
  <si>
    <t>limMonitor</t>
  </si>
  <si>
    <t>LIMIT MONITOR</t>
  </si>
  <si>
    <t>Tracks usage against predefined limits.</t>
  </si>
  <si>
    <t>interestRun</t>
  </si>
  <si>
    <t>INTEREST RUN</t>
  </si>
  <si>
    <t>Indicates whether interest calculation is active.</t>
  </si>
  <si>
    <t>maxSubRef</t>
  </si>
  <si>
    <t>MAXIMUM SUB REFERENCE</t>
  </si>
  <si>
    <t>Sets the maximum number of sub-references allowed.</t>
  </si>
  <si>
    <t>fxLimit</t>
  </si>
  <si>
    <t>FOREIGN EXCHANGE LIMIT</t>
  </si>
  <si>
    <t>Maximum allowable FX exposure or transaction amount.</t>
  </si>
  <si>
    <t>FOREIGN EXCHANGE TOLERANCE</t>
  </si>
  <si>
    <t>scFIntrest</t>
  </si>
  <si>
    <t>SPECIAL CONDITION INTEREST</t>
  </si>
  <si>
    <t>Interest applied under special conditions.</t>
  </si>
  <si>
    <t>excessOnCredit</t>
  </si>
  <si>
    <t>EXCESS ON CREDIT</t>
  </si>
  <si>
    <t>Amount exceeding the credit limit.</t>
  </si>
  <si>
    <t>rateChange</t>
  </si>
  <si>
    <t>RATE CHANGE</t>
  </si>
  <si>
    <t>Indicates a change in interest or fee rate.</t>
  </si>
  <si>
    <t>synAcType</t>
  </si>
  <si>
    <t>SYNCHRONIZED ACCOUNT TYPE</t>
  </si>
  <si>
    <t>Account type used in synchronized systems.</t>
  </si>
  <si>
    <t>autoAppor</t>
  </si>
  <si>
    <t>AUTOMATIC APPROVAL</t>
  </si>
  <si>
    <t>Enables auto-approval of transactions or loans.</t>
  </si>
  <si>
    <t>SUSPENSE ACCOUNT NUMBER</t>
  </si>
  <si>
    <t>Temporary holding account for unresolved transactions.</t>
  </si>
  <si>
    <t>pwBvTr</t>
  </si>
  <si>
    <t>PASSWORD/BULK VALUE TRANSFER</t>
  </si>
  <si>
    <t>Possibly related to secure transaction or password validation.</t>
  </si>
  <si>
    <t>fxDelLim</t>
  </si>
  <si>
    <t>FX DELIVERY LIMIT</t>
  </si>
  <si>
    <t>Limit on foreign exchange delivery.</t>
  </si>
  <si>
    <t>longName</t>
  </si>
  <si>
    <t>LONG NAME</t>
  </si>
  <si>
    <t>Full descriptive name of an entity or account.</t>
  </si>
  <si>
    <t>enqPwLevel</t>
  </si>
  <si>
    <t>ENQUIRY PASSWORD LEVEL</t>
  </si>
  <si>
    <t>Security level required for password-based enquiries.</t>
  </si>
  <si>
    <t>partnInt</t>
  </si>
  <si>
    <t>PARTNER INTEREST</t>
  </si>
  <si>
    <t>Interest earned or paid to a partner.</t>
  </si>
  <si>
    <t>intAppMemo</t>
  </si>
  <si>
    <t>INTEREST APPLICATION MEMO</t>
  </si>
  <si>
    <t>Notes or memo related to interest application.</t>
  </si>
  <si>
    <t>autoStrip</t>
  </si>
  <si>
    <t>AUTOMATIC STRIP</t>
  </si>
  <si>
    <t>Automatically removes or parses data fields.</t>
  </si>
  <si>
    <t>billCdSec</t>
  </si>
  <si>
    <t>BILL CODE SECTION</t>
  </si>
  <si>
    <t>Section of billing code used for classification.</t>
  </si>
  <si>
    <t>boeCodes</t>
  </si>
  <si>
    <t>BILL OF EXCHANGE CODES</t>
  </si>
  <si>
    <t>Codes used for processing bills of exchange.</t>
  </si>
  <si>
    <t>grossNet</t>
  </si>
  <si>
    <t>GROSS NET</t>
  </si>
  <si>
    <t>Indicates whether values are gross or net.</t>
  </si>
  <si>
    <t>bckvlTier</t>
  </si>
  <si>
    <t>BACK VALUE TIER</t>
  </si>
  <si>
    <t>Tier used for backdated value processing.</t>
  </si>
  <si>
    <t>sublistAc</t>
  </si>
  <si>
    <t>SUB LIST ACCOUNT</t>
  </si>
  <si>
    <t>Account used for sub-listing or grouping.</t>
  </si>
  <si>
    <t>chckDigits</t>
  </si>
  <si>
    <t>CHECK DIGITS</t>
  </si>
  <si>
    <t>Digits used for validation (e.g., in account numbers).</t>
  </si>
  <si>
    <t>checkDigitDisplay</t>
  </si>
  <si>
    <t>CHECK DIGIT DISPLAY</t>
  </si>
  <si>
    <t>Controls whether check digits are shown.</t>
  </si>
  <si>
    <t>chequeRange</t>
  </si>
  <si>
    <t>CHEQUE RANGE</t>
  </si>
  <si>
    <t>Range of cheque numbers assigned.</t>
  </si>
  <si>
    <t>intSwing</t>
  </si>
  <si>
    <t>INTEREST SWING</t>
  </si>
  <si>
    <t>Fluctuation in interest rates.</t>
  </si>
  <si>
    <t>tierFormt</t>
  </si>
  <si>
    <t>TIER FORMAT</t>
  </si>
  <si>
    <t>Format used for tiered structures (e.g., interest tiers).</t>
  </si>
  <si>
    <t>intRecalc</t>
  </si>
  <si>
    <t>INTEREST RECALCULATION</t>
  </si>
  <si>
    <t>Indicates whether interest is recalculated.</t>
  </si>
  <si>
    <t>currRounding</t>
  </si>
  <si>
    <t>CURRENCY ROUNDING</t>
  </si>
  <si>
    <t>Rounding rules for currency values.</t>
  </si>
  <si>
    <t>effIntRate</t>
  </si>
  <si>
    <t>EFFECTIVE INTEREST RATE</t>
  </si>
  <si>
    <t>Actual interest rate after compounding.</t>
  </si>
  <si>
    <t>SP0001</t>
  </si>
  <si>
    <t>pbkClear</t>
  </si>
  <si>
    <t>PASSBOOK CLEAR</t>
  </si>
  <si>
    <t>Indicates if passbook entries should be cleared or reset</t>
  </si>
  <si>
    <t>pbkNbtXs</t>
  </si>
  <si>
    <t>PASSBOOK NON-BANK TRANSACTIONS EXCESS</t>
  </si>
  <si>
    <t>Controls limit for non-bank excess transactions in passbook</t>
  </si>
  <si>
    <t>nbtBfTr</t>
  </si>
  <si>
    <t>NON-BANK TRANSACTIONS BEFORE TRIGGER</t>
  </si>
  <si>
    <t>Sets threshold for system trigger before processing non-bank transactions</t>
  </si>
  <si>
    <t>maxNbts</t>
  </si>
  <si>
    <t>MAXIMUM NON-BANK TRANSACTIONS</t>
  </si>
  <si>
    <t>Maximum number of non-bank transactions allowed</t>
  </si>
  <si>
    <t>tranMerge</t>
  </si>
  <si>
    <t>TRANSACTION MERGE</t>
  </si>
  <si>
    <t>Enables merging multiple transactions into a single passbook entry</t>
  </si>
  <si>
    <t>mmVerify</t>
  </si>
  <si>
    <t>MULTI-MODE VERIFICATION</t>
  </si>
  <si>
    <t>Flag for enabling dual/multi-factor verification</t>
  </si>
  <si>
    <t>bcsTolerance</t>
  </si>
  <si>
    <t>BUDGET CONTROL SYSTEM TOLERANCE</t>
  </si>
  <si>
    <t>Tolerance range before triggering budget control alerts</t>
  </si>
  <si>
    <t>statTag</t>
  </si>
  <si>
    <t>STATUS TAG</t>
  </si>
  <si>
    <t>Tag identifying the account's status</t>
  </si>
  <si>
    <t>batchLimits</t>
  </si>
  <si>
    <t>BATCH PROCESSING LIMITS</t>
  </si>
  <si>
    <t>Limits on transactions processed in a batch</t>
  </si>
  <si>
    <t>bcsInqDsp</t>
  </si>
  <si>
    <t>BUDGET CONTROL SYSTEM INQUIRY DISPLAY</t>
  </si>
  <si>
    <t>Display settings for BCS-related inquiries</t>
  </si>
  <si>
    <t>xchRtDsp</t>
  </si>
  <si>
    <t>EXCHANGE RATE DISPLAY</t>
  </si>
  <si>
    <t>Determines if exchange rate is displayed in passbook</t>
  </si>
  <si>
    <t>maxPbline</t>
  </si>
  <si>
    <t>MAXIMUM PASSBOOK LINES</t>
  </si>
  <si>
    <t>Limit on the number of passbook lines that can be printed or stored</t>
  </si>
  <si>
    <t>expiryLim</t>
  </si>
  <si>
    <t>EXPIRY LIMIT</t>
  </si>
  <si>
    <t>Limit for account or passbook expiration</t>
  </si>
  <si>
    <t>rpIntUpd</t>
  </si>
  <si>
    <t>REPOST INTEREST UPDATE</t>
  </si>
  <si>
    <t>Flags interest update for reposted transactions</t>
  </si>
  <si>
    <t>tenBands</t>
  </si>
  <si>
    <t>TENURE BANDS</t>
  </si>
  <si>
    <t>Groupings based on account tenure for interest or classification</t>
  </si>
  <si>
    <t>zeroRate</t>
  </si>
  <si>
    <t>ZERO INTEREST RATE</t>
  </si>
  <si>
    <t>Sets interest rate to zero (e.g., dormant accounts)</t>
  </si>
  <si>
    <t>gapUpdate</t>
  </si>
  <si>
    <t>GAP UPDATE</t>
  </si>
  <si>
    <t>Updates interest/maturity date gaps</t>
  </si>
  <si>
    <t>altCust</t>
  </si>
  <si>
    <t>ALTERNATE CUSTOMER</t>
  </si>
  <si>
    <t>Reference to alternate or linked customer profile</t>
  </si>
  <si>
    <t>TTS</t>
  </si>
  <si>
    <t>TRANSACTION TRACKING SYSTEM</t>
  </si>
  <si>
    <t>Enables internal transaction tracking system</t>
  </si>
  <si>
    <t>fromBroker</t>
  </si>
  <si>
    <t>FROM BROKER</t>
  </si>
  <si>
    <t>Flag for transactions initiated by brokers</t>
  </si>
  <si>
    <t>toBroker</t>
  </si>
  <si>
    <t>TO BROKER</t>
  </si>
  <si>
    <t>Flag for transactions destined to brokers</t>
  </si>
  <si>
    <t>slaveRetn</t>
  </si>
  <si>
    <t>SLAVE ACCOUNT RETENTION</t>
  </si>
  <si>
    <t>Keeps linked (slave) accounts active or tracked</t>
  </si>
  <si>
    <t>taxOnXcs</t>
  </si>
  <si>
    <t>TAX ON CROSS-CURRENCY SALES</t>
  </si>
  <si>
    <t>Applies tax to foreign exchange transactions</t>
  </si>
  <si>
    <t>extLimits</t>
  </si>
  <si>
    <t>EXTERNAL LIMITS</t>
  </si>
  <si>
    <t>Defines limits imposed by external regulators or systems</t>
  </si>
  <si>
    <t>showAvailableBal</t>
  </si>
  <si>
    <t>SHOW AVAILABLE BALANCE</t>
  </si>
  <si>
    <t>Enables display of available balance in passbook</t>
  </si>
  <si>
    <t>arabic</t>
  </si>
  <si>
    <t>ARABIC DISPLAY</t>
  </si>
  <si>
    <t>Enables Arabic language output</t>
  </si>
  <si>
    <t>arabChar</t>
  </si>
  <si>
    <t>ARABIC CHARACTER SET</t>
  </si>
  <si>
    <t>Defines character set used for Arabic script</t>
  </si>
  <si>
    <t>oRideCdg</t>
  </si>
  <si>
    <t>OVERRIDE CODING</t>
  </si>
  <si>
    <t>Allows bypassing default transaction coding rules</t>
  </si>
  <si>
    <t>memStrDt</t>
  </si>
  <si>
    <t>MEMBER START DATE</t>
  </si>
  <si>
    <t>Start date for group or club membership linked to account</t>
  </si>
  <si>
    <t>SeqChain</t>
  </si>
  <si>
    <t>SEQUENTIAL CHAIN</t>
  </si>
  <si>
    <t>Enforces sequence logic between transactions</t>
  </si>
  <si>
    <t>dpIntFlg</t>
  </si>
  <si>
    <t>DEPOSIT INTEREST FLAG</t>
  </si>
  <si>
    <t>Enables interest calculation on deposits</t>
  </si>
  <si>
    <t>easidEr</t>
  </si>
  <si>
    <t>ELECTRONIC ACCOUNT SETUP ID ERROR</t>
  </si>
  <si>
    <t>Error flag related to digital account setup</t>
  </si>
  <si>
    <t>anbBranch</t>
  </si>
  <si>
    <t>ASSOCIATED NATIONAL BANK BRANCH</t>
  </si>
  <si>
    <t>Identifies the branch that created or manages the account</t>
  </si>
  <si>
    <t>minIntAp</t>
  </si>
  <si>
    <t>MINIMUM INTEREST APPLICABLE</t>
  </si>
  <si>
    <t>Threshold for applying interest on balances</t>
  </si>
  <si>
    <t>BIP</t>
  </si>
  <si>
    <t>BATCH INTEREST POSTING</t>
  </si>
  <si>
    <t>Enables bulk interest postings via automated system</t>
  </si>
  <si>
    <t>timeLimits</t>
  </si>
  <si>
    <t>TIME LIMITS</t>
  </si>
  <si>
    <t>Restricts transactions based on time windows</t>
  </si>
  <si>
    <t>curholiday</t>
  </si>
  <si>
    <t>CURRENCY HOLIDAY</t>
  </si>
  <si>
    <t>Denotes non-working days for specific currencies</t>
  </si>
  <si>
    <t>origianlBranch</t>
  </si>
  <si>
    <t>ORIGINAL BRANCH</t>
  </si>
  <si>
    <t>Branch where the account was originally opened</t>
  </si>
  <si>
    <t>edtDelims</t>
  </si>
  <si>
    <t>EDIT DELIMITERS</t>
  </si>
  <si>
    <t>Sets custom formatting delimiters for passbook entries</t>
  </si>
  <si>
    <t>flowBlock</t>
  </si>
  <si>
    <t>FLOW BLOCK</t>
  </si>
  <si>
    <t>Blocks transaction flow for suspended accounts</t>
  </si>
  <si>
    <t>shortAmnt</t>
  </si>
  <si>
    <t>SHORT AMOUNT</t>
  </si>
  <si>
    <t>Flags transactions with insufficient amounts</t>
  </si>
  <si>
    <t>shortCode1</t>
  </si>
  <si>
    <t>SHORT CODE 1</t>
  </si>
  <si>
    <t>Code identifiers for truncated transaction types</t>
  </si>
  <si>
    <t>shortExp1</t>
  </si>
  <si>
    <t>SHORT EXPLANATION 1</t>
  </si>
  <si>
    <t>Description or label for short codes</t>
  </si>
  <si>
    <t>shortCode2</t>
  </si>
  <si>
    <t>SHORT CODE 2</t>
  </si>
  <si>
    <t>shortExp2</t>
  </si>
  <si>
    <t>SHORT EXPLANATION 2</t>
  </si>
  <si>
    <t>shortCode3</t>
  </si>
  <si>
    <t>SHORT CODE 3</t>
  </si>
  <si>
    <t>shortExp3</t>
  </si>
  <si>
    <t>SHORT EXPLANATION 3</t>
  </si>
  <si>
    <t>altId</t>
  </si>
  <si>
    <t>ALTERNATE IDENTIFIER</t>
  </si>
  <si>
    <t>A secondary ID used for customer/account reference</t>
  </si>
  <si>
    <t>drFundRate7</t>
  </si>
  <si>
    <t>DEBIT FUND RATE 7</t>
  </si>
  <si>
    <t>This  field contains debit fund rate  7</t>
  </si>
  <si>
    <t>crFundRate7</t>
  </si>
  <si>
    <t>CREDIT FUND RATE 7</t>
  </si>
  <si>
    <t>This  field contains credit fund rate  7</t>
  </si>
  <si>
    <t>drFundRate8</t>
  </si>
  <si>
    <t>DEBIT FUND RATE 8</t>
  </si>
  <si>
    <t>This  field contains debit fund rate  8</t>
  </si>
  <si>
    <t>crFundRate8</t>
  </si>
  <si>
    <t>CREDIT FUND RATE 8</t>
  </si>
  <si>
    <t>This  field contains credit fund rate  8</t>
  </si>
  <si>
    <t>drFundRate9</t>
  </si>
  <si>
    <t>DEBIT FUND RATE 9</t>
  </si>
  <si>
    <t>This  field contains debit fund rate  9</t>
  </si>
  <si>
    <t>crFundRate9</t>
  </si>
  <si>
    <t>CREDIT FUND RATE 9</t>
  </si>
  <si>
    <t>This  field contains credit fund rate  9</t>
  </si>
  <si>
    <t>drFundRateA</t>
  </si>
  <si>
    <t>DEBIT FUND RATE A</t>
  </si>
  <si>
    <t>This  field contains debit fund rate  A</t>
  </si>
  <si>
    <t>crFundRateA</t>
  </si>
  <si>
    <t>CREDIT FUND RATE A</t>
  </si>
  <si>
    <t>This  field contains credit fund rate  A</t>
  </si>
  <si>
    <t>drFundRateB</t>
  </si>
  <si>
    <t>DEBIT FUND RATE B</t>
  </si>
  <si>
    <t>This  field contains debit fund rate  B</t>
  </si>
  <si>
    <t>crFundRateB</t>
  </si>
  <si>
    <t>CREDIT FUND RATE B</t>
  </si>
  <si>
    <t>This  field contains credit fund rate  B</t>
  </si>
  <si>
    <t>drFundRateC</t>
  </si>
  <si>
    <t>DEBIT FUND RATE C</t>
  </si>
  <si>
    <t>This  field contains debit fund rate  C</t>
  </si>
  <si>
    <t>crFundRateC</t>
  </si>
  <si>
    <t>CREDIT FUND RATE C</t>
  </si>
  <si>
    <t>This  field contains credit fund rate C</t>
  </si>
  <si>
    <t>drFundRateD</t>
  </si>
  <si>
    <t>DEBIT FUND RATE D</t>
  </si>
  <si>
    <t>This  field contains debit fund rate D</t>
  </si>
  <si>
    <t>crFundRateD</t>
  </si>
  <si>
    <t>CREDIT FUND RATE D</t>
  </si>
  <si>
    <t>This  field contains credit fund rate D</t>
  </si>
  <si>
    <t>drFundRateE</t>
  </si>
  <si>
    <t>DEBIT FUND RATE E</t>
  </si>
  <si>
    <t>This  field contains debit fund rate E</t>
  </si>
  <si>
    <t>crFundRateE</t>
  </si>
  <si>
    <t>CREDIT FUND RATE E</t>
  </si>
  <si>
    <t>This  field contains credit fund rate E</t>
  </si>
  <si>
    <t>drFundRateF</t>
  </si>
  <si>
    <t>DEBIT FUND RATE F</t>
  </si>
  <si>
    <t>This  field contains debit fund rate F</t>
  </si>
  <si>
    <t>crFundRateF</t>
  </si>
  <si>
    <t>CREDIT FUND RATE F</t>
  </si>
  <si>
    <t>This  field contains credit fund rate F</t>
  </si>
  <si>
    <t>drFundRateG</t>
  </si>
  <si>
    <t>DEBIT FUND RATE G</t>
  </si>
  <si>
    <t>This  field contains debit fund rate G</t>
  </si>
  <si>
    <t>crFundRateG</t>
  </si>
  <si>
    <t>CREDIT FUND RATE G</t>
  </si>
  <si>
    <t>This  field contains credit fund rate G</t>
  </si>
  <si>
    <t>drFundRateH</t>
  </si>
  <si>
    <t>DEBIT FUND RATE H</t>
  </si>
  <si>
    <t>This  field contains debit fund rate H</t>
  </si>
  <si>
    <t>crFundRateH</t>
  </si>
  <si>
    <t>CREDIT FUND RATE H</t>
  </si>
  <si>
    <t>This  field contains credit fund rate H</t>
  </si>
  <si>
    <t>drFundRateI</t>
  </si>
  <si>
    <t>DEBIT FUND RATE I</t>
  </si>
  <si>
    <t>This  field contains debit fund rate I</t>
  </si>
  <si>
    <t>crFundRateI</t>
  </si>
  <si>
    <t>CREDIT FUND RATE I</t>
  </si>
  <si>
    <t>This  field contains credit fund rate I</t>
  </si>
  <si>
    <t>drFundRateJ</t>
  </si>
  <si>
    <t>DEBIT FUND RATE J</t>
  </si>
  <si>
    <t>This  field contains debit fund rate J</t>
  </si>
  <si>
    <t>crFundRateJ</t>
  </si>
  <si>
    <t>CREDIT FUND RATE J</t>
  </si>
  <si>
    <t>This  field contains credit fund rate J</t>
  </si>
  <si>
    <t>drFundRateK</t>
  </si>
  <si>
    <t>DEBIT FUND RATE K</t>
  </si>
  <si>
    <t>This  field contains debit fund rate K</t>
  </si>
  <si>
    <t>crFundRateK</t>
  </si>
  <si>
    <t>CREDIT FUND RATE K</t>
  </si>
  <si>
    <t>This  field contains credit fund rate K</t>
  </si>
  <si>
    <t>drFundRateL</t>
  </si>
  <si>
    <t>DEBIT FUND RATE L</t>
  </si>
  <si>
    <t>This  field contains debit fund rate L</t>
  </si>
  <si>
    <t>crFundRateL</t>
  </si>
  <si>
    <t>CREDIT FUND RATE L</t>
  </si>
  <si>
    <t>This  field contains credit fund rate L</t>
  </si>
  <si>
    <t>drFundRateM</t>
  </si>
  <si>
    <t>DEBIT FUND RATE M</t>
  </si>
  <si>
    <t>This  field contains debit fund rate M</t>
  </si>
  <si>
    <t>crFundRateM</t>
  </si>
  <si>
    <t>CREDIT FUND RATE M</t>
  </si>
  <si>
    <t>This  field contains credit fund rate M</t>
  </si>
  <si>
    <t>drFundRateN</t>
  </si>
  <si>
    <t>DEBIT FUND RATE N</t>
  </si>
  <si>
    <t>This  field contains debit fund rate N</t>
  </si>
  <si>
    <t>crFundRateN</t>
  </si>
  <si>
    <t>CREDIT FUND RATE N</t>
  </si>
  <si>
    <t>This  field contains credit fund rate N</t>
  </si>
  <si>
    <t>drFundRateO</t>
  </si>
  <si>
    <t>DEBIT FUND RATE O</t>
  </si>
  <si>
    <t>This  field contains debit fund rate O</t>
  </si>
  <si>
    <t>crFundRateO</t>
  </si>
  <si>
    <t>CREDIT FUND RATE O</t>
  </si>
  <si>
    <t>This  field contains credit fund rate O</t>
  </si>
  <si>
    <t>drFundRateP</t>
  </si>
  <si>
    <t>DEBIT FUND RATE P</t>
  </si>
  <si>
    <t>This  field contains debit fund rate P</t>
  </si>
  <si>
    <t>crFundRateP</t>
  </si>
  <si>
    <t>CREDIT FUND RATE P</t>
  </si>
  <si>
    <t>This  field contains credit fund rate P</t>
  </si>
  <si>
    <t>drFundRateQ</t>
  </si>
  <si>
    <t>DEBIT FUND RATE Q</t>
  </si>
  <si>
    <t>This  field contains debit fund rate Q</t>
  </si>
  <si>
    <t>crFundRateQ</t>
  </si>
  <si>
    <t>CREDIT FUND RATE Q</t>
  </si>
  <si>
    <t>This  field contains credit fund rate Q</t>
  </si>
  <si>
    <t>drFundRateR</t>
  </si>
  <si>
    <t>DEBIT FUND RATE R</t>
  </si>
  <si>
    <t>This  field contains debit fund rate R</t>
  </si>
  <si>
    <t>crFundRateR</t>
  </si>
  <si>
    <t>CREDIT FUND RATE R</t>
  </si>
  <si>
    <t>This  field contains credit fund rate R</t>
  </si>
  <si>
    <t>drFundRateS</t>
  </si>
  <si>
    <t>DEBIT FUND RATE S</t>
  </si>
  <si>
    <t>This  field contains debit fund rate S</t>
  </si>
  <si>
    <t>crFundRateS</t>
  </si>
  <si>
    <t>CREDIT FUND RATE S</t>
  </si>
  <si>
    <t>This  field contains credit fund rate S</t>
  </si>
  <si>
    <t>drFundRateT</t>
  </si>
  <si>
    <t>DEBIT FUND RATE T</t>
  </si>
  <si>
    <t>This  field contains debit fund rate T</t>
  </si>
  <si>
    <t>crFundRateT</t>
  </si>
  <si>
    <t>CREDIT FUND RATE T</t>
  </si>
  <si>
    <t>This  field contains credit fund rate T</t>
  </si>
  <si>
    <t>drFundRateU</t>
  </si>
  <si>
    <t>DEBIT FUND RATE U</t>
  </si>
  <si>
    <t>This  field contains debit fund rate U</t>
  </si>
  <si>
    <t>crFundRateU</t>
  </si>
  <si>
    <t>CREDIT FUND RATE U</t>
  </si>
  <si>
    <t>This  field contains credit fund rate U</t>
  </si>
  <si>
    <t>drFundRateV</t>
  </si>
  <si>
    <t>DEBIT FUND RATE V</t>
  </si>
  <si>
    <t>This  field contains debit fund rate V</t>
  </si>
  <si>
    <t>crFundRateV</t>
  </si>
  <si>
    <t>CREDIT FUND RATE V</t>
  </si>
  <si>
    <t>This  field contains credit fund rate V</t>
  </si>
  <si>
    <t>drFundRateW</t>
  </si>
  <si>
    <t>DEBIT FUND RATE W</t>
  </si>
  <si>
    <t>This  field contains debit fund rate W</t>
  </si>
  <si>
    <t>crFundRateW</t>
  </si>
  <si>
    <t>CREDIT FUND RATE W</t>
  </si>
  <si>
    <t>This  field contains credit fund rate W</t>
  </si>
  <si>
    <t>drFundRateX</t>
  </si>
  <si>
    <t>DEBIT FUND RATE X</t>
  </si>
  <si>
    <t>This  field contains debit fund rate X</t>
  </si>
  <si>
    <t>crFundRateX</t>
  </si>
  <si>
    <t>CREDIT FUND RATE X</t>
  </si>
  <si>
    <t>This  field contains credit fund rate X</t>
  </si>
  <si>
    <t>drFundRateY</t>
  </si>
  <si>
    <t>DEBIT FUND RATE Y</t>
  </si>
  <si>
    <t>This  field contains debit fund rate Y</t>
  </si>
  <si>
    <t>crFundRateY</t>
  </si>
  <si>
    <t>CREDIT FUND RATE Y</t>
  </si>
  <si>
    <t>This  field contains credit fund rate Y</t>
  </si>
  <si>
    <t>drFundRateZ</t>
  </si>
  <si>
    <t>DEBIT FUND RATE Z</t>
  </si>
  <si>
    <t>This  field contains debit fund rate Z</t>
  </si>
  <si>
    <t>crFundRateZ</t>
  </si>
  <si>
    <t>CREDIT FUND RATE Z</t>
  </si>
  <si>
    <t>This  field contains credit fund rate Z</t>
  </si>
  <si>
    <t xml:space="preserve">This  field contains debit fund rate </t>
  </si>
  <si>
    <t>Used to record and manage fees account Number for banking services</t>
  </si>
  <si>
    <t>userArea in gld0data05 is similar to filler and it can be removed 05/08/2025</t>
  </si>
  <si>
    <t>Data Type changed on 06/08/2025</t>
  </si>
  <si>
    <t>SAME REFRENCE NUMBER</t>
  </si>
  <si>
    <t>Refrence number by sama.</t>
  </si>
  <si>
    <t>fundMovementRef</t>
  </si>
  <si>
    <t xml:space="preserve"> FUND MOVEMENT REFERENCE </t>
  </si>
  <si>
    <t xml:space="preserve"> Stores the Reference Number for fund movement process.</t>
  </si>
  <si>
    <t>Changed data type from  Numeric to String 07/08/2025</t>
  </si>
  <si>
    <t>totDeductions</t>
  </si>
  <si>
    <t>This field records the complete amount is being deducted from account</t>
  </si>
  <si>
    <t>Field Newly added on 10/08/2025</t>
  </si>
  <si>
    <t>applicantName</t>
  </si>
  <si>
    <t>APPLICANT NAME</t>
  </si>
  <si>
    <t>This field records the Name of the applicatnt in case transaction is blong to record type as TF-Transfer</t>
  </si>
  <si>
    <t>Field Newly added on 14/08/2025</t>
  </si>
  <si>
    <t>benefBankBICcode</t>
  </si>
  <si>
    <t>BENEFICIARY BANK BI CODE</t>
  </si>
  <si>
    <t xml:space="preserve">This field maintains beneficary Bank Code </t>
  </si>
  <si>
    <t>Removed Unwanted 14/08/2025</t>
  </si>
  <si>
    <t xml:space="preserve">transFlag                        </t>
  </si>
  <si>
    <t xml:space="preserve">postFlag                         </t>
  </si>
  <si>
    <t xml:space="preserve">refFlag                          </t>
  </si>
  <si>
    <t xml:space="preserve">feeInFlag                        </t>
  </si>
  <si>
    <t xml:space="preserve">tranCode1                     </t>
  </si>
  <si>
    <t xml:space="preserve">tranCode2                     </t>
  </si>
  <si>
    <t xml:space="preserve">tranCode3                     </t>
  </si>
  <si>
    <t xml:space="preserve">tranCode4                     </t>
  </si>
  <si>
    <t xml:space="preserve">tranCode5                     </t>
  </si>
  <si>
    <t xml:space="preserve">tranCode6                     </t>
  </si>
  <si>
    <t xml:space="preserve">tranCode7                     </t>
  </si>
  <si>
    <t xml:space="preserve">tranCode8                     </t>
  </si>
  <si>
    <t xml:space="preserve">tranCode9                     </t>
  </si>
  <si>
    <t xml:space="preserve">tranCode10        </t>
  </si>
  <si>
    <t xml:space="preserve">incomeMemo                    </t>
  </si>
  <si>
    <t xml:space="preserve">expPerformingMemo             </t>
  </si>
  <si>
    <t xml:space="preserve">expNonPerformingMemo          </t>
  </si>
  <si>
    <t xml:space="preserve">treasuryMemo                  </t>
  </si>
  <si>
    <t xml:space="preserve">nonPerformingMemo             </t>
  </si>
  <si>
    <t xml:space="preserve">TRANS FLAG                        </t>
  </si>
  <si>
    <t xml:space="preserve">POST FLAG                         </t>
  </si>
  <si>
    <t xml:space="preserve">REF FLAG                          </t>
  </si>
  <si>
    <t xml:space="preserve">FEEINF LAG                        </t>
  </si>
  <si>
    <t xml:space="preserve">TRAN CODE1                     </t>
  </si>
  <si>
    <t xml:space="preserve">TRAN CODE2                     </t>
  </si>
  <si>
    <t xml:space="preserve">TRAN CODE3                     </t>
  </si>
  <si>
    <t xml:space="preserve">TRAN CODE4                     </t>
  </si>
  <si>
    <t xml:space="preserve">TRAN CODE5                     </t>
  </si>
  <si>
    <t xml:space="preserve">TRAN CODE6                     </t>
  </si>
  <si>
    <t xml:space="preserve">TRAN CODE7                     </t>
  </si>
  <si>
    <t xml:space="preserve">TRAN CODE8                     </t>
  </si>
  <si>
    <t xml:space="preserve">TRAN CODE9                     </t>
  </si>
  <si>
    <t xml:space="preserve">TRAN CODE10                    </t>
  </si>
  <si>
    <t xml:space="preserve">INCO MEMEMO                    </t>
  </si>
  <si>
    <t xml:space="preserve">EXP PERFORMING MEMO             </t>
  </si>
  <si>
    <t xml:space="preserve">TREASURY MEMO                  </t>
  </si>
  <si>
    <t xml:space="preserve">NON PERFORMING MEMO             </t>
  </si>
  <si>
    <t xml:space="preserve">EXP NON PERFORMING M EMO          </t>
  </si>
  <si>
    <t>Number</t>
  </si>
  <si>
    <t>Removed on 2/9/2025</t>
  </si>
  <si>
    <t>Format changed from date to string 07/09/2025</t>
  </si>
  <si>
    <t>serviceDesc</t>
  </si>
  <si>
    <t>serviceDescArabic</t>
  </si>
  <si>
    <t>gwContraAccNo</t>
  </si>
  <si>
    <t>gwNarrative1</t>
  </si>
  <si>
    <t>gwNarrative2</t>
  </si>
  <si>
    <t>gwNarrative3</t>
  </si>
  <si>
    <t>gwTranType</t>
  </si>
  <si>
    <t>creditType</t>
  </si>
  <si>
    <t>pkgFlag1Amt</t>
  </si>
  <si>
    <t>pkgFlag2Amt</t>
  </si>
  <si>
    <t>pkgFlag3Amt</t>
  </si>
  <si>
    <t>pkgFlag4Amt</t>
  </si>
  <si>
    <t>pkgFlag5Amt</t>
  </si>
  <si>
    <t>pkgFlag6Amt</t>
  </si>
  <si>
    <t>pkgFlag7Amt</t>
  </si>
  <si>
    <t>pkgFlag8Amt</t>
  </si>
  <si>
    <t>pkgFlag9Amt</t>
  </si>
  <si>
    <t>govtPayrollAmt</t>
  </si>
  <si>
    <t>pvtPayrollAmt</t>
  </si>
  <si>
    <t>splPayrollAmt</t>
  </si>
  <si>
    <t>anbStaffAmt</t>
  </si>
  <si>
    <t>pensionerAmt</t>
  </si>
  <si>
    <t>invAmtSelFlag</t>
  </si>
  <si>
    <t>frInvAmtSel</t>
  </si>
  <si>
    <t>toInvAmtSel</t>
  </si>
  <si>
    <t>selTranType</t>
  </si>
  <si>
    <t>avgBalSelFlag</t>
  </si>
  <si>
    <t>avgBalSelAmt</t>
  </si>
  <si>
    <t>selContraLedger</t>
  </si>
  <si>
    <t>selSarTransOnly</t>
  </si>
  <si>
    <t>selChargeOnlyIndividual</t>
  </si>
  <si>
    <t>selExcludeCorporate</t>
  </si>
  <si>
    <t>selExcludeCommercial</t>
  </si>
  <si>
    <t>sourceFile</t>
  </si>
  <si>
    <t>chargebleMemo</t>
  </si>
  <si>
    <t>selDrTransOnly</t>
  </si>
  <si>
    <t>selExceptionCode</t>
  </si>
  <si>
    <t>selProductAge</t>
  </si>
  <si>
    <t>sariePayrollAmt</t>
  </si>
  <si>
    <t>reportOnly</t>
  </si>
  <si>
    <t>runFrequency</t>
  </si>
  <si>
    <t>pkgFlagAAmt</t>
  </si>
  <si>
    <t>pkgFlagBAmt</t>
  </si>
  <si>
    <t>pkgFlagCAmt</t>
  </si>
  <si>
    <t>pkgFlagDAmt</t>
  </si>
  <si>
    <t>pkgFlagEAmt</t>
  </si>
  <si>
    <t>pkgFlagFAmt</t>
  </si>
  <si>
    <t>pkgFlagGAmt</t>
  </si>
  <si>
    <t>pkgFlagHAmt</t>
  </si>
  <si>
    <t>pkgFlagIAmt</t>
  </si>
  <si>
    <t>pkgFlagJAmt</t>
  </si>
  <si>
    <t>pkgFlagKAmt</t>
  </si>
  <si>
    <t>pkgFlagLAmt</t>
  </si>
  <si>
    <t>pkgFlagMAmt</t>
  </si>
  <si>
    <t>pkgFlagNAmt</t>
  </si>
  <si>
    <t>pkgFlagOAmt</t>
  </si>
  <si>
    <t>pkgFlagPAmt</t>
  </si>
  <si>
    <t>pkgFlagQAmt</t>
  </si>
  <si>
    <t>pkgFlagRAmt</t>
  </si>
  <si>
    <t>pkgFlagSAmt</t>
  </si>
  <si>
    <t>pkgFlagTAmt</t>
  </si>
  <si>
    <t>pkgFlagUAmt</t>
  </si>
  <si>
    <t>pkgFlagVAmt</t>
  </si>
  <si>
    <t>pkgFlagWAmt</t>
  </si>
  <si>
    <t>pkgFlagXAmt</t>
  </si>
  <si>
    <t>pkgFlagYAmt</t>
  </si>
  <si>
    <t>pkgFlagZAmt</t>
  </si>
  <si>
    <t xml:space="preserve">SERVICE NUMBER </t>
  </si>
  <si>
    <t xml:space="preserve"> Unique identifier assigned to each service.</t>
  </si>
  <si>
    <t xml:space="preserve">BRANCH OR DELIVERY CHANNEL </t>
  </si>
  <si>
    <t xml:space="preserve"> Specifies the branch or delivery method used.</t>
  </si>
  <si>
    <t xml:space="preserve">SERVICE DESCRIPTION </t>
  </si>
  <si>
    <t xml:space="preserve"> English description of the service.</t>
  </si>
  <si>
    <t xml:space="preserve">SERVICE DESCRIPTION ARABIC </t>
  </si>
  <si>
    <t xml:space="preserve"> Arabic description of the service.</t>
  </si>
  <si>
    <t xml:space="preserve">GATEWAY CONTRA ACCOUNT NUMBER </t>
  </si>
  <si>
    <t xml:space="preserve"> Account used for offsetting gateway transactions.</t>
  </si>
  <si>
    <t xml:space="preserve">GATEWAY NARRATIVE LINE 1 </t>
  </si>
  <si>
    <t xml:space="preserve"> First line of transaction narrative text.</t>
  </si>
  <si>
    <t xml:space="preserve">GATEWAY NARRATIVE LINE 2 </t>
  </si>
  <si>
    <t xml:space="preserve"> Second line of transaction narrative text.</t>
  </si>
  <si>
    <t xml:space="preserve">GATEWAY NARRATIVE LINE 3 </t>
  </si>
  <si>
    <t xml:space="preserve"> Third line of transaction narrative text.</t>
  </si>
  <si>
    <t xml:space="preserve">GATEWAY TRANSACTION TYPE </t>
  </si>
  <si>
    <t xml:space="preserve"> Type of transaction processed through the gateway.</t>
  </si>
  <si>
    <t xml:space="preserve">CREDIT TYPE </t>
  </si>
  <si>
    <t xml:space="preserve"> Classification of credit such as payroll or pension.</t>
  </si>
  <si>
    <t xml:space="preserve">NORMAL FEE AMOUNT </t>
  </si>
  <si>
    <t xml:space="preserve"> Standard fee charged for the service.</t>
  </si>
  <si>
    <t xml:space="preserve">PACKAGE FLAG 1 AMOUNT </t>
  </si>
  <si>
    <t xml:space="preserve"> Fee amount based on package flag 1.</t>
  </si>
  <si>
    <t xml:space="preserve">PACKAGE FLAG 2 AMOUNT </t>
  </si>
  <si>
    <t xml:space="preserve"> Fee amount based on package flag 2.</t>
  </si>
  <si>
    <t xml:space="preserve">PACKAGE FLAG 3 AMOUNT </t>
  </si>
  <si>
    <t xml:space="preserve"> Fee amount based on package flag 3.</t>
  </si>
  <si>
    <t xml:space="preserve">PACKAGE FLAG 4 AMOUNT </t>
  </si>
  <si>
    <t xml:space="preserve"> Fee amount based on package flag 4.</t>
  </si>
  <si>
    <t xml:space="preserve">PACKAGE FLAG 5 AMOUNT </t>
  </si>
  <si>
    <t xml:space="preserve"> Fee amount based on package flag 5.</t>
  </si>
  <si>
    <t xml:space="preserve">PACKAGE FLAG 6 AMOUNT </t>
  </si>
  <si>
    <t xml:space="preserve"> Fee amount based on package flag 6.</t>
  </si>
  <si>
    <t xml:space="preserve">PACKAGE FLAG 7 AMOUNT </t>
  </si>
  <si>
    <t xml:space="preserve"> Fee amount based on package flag 7.</t>
  </si>
  <si>
    <t xml:space="preserve">PACKAGE FLAG 8 AMOUNT </t>
  </si>
  <si>
    <t xml:space="preserve"> Fee amount based on package flag 8.</t>
  </si>
  <si>
    <t xml:space="preserve">PACKAGE FLAG 9 AMOUNT </t>
  </si>
  <si>
    <t xml:space="preserve"> Fee amount based on package flag 9.</t>
  </si>
  <si>
    <t xml:space="preserve">GOVERNMENT PAYROLL AMOUNT </t>
  </si>
  <si>
    <t xml:space="preserve"> Fee for government payroll transactions.</t>
  </si>
  <si>
    <t xml:space="preserve">PRIVATE PAYROLL AMOUNT </t>
  </si>
  <si>
    <t xml:space="preserve"> Fee for private sector payroll transactions.</t>
  </si>
  <si>
    <t xml:space="preserve">SPECIAL PAYROLL AMOUNT </t>
  </si>
  <si>
    <t xml:space="preserve"> Fee for special payroll categories.</t>
  </si>
  <si>
    <t xml:space="preserve">ANB STAFF AMOUNT </t>
  </si>
  <si>
    <t xml:space="preserve"> Fee applicable to Arab National Bank staff.</t>
  </si>
  <si>
    <t xml:space="preserve">PENSIONER AMOUNT </t>
  </si>
  <si>
    <t xml:space="preserve"> Fee for pension</t>
  </si>
  <si>
    <t xml:space="preserve">INVOICE AMOUNT SELECTION FLAG </t>
  </si>
  <si>
    <t xml:space="preserve"> Enables filtering by invoice amount.</t>
  </si>
  <si>
    <t xml:space="preserve">FROM INVOICE AMOUNT SELECTION </t>
  </si>
  <si>
    <t xml:space="preserve"> Minimum invoice amount for selection.</t>
  </si>
  <si>
    <t xml:space="preserve">TO INVOICE AMOUNT SELECTION </t>
  </si>
  <si>
    <t xml:space="preserve"> Maximum invoice amount for selection.</t>
  </si>
  <si>
    <t xml:space="preserve">SELECTED TRANSACTION TYPE </t>
  </si>
  <si>
    <t xml:space="preserve"> Filters transactions by type.</t>
  </si>
  <si>
    <t xml:space="preserve">AVERAGE BALANCE SELECTION FLAG </t>
  </si>
  <si>
    <t xml:space="preserve"> Enables filtering by average balance.</t>
  </si>
  <si>
    <t xml:space="preserve">AVERAGE BALANCE SELECTION AMOUNT </t>
  </si>
  <si>
    <t xml:space="preserve"> Minimum average balance for selection.</t>
  </si>
  <si>
    <t xml:space="preserve">SELECTED CONTRA LEDGER </t>
  </si>
  <si>
    <t xml:space="preserve"> Ledger account used for contra entries.</t>
  </si>
  <si>
    <t xml:space="preserve">SELECT SAUDI RIYAL TRANSACTIONS ONLY </t>
  </si>
  <si>
    <t xml:space="preserve"> Filters for SAR currency transactions only.</t>
  </si>
  <si>
    <t xml:space="preserve">SELECT CHARGES FOR INDIVIDUALS ONLY </t>
  </si>
  <si>
    <t xml:space="preserve"> Applies charges only to individual customers.</t>
  </si>
  <si>
    <t xml:space="preserve">EXCLUDE CORPORATE CUSTOMERS </t>
  </si>
  <si>
    <t xml:space="preserve"> Excludes corporate customers from charges.</t>
  </si>
  <si>
    <t xml:space="preserve">EXCLUDE COMMERCIAL CUSTOMERS </t>
  </si>
  <si>
    <t xml:space="preserve"> Excludes commercial customers from charges.</t>
  </si>
  <si>
    <t xml:space="preserve">SOURCE FILE NAME </t>
  </si>
  <si>
    <t xml:space="preserve"> Name of the input file for processing.</t>
  </si>
  <si>
    <t xml:space="preserve">CHARGEABLE MEMO </t>
  </si>
  <si>
    <t xml:space="preserve"> Memo related to chargeable items.</t>
  </si>
  <si>
    <t xml:space="preserve">SELECT DEBIT TRANSACTIONS ONLY </t>
  </si>
  <si>
    <t xml:space="preserve"> Filters for debit transactions only.</t>
  </si>
  <si>
    <t xml:space="preserve">SELECTED EXCEPTION CODE </t>
  </si>
  <si>
    <t xml:space="preserve"> Code used to identify exceptions.</t>
  </si>
  <si>
    <t xml:space="preserve">SELECTED PRODUCT AGE </t>
  </si>
  <si>
    <t xml:space="preserve"> Filters based on product age or tenure.</t>
  </si>
  <si>
    <t xml:space="preserve">SARIE PAYROLL AMOUNT </t>
  </si>
  <si>
    <t xml:space="preserve"> Fee for payroll processed via SARIE system.</t>
  </si>
  <si>
    <t xml:space="preserve">REPORT ONLY FLAG </t>
  </si>
  <si>
    <t xml:space="preserve"> Indicates if the service is for reporting only.</t>
  </si>
  <si>
    <t xml:space="preserve">RUN FREQUENCY </t>
  </si>
  <si>
    <t xml:space="preserve"> Frequency of service execution (e.g., daily, monthly).</t>
  </si>
  <si>
    <t xml:space="preserve">PACKAGE FLAG A AMOUNT </t>
  </si>
  <si>
    <t xml:space="preserve"> Fee amount based on package flag A.</t>
  </si>
  <si>
    <t xml:space="preserve">PACKAGE FLAG B AMOUNT </t>
  </si>
  <si>
    <t xml:space="preserve"> Fee amount based on package flag B.</t>
  </si>
  <si>
    <t xml:space="preserve">PACKAGE FLAG C AMOUNT </t>
  </si>
  <si>
    <t xml:space="preserve"> Fee amount based on package flag C.</t>
  </si>
  <si>
    <t xml:space="preserve">PACKAGE FLAG D AMOUNT </t>
  </si>
  <si>
    <t xml:space="preserve"> Fee amount based on package flag D.</t>
  </si>
  <si>
    <t xml:space="preserve">PACKAGE FLAG E AMOUNT </t>
  </si>
  <si>
    <t xml:space="preserve"> Fee amount based on package flag E.</t>
  </si>
  <si>
    <t xml:space="preserve">PACKAGE FLAG F AMOUNT </t>
  </si>
  <si>
    <t xml:space="preserve"> Fee amount based on package flag F.</t>
  </si>
  <si>
    <t xml:space="preserve">PACKAGE FLAG G AMOUNT </t>
  </si>
  <si>
    <t xml:space="preserve"> Fee amount based on package flag G.</t>
  </si>
  <si>
    <t xml:space="preserve">PACKAGE FLAG H AMOUNT </t>
  </si>
  <si>
    <t xml:space="preserve"> Fee amount based on package flag H.</t>
  </si>
  <si>
    <t xml:space="preserve">PACKAGE FLAG I AMOUNT </t>
  </si>
  <si>
    <t xml:space="preserve"> Fee amount based on package flag I.</t>
  </si>
  <si>
    <t xml:space="preserve">PACKAGE FLAG J AMOUNT </t>
  </si>
  <si>
    <t xml:space="preserve"> Fee amount based on package flag J.</t>
  </si>
  <si>
    <t xml:space="preserve">PACKAGE FLAG K AMOUNT </t>
  </si>
  <si>
    <t xml:space="preserve"> Fee amount based on package flag K.</t>
  </si>
  <si>
    <t xml:space="preserve">PACKAGE FLAG L AMOUNT </t>
  </si>
  <si>
    <t xml:space="preserve"> Fee amount based on package flag L.</t>
  </si>
  <si>
    <t xml:space="preserve">PACKAGE FLAG M AMOUNT </t>
  </si>
  <si>
    <t xml:space="preserve"> Fee amount based on package flag M.</t>
  </si>
  <si>
    <t xml:space="preserve">PACKAGE FLAG N AMOUNT </t>
  </si>
  <si>
    <t xml:space="preserve"> Fee amount based on package flag N.</t>
  </si>
  <si>
    <t xml:space="preserve">PACKAGE FLAG O AMOUNT </t>
  </si>
  <si>
    <t xml:space="preserve"> Fee amount based on package flag O.</t>
  </si>
  <si>
    <t xml:space="preserve">PACKAGE FLAG P AMOUNT </t>
  </si>
  <si>
    <t xml:space="preserve"> Fee amount based on package flag P.</t>
  </si>
  <si>
    <t xml:space="preserve">PACKAGE FLAG Q AMOUNT </t>
  </si>
  <si>
    <t xml:space="preserve"> Fee amount based on package flag Q.</t>
  </si>
  <si>
    <t xml:space="preserve">PACKAGE FLAG R AMOUNT </t>
  </si>
  <si>
    <t xml:space="preserve"> Fee amount based on package flag R.</t>
  </si>
  <si>
    <t xml:space="preserve">PACKAGE FLAG S AMOUNT </t>
  </si>
  <si>
    <t xml:space="preserve"> Fee amount based on package flag S.</t>
  </si>
  <si>
    <t xml:space="preserve">PACKAGE FLAG T AMOUNT </t>
  </si>
  <si>
    <t xml:space="preserve"> Fee amount based on package flag T.</t>
  </si>
  <si>
    <t xml:space="preserve">PACKAGE FLAG U AMOUNT </t>
  </si>
  <si>
    <t xml:space="preserve"> Fee amount based on package flag U.</t>
  </si>
  <si>
    <t xml:space="preserve">PACKAGE FLAG V AMOUNT </t>
  </si>
  <si>
    <t xml:space="preserve"> Fee amount based on package flag V.</t>
  </si>
  <si>
    <t xml:space="preserve">PACKAGE FLAG W AMOUNT </t>
  </si>
  <si>
    <t xml:space="preserve"> Fee amount based on package flag W.</t>
  </si>
  <si>
    <t xml:space="preserve">PACKAGE FLAG X AMOUNT </t>
  </si>
  <si>
    <t xml:space="preserve"> Fee amount based on package flag X.</t>
  </si>
  <si>
    <t xml:space="preserve">PACKAGE FLAG Y AMOUNT </t>
  </si>
  <si>
    <t xml:space="preserve"> Fee amount based on package flag Y.</t>
  </si>
  <si>
    <t xml:space="preserve">PACKAGE FLAG Z AMOUNT </t>
  </si>
  <si>
    <t xml:space="preserve"> Fee amount based on package flag Z.</t>
  </si>
  <si>
    <t>Added Data Type as it was missing on 07/08/2025</t>
  </si>
  <si>
    <t>Field newly added on 14/08/2025</t>
  </si>
  <si>
    <t>Changed Data Type from Number to String  fron 31/7/2025</t>
  </si>
  <si>
    <t>Field newly added  on 16/07/2025</t>
  </si>
  <si>
    <t>Filed  newly added on 06/08/2025</t>
  </si>
  <si>
    <t>Data Type changed number to string' on 06/08/2025</t>
  </si>
  <si>
    <t>Data Type changed from number to string on 06/08/2025</t>
  </si>
  <si>
    <t>Field newly added on 06/08/2025</t>
  </si>
  <si>
    <t>Data type changed  from Timestamp to Date on 15/9/2025</t>
  </si>
  <si>
    <t>Data Type changed String to number  on 06/08/2025</t>
  </si>
  <si>
    <t>Field newly added  on 28/05/2025</t>
  </si>
  <si>
    <t>Table modified</t>
  </si>
  <si>
    <t>stctltabSV modified to stctltab</t>
  </si>
  <si>
    <t>File Name Changed/Table modified</t>
  </si>
  <si>
    <t>Field newly added on 29/07/2025</t>
  </si>
  <si>
    <t>Field newly added on  22/07/2025</t>
  </si>
  <si>
    <t>Data Type Chaged from String to Number 14/08/2025</t>
  </si>
  <si>
    <t>Data Type change String to number on 06/08/2025</t>
  </si>
  <si>
    <t>Field  newly added on 06/08/2025</t>
  </si>
  <si>
    <t>Field newly added on 16/07/2025</t>
  </si>
  <si>
    <t>Field newly added on 28/07/2025</t>
  </si>
  <si>
    <t>Data type converted from Date to String 22/07/2025</t>
  </si>
  <si>
    <t>Field newly added  on 31/7/2025</t>
  </si>
  <si>
    <t>Changed from Timestamp to number as HHMMSS present on 2/9/2025</t>
  </si>
  <si>
    <t xml:space="preserve">RecordType </t>
  </si>
  <si>
    <t xml:space="preserve">Name changed from </t>
  </si>
  <si>
    <t>New Table</t>
  </si>
  <si>
    <t>New Files are added ank0dataXC,cnd0dataC0,cnd0dataSP00,cnd0dataSP01,stsadctlER
Some Files are merged in stctltab due to common structure stctltabBS,stctltabDT,stctltabED,stctltabER,stctltabLT,
stctltabMI,stctltabPO,stctltabPR,stctltabSD,stctltabSF,stctltabSM,stctltabSY,stctltabTT,stctltabAS
Removed files cnd0dataPN,stctltabSY
File name are renamed  stjointtab,stsadctlSC
Structure modified are aad0data,ard0data,bmdft01,cnd0dataAC,cnd0dataCl,cpd0data,
ctd0data,fud0data,gld0data05,iad0data,isd0data,pyd0data,rid0data,mmd0data,srvfeelog,stabclist,
stctltabBI,stctltabSC,stctltabSS,stctltabXC,stcustlog,stcusttab,stjointlog,stjointtab,stusrbrn,tr0data</t>
  </si>
  <si>
    <t>stsignlog Structure modified,srvfeeCtl is nelwy added</t>
  </si>
  <si>
    <t>stctltab space between "Record " and "Type" removed  and mastersheet coloring was done</t>
  </si>
  <si>
    <t>xrateMsg</t>
  </si>
  <si>
    <t>sepDcInt</t>
  </si>
  <si>
    <t>sepIntTx</t>
  </si>
  <si>
    <t>taxByBr</t>
  </si>
  <si>
    <t>maxBseCode</t>
  </si>
  <si>
    <t>minBseCode</t>
  </si>
  <si>
    <t>penIntBc</t>
  </si>
  <si>
    <t>penIntPd</t>
  </si>
  <si>
    <t>bpPosAcc</t>
  </si>
  <si>
    <t>matRteFlor</t>
  </si>
  <si>
    <t>plBsBr</t>
  </si>
  <si>
    <t>revCred</t>
  </si>
  <si>
    <t>altIdLen</t>
  </si>
  <si>
    <t>refIndex</t>
  </si>
  <si>
    <t>dispAlt</t>
  </si>
  <si>
    <t>splPerBr</t>
  </si>
  <si>
    <t>autoLoan</t>
  </si>
  <si>
    <t>penMargin</t>
  </si>
  <si>
    <t>autoChg</t>
  </si>
  <si>
    <t>altCustLen</t>
  </si>
  <si>
    <t>altCustIdx</t>
  </si>
  <si>
    <t>latCustInq</t>
  </si>
  <si>
    <t>nbtConsol</t>
  </si>
  <si>
    <t>limitColl</t>
  </si>
  <si>
    <t>limitMargin</t>
  </si>
  <si>
    <t>pIntDays</t>
  </si>
  <si>
    <t>pIntMonths</t>
  </si>
  <si>
    <t>pBseCode</t>
  </si>
  <si>
    <t>diaryClr</t>
  </si>
  <si>
    <t>mpaAccts</t>
  </si>
  <si>
    <t>limitEnhFl</t>
  </si>
  <si>
    <t>blockFlag</t>
  </si>
  <si>
    <t>EXCHANGE RATE MESSAGE</t>
  </si>
  <si>
    <t>Message related to currency exchange rate updates or notifications.</t>
  </si>
  <si>
    <t>SEPARATE DEBIT INTEREST</t>
  </si>
  <si>
    <t>Interest charged separately on debit transactions.</t>
  </si>
  <si>
    <t>SEPARATE INTEREST TRANSACTION</t>
  </si>
  <si>
    <t>A transaction specifically for posting interest entries.</t>
  </si>
  <si>
    <t>TAX BY BRANCH</t>
  </si>
  <si>
    <t>Tax configuration or calculation based on branch location.</t>
  </si>
  <si>
    <t>MAXIMUM BASE CODE</t>
  </si>
  <si>
    <t>Upper limit for base code used in interest or rate calculations.</t>
  </si>
  <si>
    <t>MINIMUM BASE CODE</t>
  </si>
  <si>
    <t>Lower limit for base code used in interest or rate calculations.</t>
  </si>
  <si>
    <t>PENALTY INTEREST BASE CODE</t>
  </si>
  <si>
    <t>PENALTY INTEREST PERIOD</t>
  </si>
  <si>
    <t>BILL PAYMENT POSTING ACCOUNT</t>
  </si>
  <si>
    <t>Account used for posting bill payment transactions.</t>
  </si>
  <si>
    <t>MATURITY RATE FLOOR</t>
  </si>
  <si>
    <t>Minimum interest rate applicable at maturity.</t>
  </si>
  <si>
    <t>PROFIT/LOSS BASE BRANCH</t>
  </si>
  <si>
    <t>Branch used as reference for profit/loss calculations.</t>
  </si>
  <si>
    <t>REVERSE CREDIT</t>
  </si>
  <si>
    <t>A reversal entry for previously posted credit transactions.</t>
  </si>
  <si>
    <t>ALTERNATE ID LENGTH</t>
  </si>
  <si>
    <t>Length of the alternate identifier field.</t>
  </si>
  <si>
    <t>REFERENCE INDEX</t>
  </si>
  <si>
    <t>Index used for rate or value referencing.</t>
  </si>
  <si>
    <t>DISPLAY ALTERNATE</t>
  </si>
  <si>
    <t>Flag to display alternate identifier or value.</t>
  </si>
  <si>
    <t>SPECIAL PERIOD BY BRANCH</t>
  </si>
  <si>
    <t>Special accounting or interest period defined per branch.</t>
  </si>
  <si>
    <t>AUTOMATED LOAN PROCESSING</t>
  </si>
  <si>
    <t>Flag or setting for automatic loan handling.</t>
  </si>
  <si>
    <t>PENALTY MARGIN</t>
  </si>
  <si>
    <t>AUTOMATED CHARGES</t>
  </si>
  <si>
    <t>Charges applied automatically based on system rules.</t>
  </si>
  <si>
    <t>ALTERNATE CUSTOMER LENGTH</t>
  </si>
  <si>
    <t>Length of alternate customer identifier.</t>
  </si>
  <si>
    <t>ALTERNATE CUSTOMER INDEX</t>
  </si>
  <si>
    <t>Index used to reference alternate customer ID.</t>
  </si>
  <si>
    <t>LATEST CUSTOMER INQUIRY</t>
  </si>
  <si>
    <t>Timestamp or record of most recent customer inquiry.</t>
  </si>
  <si>
    <t>NBT CONSOLIDATION FLAG</t>
  </si>
  <si>
    <t>Flag for consolidating Net Banking Transactions.</t>
  </si>
  <si>
    <t>LIMIT COLLATERAL</t>
  </si>
  <si>
    <t>LIMIT MARGIN</t>
  </si>
  <si>
    <t>DIARY CLEARING</t>
  </si>
  <si>
    <t>Clearing or reconciliation of diary entries.</t>
  </si>
  <si>
    <t>MPA ACCOUNTS</t>
  </si>
  <si>
    <t>Accounts under Multi-Party Agreement.</t>
  </si>
  <si>
    <t>LIMIT ENHANCEMENT FLAG</t>
  </si>
  <si>
    <t>BLOCK FLAG</t>
  </si>
  <si>
    <t>Indicator to block transactions or access.</t>
  </si>
  <si>
    <t xml:space="preserve"> INTEREST DAYS</t>
  </si>
  <si>
    <t xml:space="preserve"> INTEREST MONTHS</t>
  </si>
  <si>
    <t xml:space="preserve"> BASE CODE</t>
  </si>
  <si>
    <t>Number of days used to calculate</t>
  </si>
  <si>
    <t>Number of months used to calculate</t>
  </si>
  <si>
    <t>Base code used to calculate pension interest.</t>
  </si>
  <si>
    <t>Time period over which pension interest is applied.</t>
  </si>
  <si>
    <t>Additional margin applied as pension.</t>
  </si>
  <si>
    <t>cnd0dataSP01 strucutre modified</t>
  </si>
  <si>
    <t>New Table/Modified</t>
  </si>
  <si>
    <t>Code used to define interest base.</t>
  </si>
  <si>
    <t>Flag indicating enhancement of limit.</t>
  </si>
  <si>
    <t>Collateral amount tied to  limit.</t>
  </si>
  <si>
    <t>Margin applied to credit calculations.</t>
  </si>
  <si>
    <t>Added om 29/9/2025</t>
  </si>
  <si>
    <t>Data Type changed from number to String 09/10/2025</t>
  </si>
  <si>
    <t>Length is changed from 13 to 14 on 09/10/2025</t>
  </si>
  <si>
    <t>ctd0datda ,crd0data ,dzd0data,gld0data,gld0data05strucutre modified</t>
  </si>
  <si>
    <t>crd0data  dateofBirth has mixed improper hijari and gregorian dates .Hence converted to string</t>
  </si>
  <si>
    <t>Data type changed from Date to string as date is hijari and gregorian mixed format  on 14/10/2025</t>
  </si>
  <si>
    <t>This field maintains the account number
(with no currency digits) to which all
settlement postings for this branch are
made.</t>
  </si>
  <si>
    <t>Field newly added on 21/10/2025</t>
  </si>
  <si>
    <t>bcd0data table settlementAcctNum added</t>
  </si>
  <si>
    <t>Settlement ACCOUNT</t>
  </si>
  <si>
    <t>settlementAcctNum</t>
  </si>
  <si>
    <t>Removed Unused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</si>
</sst>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0"/>
      <color theme="1"/>
      <name val="Arial Unicode MS"/>
    </font>
    <font>
      <sz val="8"/>
      <name val="Calibri"/>
      <family val="2"/>
      <scheme val="minor"/>
    </font>
    <font>
      <sz val="11"/>
      <color rgb="FF006100"/>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
      <b/>
      <sz val="13.5"/>
      <color theme="1"/>
      <name val="Calibri"/>
      <family val="2"/>
      <scheme val="minor"/>
    </font>
    <font>
      <sz val="11"/>
      <color theme="1"/>
      <name val="Segoe UI"/>
      <family val="2"/>
    </font>
    <font>
      <sz val="11"/>
      <color theme="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0" tint="-0.249977111117893"/>
        <bgColor indexed="64"/>
      </patternFill>
    </fill>
    <fill>
      <patternFill patternType="solid">
        <fgColor theme="9" tint="0.79998168889431442"/>
        <bgColor theme="9" tint="0.79998168889431442"/>
      </patternFill>
    </fill>
    <fill>
      <patternFill patternType="solid">
        <fgColor rgb="FFC6EFCE"/>
      </patternFill>
    </fill>
    <fill>
      <patternFill patternType="solid">
        <fgColor theme="0"/>
        <bgColor indexed="64"/>
      </patternFill>
    </fill>
    <fill>
      <patternFill patternType="solid">
        <fgColor rgb="FFFFFF00"/>
        <bgColor indexed="64"/>
      </patternFill>
    </fill>
  </fills>
  <borders count="9">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s>
  <cellStyleXfs count="3">
    <xf numFmtId="0" fontId="0" fillId="0" borderId="0"/>
    <xf numFmtId="0" fontId="3" fillId="5" borderId="0" applyNumberFormat="0" applyBorder="0" applyAlignment="0" applyProtection="0"/>
    <xf numFmtId="0" fontId="4" fillId="0" borderId="0" applyNumberFormat="0" applyFill="0" applyBorder="0" applyAlignment="0" applyProtection="0"/>
  </cellStyleXfs>
  <cellXfs count="97">
    <xf numFmtId="0" fontId="0" fillId="0" borderId="0" xfId="0"/>
    <xf numFmtId="0" fontId="0" fillId="0" borderId="0" xfId="0" applyAlignment="1">
      <alignment vertical="top" wrapText="1"/>
    </xf>
    <xf numFmtId="0" fontId="0" fillId="0" borderId="0" xfId="0" applyAlignment="1">
      <alignment vertical="top"/>
    </xf>
    <xf numFmtId="0" fontId="0" fillId="2" borderId="0" xfId="0" applyFill="1" applyAlignment="1">
      <alignment vertical="top" wrapText="1"/>
    </xf>
    <xf numFmtId="0" fontId="0" fillId="3" borderId="0" xfId="0" applyFill="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4" borderId="1" xfId="0" applyFill="1" applyBorder="1" applyAlignment="1">
      <alignment vertical="top" wrapText="1"/>
    </xf>
    <xf numFmtId="0" fontId="0" fillId="4" borderId="2" xfId="0" applyFill="1" applyBorder="1" applyAlignment="1">
      <alignment vertical="top" wrapText="1"/>
    </xf>
    <xf numFmtId="0" fontId="1" fillId="0" borderId="0" xfId="0" applyFont="1" applyAlignment="1">
      <alignment vertical="top" wrapText="1"/>
    </xf>
    <xf numFmtId="0" fontId="0" fillId="3" borderId="3" xfId="0" applyFill="1" applyBorder="1" applyAlignment="1">
      <alignment vertical="top" wrapText="1"/>
    </xf>
    <xf numFmtId="0" fontId="0" fillId="0" borderId="3" xfId="0" applyBorder="1" applyAlignment="1">
      <alignment vertical="top" wrapText="1"/>
    </xf>
    <xf numFmtId="0" fontId="0" fillId="2" borderId="3" xfId="0" applyFill="1" applyBorder="1" applyAlignment="1">
      <alignment vertical="top" wrapText="1"/>
    </xf>
    <xf numFmtId="0" fontId="1" fillId="0" borderId="3" xfId="0" applyFont="1" applyBorder="1" applyAlignment="1">
      <alignment vertical="top" wrapText="1"/>
    </xf>
    <xf numFmtId="0" fontId="0" fillId="3" borderId="4" xfId="0" applyFill="1" applyBorder="1" applyAlignment="1">
      <alignment vertical="top" wrapText="1"/>
    </xf>
    <xf numFmtId="0" fontId="0" fillId="0" borderId="4" xfId="0" applyBorder="1" applyAlignment="1">
      <alignment vertical="top" wrapText="1"/>
    </xf>
    <xf numFmtId="0" fontId="0" fillId="6" borderId="3" xfId="0" applyFill="1" applyBorder="1" applyAlignment="1">
      <alignment vertical="top" wrapText="1"/>
    </xf>
    <xf numFmtId="0" fontId="0" fillId="0" borderId="3" xfId="0" applyBorder="1"/>
    <xf numFmtId="0" fontId="0" fillId="7" borderId="3" xfId="0" applyFill="1" applyBorder="1" applyAlignment="1">
      <alignment vertical="top" wrapText="1"/>
    </xf>
    <xf numFmtId="0" fontId="3" fillId="5" borderId="3" xfId="1" applyBorder="1" applyAlignment="1">
      <alignment vertical="top" wrapText="1"/>
    </xf>
    <xf numFmtId="0" fontId="5" fillId="0" borderId="0" xfId="0" applyFont="1" applyAlignment="1">
      <alignment vertical="center" wrapText="1"/>
    </xf>
    <xf numFmtId="0" fontId="0" fillId="0" borderId="3" xfId="0" applyBorder="1" applyAlignment="1">
      <alignment vertical="center" wrapText="1"/>
    </xf>
    <xf numFmtId="0" fontId="6" fillId="0" borderId="0" xfId="0" applyFont="1"/>
    <xf numFmtId="0" fontId="5" fillId="0" borderId="0" xfId="0" applyFont="1" applyAlignment="1">
      <alignment horizontal="center" vertical="center" wrapText="1"/>
    </xf>
    <xf numFmtId="0" fontId="0" fillId="0" borderId="0" xfId="0" applyAlignment="1">
      <alignment vertical="center" wrapText="1"/>
    </xf>
    <xf numFmtId="22" fontId="0" fillId="0" borderId="0" xfId="0" applyNumberFormat="1" applyAlignment="1">
      <alignment vertical="center" wrapText="1"/>
    </xf>
    <xf numFmtId="0" fontId="0" fillId="0" borderId="3" xfId="0" applyBorder="1" applyAlignment="1">
      <alignment vertical="top" wrapText="1"/>
    </xf>
    <xf numFmtId="0" fontId="0" fillId="2" borderId="0" xfId="0" applyFill="1" applyAlignment="1">
      <alignment vertical="top" wrapText="1"/>
    </xf>
    <xf numFmtId="0" fontId="0" fillId="0" borderId="0" xfId="0" applyAlignment="1">
      <alignment vertical="top" wrapText="1"/>
    </xf>
    <xf numFmtId="0" fontId="0" fillId="0" borderId="3" xfId="0" applyBorder="1" applyAlignment="1">
      <alignment vertical="top" wrapText="1"/>
    </xf>
    <xf numFmtId="0" fontId="0" fillId="0" borderId="0" xfId="0" applyAlignment="1">
      <alignment vertical="top" wrapText="1"/>
    </xf>
    <xf numFmtId="0" fontId="0" fillId="0" borderId="0" xfId="0" applyFill="1" applyAlignment="1">
      <alignment vertical="top" wrapText="1"/>
    </xf>
    <xf numFmtId="0" fontId="0" fillId="2" borderId="3" xfId="0" applyFill="1" applyBorder="1" applyAlignment="1">
      <alignment vertical="top" wrapText="1"/>
    </xf>
    <xf numFmtId="0" fontId="0" fillId="0" borderId="3" xfId="0" applyBorder="1" applyAlignment="1">
      <alignment vertical="top" wrapText="1"/>
    </xf>
    <xf numFmtId="0" fontId="0" fillId="0" borderId="0" xfId="0" applyAlignment="1">
      <alignment vertical="top" wrapText="1"/>
    </xf>
    <xf numFmtId="0" fontId="5" fillId="0" borderId="0" xfId="0" applyFont="1"/>
    <xf numFmtId="0" fontId="0" fillId="2" borderId="3" xfId="0" applyFill="1" applyBorder="1" applyAlignment="1">
      <alignment vertical="top" wrapText="1"/>
    </xf>
    <xf numFmtId="0" fontId="0" fillId="0" borderId="3" xfId="0" applyBorder="1" applyAlignment="1">
      <alignment vertical="top" wrapText="1"/>
    </xf>
    <xf numFmtId="0" fontId="0" fillId="0" borderId="0" xfId="0" applyAlignment="1">
      <alignment vertical="top" wrapText="1"/>
    </xf>
    <xf numFmtId="0" fontId="0" fillId="0" borderId="3" xfId="0" applyBorder="1" applyAlignment="1">
      <alignment vertical="top" wrapText="1"/>
    </xf>
    <xf numFmtId="0" fontId="0" fillId="2" borderId="4" xfId="0" applyFill="1" applyBorder="1" applyAlignment="1">
      <alignment vertical="top" wrapText="1"/>
    </xf>
    <xf numFmtId="0" fontId="0" fillId="2" borderId="3" xfId="0" applyFill="1" applyBorder="1" applyAlignment="1">
      <alignment vertical="top" wrapText="1"/>
    </xf>
    <xf numFmtId="0" fontId="0" fillId="0" borderId="3" xfId="0" applyBorder="1" applyAlignment="1">
      <alignment vertical="top" wrapText="1"/>
    </xf>
    <xf numFmtId="0" fontId="0" fillId="2" borderId="0" xfId="0" applyFill="1" applyAlignment="1">
      <alignment vertical="top" wrapText="1"/>
    </xf>
    <xf numFmtId="0" fontId="0" fillId="0" borderId="0" xfId="0" applyAlignment="1">
      <alignment vertical="top" wrapText="1"/>
    </xf>
    <xf numFmtId="0" fontId="4" fillId="7" borderId="3" xfId="2" applyFill="1" applyBorder="1" applyAlignment="1">
      <alignment vertical="top" wrapText="1"/>
    </xf>
    <xf numFmtId="0" fontId="0" fillId="0" borderId="3" xfId="0" applyBorder="1" applyAlignment="1">
      <alignment vertical="top" wrapText="1"/>
    </xf>
    <xf numFmtId="0" fontId="0" fillId="0" borderId="0" xfId="0" applyAlignment="1">
      <alignment vertical="top" wrapText="1"/>
    </xf>
    <xf numFmtId="0" fontId="0" fillId="7" borderId="3" xfId="0" applyFill="1" applyBorder="1"/>
    <xf numFmtId="0" fontId="1" fillId="0" borderId="0" xfId="0" applyFont="1" applyAlignment="1">
      <alignment vertical="center" wrapText="1"/>
    </xf>
    <xf numFmtId="0" fontId="7" fillId="0" borderId="0" xfId="0" applyFont="1" applyAlignment="1">
      <alignment vertical="center"/>
    </xf>
    <xf numFmtId="0" fontId="0" fillId="4" borderId="3" xfId="0" applyFill="1" applyBorder="1" applyAlignment="1">
      <alignment vertical="top" wrapText="1"/>
    </xf>
    <xf numFmtId="0" fontId="0" fillId="2" borderId="3" xfId="0" applyFill="1" applyBorder="1" applyAlignment="1">
      <alignment vertical="top" wrapText="1"/>
    </xf>
    <xf numFmtId="0" fontId="0" fillId="0" borderId="3" xfId="0" applyBorder="1" applyAlignment="1">
      <alignment vertical="top" wrapText="1"/>
    </xf>
    <xf numFmtId="0" fontId="0" fillId="0" borderId="0" xfId="0" applyAlignment="1">
      <alignment vertical="top" wrapText="1"/>
    </xf>
    <xf numFmtId="0" fontId="0" fillId="0" borderId="3" xfId="0" applyBorder="1" applyAlignment="1">
      <alignment vertical="top" wrapText="1"/>
    </xf>
    <xf numFmtId="0" fontId="0" fillId="2" borderId="3" xfId="0" applyFill="1" applyBorder="1" applyAlignment="1">
      <alignment vertical="top" wrapText="1"/>
    </xf>
    <xf numFmtId="0" fontId="0" fillId="0" borderId="3" xfId="0" applyBorder="1" applyAlignment="1">
      <alignment vertical="top" wrapText="1"/>
    </xf>
    <xf numFmtId="0" fontId="0" fillId="2" borderId="0" xfId="0" applyFill="1" applyAlignment="1">
      <alignment vertical="top" wrapText="1"/>
    </xf>
    <xf numFmtId="0" fontId="0" fillId="0" borderId="3" xfId="0" applyFill="1" applyBorder="1" applyAlignment="1">
      <alignment vertical="top" wrapText="1"/>
    </xf>
    <xf numFmtId="0" fontId="0" fillId="0" borderId="0" xfId="0" applyFill="1" applyAlignment="1">
      <alignment vertical="top"/>
    </xf>
    <xf numFmtId="0" fontId="8" fillId="0" borderId="0" xfId="0" applyFont="1"/>
    <xf numFmtId="0" fontId="8" fillId="0" borderId="0" xfId="0" applyFont="1" applyAlignment="1">
      <alignment vertical="center"/>
    </xf>
    <xf numFmtId="0" fontId="8" fillId="0" borderId="3" xfId="0" applyFont="1" applyBorder="1" applyAlignment="1">
      <alignment vertical="center" wrapText="1"/>
    </xf>
    <xf numFmtId="0" fontId="0" fillId="0" borderId="0" xfId="0" applyBorder="1" applyAlignment="1">
      <alignment vertical="top" wrapText="1"/>
    </xf>
    <xf numFmtId="0" fontId="0" fillId="0" borderId="0" xfId="0" applyBorder="1" applyAlignment="1">
      <alignment vertical="top"/>
    </xf>
    <xf numFmtId="0" fontId="0" fillId="0" borderId="3" xfId="0" applyBorder="1" applyAlignment="1">
      <alignment vertical="top" wrapText="1"/>
    </xf>
    <xf numFmtId="0" fontId="0" fillId="0" borderId="3" xfId="0" applyBorder="1" applyAlignment="1">
      <alignment vertical="top" wrapText="1"/>
    </xf>
    <xf numFmtId="0" fontId="4" fillId="0" borderId="3" xfId="2" applyFill="1" applyBorder="1" applyAlignment="1">
      <alignment vertical="top" wrapText="1"/>
    </xf>
    <xf numFmtId="0" fontId="0" fillId="0" borderId="3" xfId="0" applyFill="1" applyBorder="1"/>
    <xf numFmtId="0" fontId="4" fillId="0" borderId="3" xfId="2" applyFill="1" applyBorder="1"/>
    <xf numFmtId="0" fontId="6" fillId="0" borderId="3" xfId="0" applyFont="1" applyFill="1" applyBorder="1"/>
    <xf numFmtId="0" fontId="0" fillId="0" borderId="0" xfId="0" applyFill="1"/>
    <xf numFmtId="0" fontId="6" fillId="0" borderId="3" xfId="0" applyFont="1" applyFill="1" applyBorder="1" applyAlignment="1">
      <alignment vertical="top" wrapText="1"/>
    </xf>
    <xf numFmtId="0" fontId="0" fillId="0" borderId="3" xfId="0" applyBorder="1" applyAlignment="1">
      <alignment vertical="top" wrapText="1"/>
    </xf>
    <xf numFmtId="0" fontId="0" fillId="0" borderId="3" xfId="0" applyFill="1" applyBorder="1" applyAlignment="1">
      <alignment vertical="center" wrapText="1"/>
    </xf>
    <xf numFmtId="0" fontId="1" fillId="0" borderId="3" xfId="0" applyFont="1" applyFill="1" applyBorder="1" applyAlignment="1">
      <alignment vertical="top" wrapText="1"/>
    </xf>
    <xf numFmtId="0" fontId="1" fillId="0" borderId="3" xfId="0" applyFont="1" applyFill="1" applyBorder="1" applyAlignment="1">
      <alignment vertical="center" wrapText="1"/>
    </xf>
    <xf numFmtId="0" fontId="0" fillId="0" borderId="8" xfId="0" applyFill="1" applyBorder="1" applyAlignment="1">
      <alignment vertical="top" wrapText="1"/>
    </xf>
    <xf numFmtId="0" fontId="0" fillId="0" borderId="4" xfId="0" applyFill="1" applyBorder="1" applyAlignment="1">
      <alignment vertical="top" wrapText="1"/>
    </xf>
    <xf numFmtId="0" fontId="3" fillId="0" borderId="3" xfId="1" applyFill="1" applyBorder="1" applyAlignment="1">
      <alignment vertical="top" wrapText="1"/>
    </xf>
    <xf numFmtId="0" fontId="9" fillId="0" borderId="3" xfId="1" applyFont="1" applyFill="1" applyBorder="1" applyAlignment="1">
      <alignment vertical="top" wrapText="1"/>
    </xf>
    <xf numFmtId="0" fontId="5" fillId="0" borderId="3" xfId="0" applyFont="1" applyFill="1" applyBorder="1" applyAlignment="1">
      <alignment vertical="top" wrapText="1"/>
    </xf>
    <xf numFmtId="0" fontId="5" fillId="0" borderId="0" xfId="0" applyFont="1" applyFill="1" applyAlignment="1">
      <alignment vertical="top" wrapText="1"/>
    </xf>
    <xf numFmtId="0" fontId="0" fillId="0" borderId="3" xfId="0" applyFont="1" applyFill="1" applyBorder="1" applyAlignment="1">
      <alignment vertical="top" wrapText="1"/>
    </xf>
    <xf numFmtId="0" fontId="0" fillId="7" borderId="0" xfId="0" applyFill="1"/>
    <xf numFmtId="0" fontId="4" fillId="6" borderId="3" xfId="2" applyFill="1" applyBorder="1" applyAlignment="1">
      <alignment vertical="top" wrapText="1"/>
    </xf>
    <xf numFmtId="0" fontId="0" fillId="6" borderId="3" xfId="0" applyFill="1" applyBorder="1"/>
    <xf numFmtId="0" fontId="0" fillId="2" borderId="0" xfId="0" applyFill="1" applyAlignment="1">
      <alignment horizontal="center" vertical="top" wrapText="1"/>
    </xf>
    <xf numFmtId="0" fontId="0" fillId="2" borderId="4" xfId="0" applyFill="1"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2" borderId="3" xfId="0" applyFill="1" applyBorder="1" applyAlignment="1">
      <alignment vertical="top" wrapText="1"/>
    </xf>
    <xf numFmtId="0" fontId="0" fillId="0" borderId="3" xfId="0" applyBorder="1" applyAlignment="1">
      <alignment vertical="top" wrapText="1"/>
    </xf>
    <xf numFmtId="0" fontId="0" fillId="2" borderId="0" xfId="0" applyFill="1" applyAlignment="1">
      <alignment vertical="top" wrapText="1"/>
    </xf>
    <xf numFmtId="0" fontId="0" fillId="2" borderId="7" xfId="0" applyFill="1" applyBorder="1" applyAlignment="1">
      <alignment vertical="top" wrapText="1"/>
    </xf>
    <xf numFmtId="0" fontId="0" fillId="0" borderId="7" xfId="0" applyBorder="1" applyAlignment="1">
      <alignment vertical="top" wrapText="1"/>
    </xf>
  </cellXfs>
  <cellStyles count="3">
    <cellStyle name="Good" xfId="1" builtinId="26"/>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calcChain" Target="calcChain.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theme" Target="theme/theme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23FC5-3AB3-4608-920A-6CC7C0407ECB}">
  <sheetPr codeName="Sheet15"/>
  <dimension ref="A1:D10"/>
  <sheetViews>
    <sheetView workbookViewId="0">
      <selection activeCell="C22" sqref="C22"/>
    </sheetView>
  </sheetViews>
  <sheetFormatPr defaultRowHeight="15"/>
  <cols>
    <col min="1" max="1" width="7.85546875" bestFit="1" customWidth="1"/>
    <col min="2" max="2" width="52.7109375" customWidth="1"/>
    <col min="3" max="3" width="15.85546875" bestFit="1" customWidth="1"/>
    <col min="4" max="4" width="87.140625" customWidth="1"/>
  </cols>
  <sheetData>
    <row r="1" spans="1:4">
      <c r="A1" s="23" t="s">
        <v>5790</v>
      </c>
      <c r="B1" s="23" t="s">
        <v>5791</v>
      </c>
      <c r="C1" s="23" t="s">
        <v>5792</v>
      </c>
      <c r="D1" s="23" t="s">
        <v>5793</v>
      </c>
    </row>
    <row r="2" spans="1:4">
      <c r="A2" s="24">
        <v>1</v>
      </c>
      <c r="B2" s="24" t="s">
        <v>5794</v>
      </c>
      <c r="C2" s="25">
        <v>45837.541666666664</v>
      </c>
      <c r="D2" s="24" t="s">
        <v>5795</v>
      </c>
    </row>
    <row r="3" spans="1:4" ht="180.75" customHeight="1">
      <c r="A3">
        <v>2</v>
      </c>
      <c r="B3" t="s">
        <v>5796</v>
      </c>
      <c r="C3" s="25">
        <v>45889.541666666664</v>
      </c>
      <c r="D3" s="24" t="s">
        <v>7021</v>
      </c>
    </row>
    <row r="4" spans="1:4">
      <c r="A4">
        <v>3</v>
      </c>
      <c r="B4" t="s">
        <v>5796</v>
      </c>
      <c r="C4" s="25">
        <v>45921.541666666664</v>
      </c>
      <c r="D4" t="s">
        <v>7022</v>
      </c>
    </row>
    <row r="5" spans="1:4">
      <c r="A5">
        <v>4</v>
      </c>
      <c r="B5" t="s">
        <v>5796</v>
      </c>
      <c r="C5" s="25">
        <v>45924.541666666664</v>
      </c>
      <c r="D5" t="s">
        <v>7023</v>
      </c>
    </row>
    <row r="6" spans="1:4">
      <c r="A6">
        <v>5</v>
      </c>
      <c r="B6" t="s">
        <v>5796</v>
      </c>
      <c r="C6" s="25">
        <v>45929.541666666664</v>
      </c>
      <c r="D6" t="s">
        <v>7116</v>
      </c>
    </row>
    <row r="7" spans="1:4">
      <c r="A7">
        <v>6</v>
      </c>
      <c r="B7" t="s">
        <v>5796</v>
      </c>
      <c r="C7" s="25">
        <v>45938.541666666664</v>
      </c>
      <c r="D7" t="s">
        <v>7125</v>
      </c>
    </row>
    <row r="8" spans="1:4">
      <c r="A8">
        <v>7</v>
      </c>
      <c r="B8" t="s">
        <v>5796</v>
      </c>
      <c r="C8" s="25">
        <v>45944.541666666664</v>
      </c>
      <c r="D8" t="s">
        <v>7126</v>
      </c>
    </row>
    <row r="9" spans="1:4">
      <c r="A9">
        <v>8</v>
      </c>
      <c r="B9" t="s">
        <v>5796</v>
      </c>
      <c r="C9" s="25">
        <v>45951.541666666664</v>
      </c>
      <c r="D9" t="s">
        <v>7130</v>
      </c>
    </row>
    <row r="10" spans="1:4">
      <c r="A10">
        <v>9</v>
      </c>
      <c r="B10" t="s">
        <v>5796</v>
      </c>
      <c r="C10" s="25">
        <v>45663.541666666664</v>
      </c>
      <c r="D10" t="s">
        <v>7133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B7CCF-406A-4A4D-B526-FD70F284C943}">
  <sheetPr codeName="Sheet13"/>
  <dimension ref="A1:E139"/>
  <sheetViews>
    <sheetView tabSelected="1" zoomScale="85" zoomScaleNormal="85" workbookViewId="0">
      <selection sqref="A1:A1048576"/>
    </sheetView>
  </sheetViews>
  <sheetFormatPr defaultRowHeight="15"/>
  <cols>
    <col min="1" max="1" width="16.42578125" style="31" customWidth="1"/>
    <col min="2" max="2" width="173.42578125" style="31" customWidth="1"/>
    <col min="3" max="3" width="31.7109375" style="72" bestFit="1" customWidth="1"/>
    <col min="5" max="5" width="238.42578125" bestFit="1" customWidth="1"/>
  </cols>
  <sheetData>
    <row r="1" spans="1:5">
      <c r="A1" s="59" t="s">
        <v>1690</v>
      </c>
      <c r="B1" s="59" t="s">
        <v>5380</v>
      </c>
      <c r="C1" s="59" t="s">
        <v>3686</v>
      </c>
    </row>
    <row r="2" spans="1:5" ht="45">
      <c r="A2" s="68" t="str">
        <f>HYPERLINK("#aad0data!A2","aad0data")</f>
        <v>aad0data</v>
      </c>
      <c r="B2" s="59" t="s">
        <v>5930</v>
      </c>
      <c r="C2" s="69" t="s">
        <v>7005</v>
      </c>
      <c r="E2" s="37"/>
    </row>
    <row r="3" spans="1:5">
      <c r="A3" s="68" t="str">
        <f>HYPERLINK("#acaptrTL!A2","acaptrTL")</f>
        <v>acaptrTL</v>
      </c>
      <c r="B3" s="59" t="s">
        <v>5797</v>
      </c>
      <c r="C3" s="69"/>
    </row>
    <row r="4" spans="1:5">
      <c r="A4" s="68" t="str">
        <f>HYPERLINK("#acaptrTR!A2","acaptrTR")</f>
        <v>acaptrTR</v>
      </c>
      <c r="B4" s="59" t="s">
        <v>5798</v>
      </c>
      <c r="C4" s="69"/>
    </row>
    <row r="5" spans="1:5">
      <c r="A5" s="68" t="str">
        <f>HYPERLINK("#acrcal!A2","acrcal")</f>
        <v>acrcal</v>
      </c>
      <c r="B5" s="59" t="s">
        <v>5799</v>
      </c>
      <c r="C5" s="69"/>
    </row>
    <row r="6" spans="1:5">
      <c r="A6" s="68" t="str">
        <f>HYPERLINK("#acd0data!A2","acd0data")</f>
        <v>acd0data</v>
      </c>
      <c r="B6" s="59" t="s">
        <v>5800</v>
      </c>
      <c r="C6" s="69"/>
    </row>
    <row r="7" spans="1:5" ht="30">
      <c r="A7" s="68" t="str">
        <f>HYPERLINK("#amd0data!A2","amd0data")</f>
        <v>amd0data</v>
      </c>
      <c r="B7" s="59" t="s">
        <v>5782</v>
      </c>
      <c r="C7" s="69"/>
    </row>
    <row r="8" spans="1:5">
      <c r="A8" s="68" t="str">
        <f>HYPERLINK("#ank0dataBR!A2","ank0dataBR")</f>
        <v>ank0dataBR</v>
      </c>
      <c r="B8" s="59" t="s">
        <v>5862</v>
      </c>
      <c r="C8" s="69"/>
    </row>
    <row r="9" spans="1:5">
      <c r="A9" s="68" t="str">
        <f>HYPERLINK("#ank0dataGW!A2","ank0dataGW")</f>
        <v>ank0dataGW</v>
      </c>
      <c r="B9" s="59" t="s">
        <v>5801</v>
      </c>
      <c r="C9" s="69"/>
    </row>
    <row r="10" spans="1:5">
      <c r="A10" s="68" t="str">
        <f>HYPERLINK("#ank0dataXC!A2","ank0dataXC")</f>
        <v>ank0dataXC</v>
      </c>
      <c r="B10" s="59" t="s">
        <v>5968</v>
      </c>
      <c r="C10" s="69" t="s">
        <v>7020</v>
      </c>
    </row>
    <row r="11" spans="1:5">
      <c r="A11" s="68" t="str">
        <f>HYPERLINK("#ank0dataMM!A2","ank0dataMM")</f>
        <v>ank0dataMM</v>
      </c>
      <c r="B11" s="59" t="s">
        <v>5802</v>
      </c>
      <c r="C11" s="69"/>
    </row>
    <row r="12" spans="1:5">
      <c r="A12" s="68" t="str">
        <f>HYPERLINK("#ard0data!A2","ard0data")</f>
        <v>ard0data</v>
      </c>
      <c r="B12" s="59" t="s">
        <v>5803</v>
      </c>
      <c r="C12" s="69" t="s">
        <v>7005</v>
      </c>
    </row>
    <row r="13" spans="1:5">
      <c r="A13" s="45" t="str">
        <f>HYPERLINK("#bcd0data!A2","bcd0data")</f>
        <v>bcd0data</v>
      </c>
      <c r="B13" s="18" t="s">
        <v>5804</v>
      </c>
      <c r="C13" s="48" t="s">
        <v>7005</v>
      </c>
    </row>
    <row r="14" spans="1:5">
      <c r="A14" s="68" t="str">
        <f>HYPERLINK("#bmdft01!A2","bmdft01")</f>
        <v>bmdft01</v>
      </c>
      <c r="B14" s="59" t="s">
        <v>5805</v>
      </c>
      <c r="C14" s="69" t="s">
        <v>7005</v>
      </c>
    </row>
    <row r="15" spans="1:5">
      <c r="A15" s="68" t="str">
        <f>HYPERLINK("#bmglsum!A2","bmglsum")</f>
        <v>bmglsum</v>
      </c>
      <c r="B15" s="59" t="s">
        <v>5806</v>
      </c>
      <c r="C15" s="69"/>
    </row>
    <row r="16" spans="1:5">
      <c r="A16" s="68" t="str">
        <f>HYPERLINK("#brcode!A2","brcode")</f>
        <v>brcode</v>
      </c>
      <c r="B16" s="59" t="s">
        <v>5807</v>
      </c>
      <c r="C16" s="69"/>
    </row>
    <row r="17" spans="1:3">
      <c r="A17" s="68" t="str">
        <f>HYPERLINK("#bsf0data!A2","bsf0data")</f>
        <v>bsf0data</v>
      </c>
      <c r="B17" s="59" t="s">
        <v>5808</v>
      </c>
      <c r="C17" s="69"/>
    </row>
    <row r="18" spans="1:3">
      <c r="A18" s="68" t="str">
        <f>HYPERLINK("#ccblklog!A2","ccblklog")</f>
        <v>ccblklog</v>
      </c>
      <c r="B18" s="59" t="s">
        <v>5809</v>
      </c>
      <c r="C18" s="69"/>
    </row>
    <row r="19" spans="1:3">
      <c r="A19" s="68" t="str">
        <f>HYPERLINK("#ccpayhist!A2","ccpayhist")</f>
        <v>ccpayhist</v>
      </c>
      <c r="B19" s="59" t="s">
        <v>5810</v>
      </c>
      <c r="C19" s="69"/>
    </row>
    <row r="20" spans="1:3">
      <c r="A20" s="69" t="str">
        <f>HYPERLINK("#cnd0dataAC!A2","cnd0dataAC")</f>
        <v>cnd0dataAC</v>
      </c>
      <c r="B20" s="69" t="s">
        <v>5811</v>
      </c>
      <c r="C20" s="69" t="s">
        <v>7005</v>
      </c>
    </row>
    <row r="21" spans="1:3">
      <c r="A21" s="68" t="str">
        <f>HYPERLINK("#cnd0dataBD!A2","cnd0dataBD")</f>
        <v>cnd0dataBD</v>
      </c>
      <c r="B21" s="59" t="s">
        <v>5812</v>
      </c>
      <c r="C21" s="69"/>
    </row>
    <row r="22" spans="1:3">
      <c r="A22" s="68" t="str">
        <f>HYPERLINK("#cnd0dataBR!A2","cnd0dataBR")</f>
        <v>cnd0dataBR</v>
      </c>
      <c r="B22" s="59" t="s">
        <v>5813</v>
      </c>
      <c r="C22" s="69"/>
    </row>
    <row r="23" spans="1:3">
      <c r="A23" s="68" t="str">
        <f>HYPERLINK("#cnd0dataC0!A2","cnd0dataC0")</f>
        <v>cnd0dataC0</v>
      </c>
      <c r="B23" s="59" t="s">
        <v>5929</v>
      </c>
      <c r="C23" s="69" t="s">
        <v>7020</v>
      </c>
    </row>
    <row r="24" spans="1:3">
      <c r="A24" s="68" t="str">
        <f>HYPERLINK("#cnd0dataCL!A2","cnd0dataCL")</f>
        <v>cnd0dataCL</v>
      </c>
      <c r="B24" s="59" t="s">
        <v>5814</v>
      </c>
      <c r="C24" s="69" t="s">
        <v>7005</v>
      </c>
    </row>
    <row r="25" spans="1:3">
      <c r="A25" s="68" t="str">
        <f>HYPERLINK("#cnd0dataMR!A2","cnd0dataMR")</f>
        <v>cnd0dataMR</v>
      </c>
      <c r="B25" s="59" t="s">
        <v>5815</v>
      </c>
      <c r="C25" s="69"/>
    </row>
    <row r="26" spans="1:3">
      <c r="A26" s="68" t="str">
        <f>HYPERLINK("#cnd0dataNR!A2","cnd0dataNR")</f>
        <v>cnd0dataNR</v>
      </c>
      <c r="B26" s="59" t="s">
        <v>5816</v>
      </c>
      <c r="C26" s="69"/>
    </row>
    <row r="27" spans="1:3">
      <c r="A27" s="68" t="str">
        <f>HYPERLINK("#cnd0dataSP00!A2","cnd0dataSP00")</f>
        <v>cnd0dataSP00</v>
      </c>
      <c r="B27" s="59" t="s">
        <v>5817</v>
      </c>
      <c r="C27" s="69" t="s">
        <v>7020</v>
      </c>
    </row>
    <row r="28" spans="1:3">
      <c r="A28" s="68" t="str">
        <f>HYPERLINK("#cnd0dataSP01!A2","cnd0dataSP01")</f>
        <v>cnd0dataSP01</v>
      </c>
      <c r="B28" s="59" t="s">
        <v>5817</v>
      </c>
      <c r="C28" s="69" t="s">
        <v>7117</v>
      </c>
    </row>
    <row r="29" spans="1:3">
      <c r="A29" s="68" t="str">
        <f>HYPERLINK("#cnd0dataTR!A2","cnd0dataTR")</f>
        <v>cnd0dataTR</v>
      </c>
      <c r="B29" s="59" t="s">
        <v>5818</v>
      </c>
      <c r="C29" s="69"/>
    </row>
    <row r="30" spans="1:3">
      <c r="A30" s="68" t="str">
        <f>HYPERLINK("#cnd0dataXC!A2","cnd0dataXC")</f>
        <v>cnd0dataXC</v>
      </c>
      <c r="B30" s="59" t="s">
        <v>5819</v>
      </c>
      <c r="C30" s="69"/>
    </row>
    <row r="31" spans="1:3" ht="270">
      <c r="A31" s="68" t="str">
        <f>HYPERLINK("#cpd0data!A2","cpd0data")</f>
        <v>cpd0data</v>
      </c>
      <c r="B31" s="59" t="s">
        <v>5758</v>
      </c>
      <c r="C31" s="69" t="s">
        <v>7005</v>
      </c>
    </row>
    <row r="32" spans="1:3" ht="165">
      <c r="A32" s="86" t="str">
        <f>HYPERLINK("#crd0data!A2","crd0data")</f>
        <v>crd0data</v>
      </c>
      <c r="B32" s="16" t="s">
        <v>5759</v>
      </c>
      <c r="C32" s="87" t="s">
        <v>7005</v>
      </c>
    </row>
    <row r="33" spans="1:3" ht="60">
      <c r="A33" s="70" t="str">
        <f>HYPERLINK("#ctd0data!A2","ctd0data")</f>
        <v>ctd0data</v>
      </c>
      <c r="B33" s="59" t="s">
        <v>5781</v>
      </c>
      <c r="C33" s="69" t="s">
        <v>7005</v>
      </c>
    </row>
    <row r="34" spans="1:3">
      <c r="A34" s="68" t="str">
        <f>HYPERLINK("#dcd0data!A2","dcd0data")</f>
        <v>dcd0data</v>
      </c>
      <c r="B34" s="59" t="s">
        <v>5760</v>
      </c>
      <c r="C34" s="69"/>
    </row>
    <row r="35" spans="1:3" ht="60">
      <c r="A35" s="68" t="str">
        <f>HYPERLINK("#dzd0data!A2","dzd0data")</f>
        <v>dzd0data</v>
      </c>
      <c r="B35" s="59" t="s">
        <v>5761</v>
      </c>
      <c r="C35" s="69"/>
    </row>
    <row r="36" spans="1:3">
      <c r="A36" s="68" t="str">
        <f>HYPERLINK("#fud0data!A2","fud0data")</f>
        <v>fud0data</v>
      </c>
      <c r="B36" s="59" t="s">
        <v>5820</v>
      </c>
      <c r="C36" s="69" t="s">
        <v>7005</v>
      </c>
    </row>
    <row r="37" spans="1:3" ht="30">
      <c r="A37" s="68" t="str">
        <f>HYPERLINK("#gld0data!A2","gld0data")</f>
        <v>gld0data</v>
      </c>
      <c r="B37" s="59" t="s">
        <v>5821</v>
      </c>
      <c r="C37" s="69" t="s">
        <v>7005</v>
      </c>
    </row>
    <row r="38" spans="1:3" ht="30">
      <c r="A38" s="68" t="str">
        <f>HYPERLINK("#gld0data05!A2","gld0data05")</f>
        <v>gld0data05</v>
      </c>
      <c r="B38" s="59" t="s">
        <v>5822</v>
      </c>
      <c r="C38" s="69" t="s">
        <v>7005</v>
      </c>
    </row>
    <row r="39" spans="1:3" ht="30">
      <c r="A39" s="68" t="str">
        <f>HYPERLINK("#iad0data!A2","iad0data")</f>
        <v>iad0data</v>
      </c>
      <c r="B39" s="59" t="s">
        <v>5823</v>
      </c>
      <c r="C39" s="69"/>
    </row>
    <row r="40" spans="1:3" ht="45">
      <c r="A40" s="68" t="str">
        <f>HYPERLINK("#isd0data!A2","isd0data")</f>
        <v>isd0data</v>
      </c>
      <c r="B40" s="59" t="s">
        <v>5762</v>
      </c>
      <c r="C40" s="69" t="s">
        <v>7005</v>
      </c>
    </row>
    <row r="41" spans="1:3" ht="45">
      <c r="A41" s="68" t="str">
        <f>HYPERLINK("#letter!A2","letter")</f>
        <v>letter</v>
      </c>
      <c r="B41" s="59" t="s">
        <v>5824</v>
      </c>
      <c r="C41" s="69" t="s">
        <v>7005</v>
      </c>
    </row>
    <row r="42" spans="1:3" ht="30">
      <c r="A42" s="68" t="str">
        <f>HYPERLINK("#mmd0data!A2","mmd0data")</f>
        <v>mmd0data</v>
      </c>
      <c r="B42" s="59" t="s">
        <v>5825</v>
      </c>
      <c r="C42" s="69" t="s">
        <v>7005</v>
      </c>
    </row>
    <row r="43" spans="1:3">
      <c r="A43" s="68" t="str">
        <f>HYPERLINK("#omnitrnhist!A2","omnitrnhist")</f>
        <v>omnitrnhist</v>
      </c>
      <c r="B43" s="59" t="s">
        <v>5826</v>
      </c>
      <c r="C43" s="69"/>
    </row>
    <row r="44" spans="1:3">
      <c r="A44" s="68" t="str">
        <f>HYPERLINK("#pyd0data!A2","pyd0data")</f>
        <v>pyd0data</v>
      </c>
      <c r="B44" s="59" t="s">
        <v>5827</v>
      </c>
      <c r="C44" s="69" t="s">
        <v>7005</v>
      </c>
    </row>
    <row r="45" spans="1:3">
      <c r="A45" s="68" t="str">
        <f>HYPERLINK("#rid0data!A2","rid0data")</f>
        <v>rid0data</v>
      </c>
      <c r="B45" s="59" t="s">
        <v>5828</v>
      </c>
      <c r="C45" s="69" t="s">
        <v>7005</v>
      </c>
    </row>
    <row r="46" spans="1:3">
      <c r="A46" s="68" t="str">
        <f>HYPERLINK("#shd0data!A2","shd0data")</f>
        <v>shd0data</v>
      </c>
      <c r="B46" s="59" t="s">
        <v>5829</v>
      </c>
      <c r="C46" s="69"/>
    </row>
    <row r="47" spans="1:3" ht="45">
      <c r="A47" s="68" t="str">
        <f>HYPERLINK("#sod0data!A2","sod0data")</f>
        <v>sod0data</v>
      </c>
      <c r="B47" s="59" t="s">
        <v>5830</v>
      </c>
      <c r="C47" s="69"/>
    </row>
    <row r="48" spans="1:3">
      <c r="A48" s="68" t="str">
        <f>HYPERLINK("#srvfeelog!A2","srvfeelog")</f>
        <v>srvfeelog</v>
      </c>
      <c r="B48" s="59" t="s">
        <v>5831</v>
      </c>
      <c r="C48" s="69" t="s">
        <v>7005</v>
      </c>
    </row>
    <row r="49" spans="1:3">
      <c r="A49" s="68" t="str">
        <f>HYPERLINK("#stabclist!A2","stabclist")</f>
        <v>stabclist</v>
      </c>
      <c r="B49" s="59" t="s">
        <v>5832</v>
      </c>
      <c r="C49" s="69" t="s">
        <v>7005</v>
      </c>
    </row>
    <row r="50" spans="1:3">
      <c r="A50" s="68" t="str">
        <f>HYPERLINK("#staccblk!A2","staccblk")</f>
        <v>staccblk</v>
      </c>
      <c r="B50" s="59" t="s">
        <v>5833</v>
      </c>
      <c r="C50" s="69"/>
    </row>
    <row r="51" spans="1:3" ht="30">
      <c r="A51" s="68" t="str">
        <f>HYPERLINK("#stacclog!A2","stacclog")</f>
        <v>stacclog</v>
      </c>
      <c r="B51" s="59" t="s">
        <v>5834</v>
      </c>
      <c r="C51" s="69"/>
    </row>
    <row r="52" spans="1:3" ht="30">
      <c r="A52" s="68" t="str">
        <f>HYPERLINK("#staccopencard!A2","staccopencard")</f>
        <v>staccopencard</v>
      </c>
      <c r="B52" s="59" t="s">
        <v>5835</v>
      </c>
      <c r="C52" s="69"/>
    </row>
    <row r="53" spans="1:3" ht="30">
      <c r="A53" s="68" t="str">
        <f>HYPERLINK("#staddrlog!A2","staddrlog")</f>
        <v>staddrlog</v>
      </c>
      <c r="B53" s="59" t="s">
        <v>5836</v>
      </c>
      <c r="C53" s="69"/>
    </row>
    <row r="54" spans="1:3" ht="30">
      <c r="A54" s="68" t="str">
        <f>HYPERLINK("#staddrtab!A2","staddrtab")</f>
        <v>staddrtab</v>
      </c>
      <c r="B54" s="59" t="s">
        <v>5837</v>
      </c>
      <c r="C54" s="69"/>
    </row>
    <row r="55" spans="1:3">
      <c r="A55" s="68" t="str">
        <f>HYPERLINK("#stcaltab!A2","stcaltab")</f>
        <v>stcaltab</v>
      </c>
      <c r="B55" s="59" t="s">
        <v>5838</v>
      </c>
      <c r="C55" s="69"/>
    </row>
    <row r="56" spans="1:3">
      <c r="A56" s="68" t="str">
        <f>HYPERLINK("#stcardlog!A2","stcardlog")</f>
        <v>stcardlog</v>
      </c>
      <c r="B56" s="59" t="s">
        <v>5839</v>
      </c>
      <c r="C56" s="69"/>
    </row>
    <row r="57" spans="1:3" ht="30">
      <c r="A57" s="68" t="str">
        <f>HYPERLINK("#stcardtab!A2","stcardtab")</f>
        <v>stcardtab</v>
      </c>
      <c r="B57" s="59" t="s">
        <v>5840</v>
      </c>
      <c r="C57" s="69"/>
    </row>
    <row r="58" spans="1:3" ht="45">
      <c r="A58" s="68" t="str">
        <f>HYPERLINK("#stchqdel!A2","stchqdel")</f>
        <v>stchqdel</v>
      </c>
      <c r="B58" s="59" t="s">
        <v>5841</v>
      </c>
      <c r="C58" s="69"/>
    </row>
    <row r="59" spans="1:3" ht="30">
      <c r="A59" s="68" t="str">
        <f>HYPERLINK("#stchqtab!A2","stchqtab")</f>
        <v>stchqtab</v>
      </c>
      <c r="B59" s="59" t="s">
        <v>5842</v>
      </c>
      <c r="C59" s="69"/>
    </row>
    <row r="60" spans="1:3" ht="30">
      <c r="A60" s="68" t="str">
        <f>HYPERLINK("#stcreflog!A2","stcreflog")</f>
        <v>stcreflog</v>
      </c>
      <c r="B60" s="59" t="s">
        <v>5843</v>
      </c>
      <c r="C60" s="69"/>
    </row>
    <row r="61" spans="1:3" ht="30">
      <c r="A61" s="68" t="str">
        <f>HYPERLINK("#stcreftab!A2","stcreftab")</f>
        <v>stcreftab</v>
      </c>
      <c r="B61" s="59" t="s">
        <v>5844</v>
      </c>
      <c r="C61" s="69"/>
    </row>
    <row r="62" spans="1:3" ht="60">
      <c r="A62" s="68" t="str">
        <f>HYPERLINK("#stctltabBD!A2","stctltabBD")</f>
        <v>stctltabBD</v>
      </c>
      <c r="B62" s="59" t="s">
        <v>5783</v>
      </c>
      <c r="C62" s="69"/>
    </row>
    <row r="63" spans="1:3" ht="409.5">
      <c r="A63" s="68" t="str">
        <f>HYPERLINK("#stctltab!A2","stctltab")</f>
        <v>stctltab</v>
      </c>
      <c r="B63" s="59" t="s">
        <v>5928</v>
      </c>
      <c r="C63" s="69" t="s">
        <v>7006</v>
      </c>
    </row>
    <row r="64" spans="1:3" ht="30">
      <c r="A64" s="68" t="str">
        <f>HYPERLINK("#stctltabBI!A2","stctltabBI")</f>
        <v>stctltabBI</v>
      </c>
      <c r="B64" s="59" t="s">
        <v>5763</v>
      </c>
      <c r="C64" s="69" t="s">
        <v>7005</v>
      </c>
    </row>
    <row r="65" spans="1:5" ht="30">
      <c r="A65" s="68" t="str">
        <f>HYPERLINK("#stctltabCB!A2","stctltabCB")</f>
        <v>stctltabCB</v>
      </c>
      <c r="B65" s="59" t="s">
        <v>5845</v>
      </c>
      <c r="C65" s="69"/>
    </row>
    <row r="66" spans="1:5" ht="30">
      <c r="A66" s="68" t="str">
        <f>HYPERLINK("#stctltabCC!A2","stctltabCC")</f>
        <v>stctltabCC</v>
      </c>
      <c r="B66" s="59" t="s">
        <v>5764</v>
      </c>
      <c r="C66" s="69"/>
    </row>
    <row r="67" spans="1:5" ht="45">
      <c r="A67" s="68" t="str">
        <f>HYPERLINK("#stctltabCT!A2","stctltabCT")</f>
        <v>stctltabCT</v>
      </c>
      <c r="B67" s="59" t="s">
        <v>5765</v>
      </c>
      <c r="C67" s="69"/>
    </row>
    <row r="68" spans="1:5" ht="30">
      <c r="A68" s="68" t="str">
        <f>HYPERLINK("#stctltabDC!A2","stctltabDC")</f>
        <v>stctltabDC</v>
      </c>
      <c r="B68" s="59" t="s">
        <v>5766</v>
      </c>
      <c r="C68" s="69"/>
    </row>
    <row r="69" spans="1:5" ht="30">
      <c r="A69" s="68" t="str">
        <f>HYPERLINK("#stctltabMM!A2","stctltabMM")</f>
        <v>stctltabMM</v>
      </c>
      <c r="B69" s="59" t="s">
        <v>5767</v>
      </c>
      <c r="C69" s="69"/>
    </row>
    <row r="70" spans="1:5" ht="30">
      <c r="A70" s="68" t="str">
        <f>HYPERLINK("#stctltabNA!A2","stctltabNA")</f>
        <v>stctltabNA</v>
      </c>
      <c r="B70" s="59" t="s">
        <v>5768</v>
      </c>
      <c r="C70" s="69"/>
    </row>
    <row r="71" spans="1:5" ht="30">
      <c r="A71" s="68" t="str">
        <f>HYPERLINK("#stctltabPK!A2","stctltabPK")</f>
        <v>stctltabPK</v>
      </c>
      <c r="B71" s="59" t="s">
        <v>5769</v>
      </c>
      <c r="C71" s="69"/>
    </row>
    <row r="72" spans="1:5" s="22" customFormat="1" ht="30">
      <c r="A72" s="68" t="str">
        <f>HYPERLINK("#stctltabRN!A2","stctltabRN")</f>
        <v>stctltabRN</v>
      </c>
      <c r="B72" s="59" t="s">
        <v>5770</v>
      </c>
      <c r="C72" s="71"/>
      <c r="D72"/>
      <c r="E72"/>
    </row>
    <row r="73" spans="1:5" ht="30">
      <c r="A73" s="68" t="str">
        <f>HYPERLINK("#stctltabSC!A2","stctltabSC")</f>
        <v>stctltabSC</v>
      </c>
      <c r="B73" s="59" t="s">
        <v>5771</v>
      </c>
      <c r="C73" s="69" t="s">
        <v>7005</v>
      </c>
    </row>
    <row r="74" spans="1:5" ht="30">
      <c r="A74" s="68" t="str">
        <f>HYPERLINK("#stctltabSS!A2","stctltabSS")</f>
        <v>stctltabSS</v>
      </c>
      <c r="B74" s="59" t="s">
        <v>5772</v>
      </c>
      <c r="C74" s="69" t="s">
        <v>7005</v>
      </c>
    </row>
    <row r="75" spans="1:5" ht="30">
      <c r="A75" s="68" t="str">
        <f>HYPERLINK("#stctltabSR!A2","stctltabSR")</f>
        <v>stctltabSR</v>
      </c>
      <c r="B75" s="59" t="s">
        <v>5922</v>
      </c>
      <c r="C75" s="69"/>
    </row>
    <row r="76" spans="1:5" ht="30">
      <c r="A76" s="68" t="str">
        <f>HYPERLINK("#stctltabXC!A2","stctltabXC")</f>
        <v>stctltabXC</v>
      </c>
      <c r="B76" s="59" t="s">
        <v>5773</v>
      </c>
      <c r="C76" s="69" t="s">
        <v>7005</v>
      </c>
    </row>
    <row r="77" spans="1:5" ht="30">
      <c r="A77" s="68" t="str">
        <f>HYPERLINK("#stcustlog!A2","stcustlog")</f>
        <v>stcustlog</v>
      </c>
      <c r="B77" s="59" t="s">
        <v>5846</v>
      </c>
      <c r="C77" s="69" t="s">
        <v>7005</v>
      </c>
    </row>
    <row r="78" spans="1:5" ht="45">
      <c r="A78" s="68" t="str">
        <f>HYPERLINK("#stcusttab!A2","stcusttab")</f>
        <v>stcusttab</v>
      </c>
      <c r="B78" s="59" t="s">
        <v>5847</v>
      </c>
      <c r="C78" s="69" t="s">
        <v>7005</v>
      </c>
    </row>
    <row r="79" spans="1:5" ht="60">
      <c r="A79" s="68" t="str">
        <f>HYPERLINK("#stfundtab!A2","stfundtab")</f>
        <v>stfundtab</v>
      </c>
      <c r="B79" s="59" t="s">
        <v>5784</v>
      </c>
      <c r="C79" s="69"/>
    </row>
    <row r="80" spans="1:5" ht="45">
      <c r="A80" s="68" t="str">
        <f>HYPERLINK("#stheirlog!A2","stheirlog")</f>
        <v>stheirlog</v>
      </c>
      <c r="B80" s="59" t="s">
        <v>5785</v>
      </c>
      <c r="C80" s="69"/>
    </row>
    <row r="81" spans="1:3" ht="60">
      <c r="A81" s="68" t="str">
        <f>HYPERLINK("#stheirtab!A2","stheirtab")</f>
        <v>stheirtab</v>
      </c>
      <c r="B81" s="59" t="s">
        <v>5786</v>
      </c>
      <c r="C81" s="69"/>
    </row>
    <row r="82" spans="1:3" ht="60">
      <c r="A82" s="68" t="str">
        <f>HYPERLINK("#stidlog!A2","stidlog")</f>
        <v>stidlog</v>
      </c>
      <c r="B82" s="59" t="s">
        <v>5848</v>
      </c>
      <c r="C82" s="69"/>
    </row>
    <row r="83" spans="1:3" ht="60">
      <c r="A83" s="68" t="str">
        <f>HYPERLINK("#stidtab!A2","stidtab")</f>
        <v>stidtab</v>
      </c>
      <c r="B83" s="59" t="s">
        <v>5852</v>
      </c>
      <c r="C83" s="69"/>
    </row>
    <row r="84" spans="1:3" ht="75">
      <c r="A84" s="68" t="str">
        <f>HYPERLINK("#stjointlog!A2","stjointlog")</f>
        <v>stjointlog</v>
      </c>
      <c r="B84" s="59" t="s">
        <v>5849</v>
      </c>
      <c r="C84" s="69" t="s">
        <v>7005</v>
      </c>
    </row>
    <row r="85" spans="1:3" ht="45">
      <c r="A85" s="68" t="str">
        <f>HYPERLINK("#stjointtab!A2","stjointtab")</f>
        <v>stjointtab</v>
      </c>
      <c r="B85" s="59" t="s">
        <v>5789</v>
      </c>
      <c r="C85" s="69" t="s">
        <v>7007</v>
      </c>
    </row>
    <row r="86" spans="1:3" ht="60">
      <c r="A86" s="68" t="str">
        <f>HYPERLINK("#stownlog!A2","stownlog")</f>
        <v>stownlog</v>
      </c>
      <c r="B86" s="59" t="s">
        <v>5787</v>
      </c>
      <c r="C86" s="69"/>
    </row>
    <row r="87" spans="1:3" ht="60">
      <c r="A87" s="68" t="str">
        <f>HYPERLINK("#stowntab!A2","stowntab")</f>
        <v>stowntab</v>
      </c>
      <c r="B87" s="59" t="s">
        <v>5788</v>
      </c>
      <c r="C87" s="69"/>
    </row>
    <row r="88" spans="1:3" ht="60">
      <c r="A88" s="68" t="str">
        <f>HYPERLINK("#stsadadlog!A2","stsadadlog")</f>
        <v>stsadadlog</v>
      </c>
      <c r="B88" s="59" t="s">
        <v>5853</v>
      </c>
      <c r="C88" s="69"/>
    </row>
    <row r="89" spans="1:3" ht="30">
      <c r="A89" s="68" t="str">
        <f>HYPERLINK("#stsadctlER!A2","stsadctlER")</f>
        <v>stsadctlER</v>
      </c>
      <c r="B89" s="59" t="s">
        <v>5969</v>
      </c>
      <c r="C89" s="69" t="s">
        <v>7020</v>
      </c>
    </row>
    <row r="90" spans="1:3" ht="60">
      <c r="A90" s="68" t="str">
        <f>HYPERLINK("#stsadctlSC!A2","stsadctlSC")</f>
        <v>stsadctlSC</v>
      </c>
      <c r="B90" s="59" t="s">
        <v>5850</v>
      </c>
      <c r="C90" s="69" t="s">
        <v>5971</v>
      </c>
    </row>
    <row r="91" spans="1:3" ht="75">
      <c r="A91" s="68" t="str">
        <f>HYPERLINK("#stsamaacc!A2","stsamaacc")</f>
        <v>stsamaacc</v>
      </c>
      <c r="B91" s="59" t="s">
        <v>5851</v>
      </c>
      <c r="C91" s="69"/>
    </row>
    <row r="92" spans="1:3" ht="45">
      <c r="A92" s="68" t="str">
        <f>HYPERLINK("#stseclog!A2","stseclog")</f>
        <v>stseclog</v>
      </c>
      <c r="B92" s="59" t="s">
        <v>5774</v>
      </c>
      <c r="C92" s="69"/>
    </row>
    <row r="93" spans="1:3" ht="60">
      <c r="A93" s="59" t="str">
        <f>HYPERLINK("#stsignlog!A2","stsignlog")</f>
        <v>stsignlog</v>
      </c>
      <c r="B93" s="59" t="s">
        <v>5854</v>
      </c>
      <c r="C93" s="69" t="s">
        <v>7005</v>
      </c>
    </row>
    <row r="94" spans="1:3" ht="60">
      <c r="A94" s="68" t="str">
        <f>HYPERLINK("#stsigntab!A2","stsigntab")</f>
        <v>stsigntab</v>
      </c>
      <c r="B94" s="59" t="s">
        <v>5855</v>
      </c>
      <c r="C94" s="69"/>
    </row>
    <row r="95" spans="1:3" ht="45">
      <c r="A95" s="68" t="str">
        <f>HYPERLINK("#stsodlog!A2","stsodlog")</f>
        <v>stsodlog</v>
      </c>
      <c r="B95" s="59" t="s">
        <v>5857</v>
      </c>
      <c r="C95" s="69"/>
    </row>
    <row r="96" spans="1:3" ht="60">
      <c r="A96" s="68" t="str">
        <f>HYPERLINK("#ststchqlog!A2","ststchqlog")</f>
        <v>ststchqlog</v>
      </c>
      <c r="B96" s="59" t="s">
        <v>5856</v>
      </c>
      <c r="C96" s="69"/>
    </row>
    <row r="97" spans="1:3" ht="30">
      <c r="A97" s="68" t="str">
        <f>HYPERLINK("#sttdlog!A2","sttdlog")</f>
        <v>sttdlog</v>
      </c>
      <c r="B97" s="59" t="s">
        <v>5858</v>
      </c>
      <c r="C97" s="69"/>
    </row>
    <row r="98" spans="1:3" ht="30">
      <c r="A98" s="68" t="str">
        <f>HYPERLINK("#stuser!A2","stuser")</f>
        <v>stuser</v>
      </c>
      <c r="B98" s="59" t="s">
        <v>5775</v>
      </c>
      <c r="C98" s="69"/>
    </row>
    <row r="99" spans="1:3" ht="75">
      <c r="A99" s="68" t="str">
        <f>HYPERLINK("#stuserlog!A2","stuserlog")</f>
        <v>stuserlog</v>
      </c>
      <c r="B99" s="59" t="s">
        <v>5776</v>
      </c>
      <c r="C99" s="69"/>
    </row>
    <row r="100" spans="1:3" ht="45">
      <c r="A100" s="68" t="str">
        <f>HYPERLINK("#stusrbrn!A2","stusrbrn")</f>
        <v>stusrbrn</v>
      </c>
      <c r="B100" s="59" t="s">
        <v>5777</v>
      </c>
      <c r="C100" s="69" t="s">
        <v>7005</v>
      </c>
    </row>
    <row r="101" spans="1:3" ht="45">
      <c r="A101" s="68" t="str">
        <f>HYPERLINK("#thd0data!A2","thd0data")</f>
        <v>thd0data</v>
      </c>
      <c r="B101" s="59" t="s">
        <v>5778</v>
      </c>
      <c r="C101" s="69"/>
    </row>
    <row r="102" spans="1:3" ht="45">
      <c r="A102" s="68" t="str">
        <f>HYPERLINK("#thd0data1!A2","thd0data1")</f>
        <v>thd0data1</v>
      </c>
      <c r="B102" s="59" t="s">
        <v>5779</v>
      </c>
      <c r="C102" s="69"/>
    </row>
    <row r="103" spans="1:3" ht="30">
      <c r="A103" s="68" t="str">
        <f>HYPERLINK("#tid0data!A2","tid0data")</f>
        <v>tid0data</v>
      </c>
      <c r="B103" s="59" t="s">
        <v>5780</v>
      </c>
      <c r="C103" s="69"/>
    </row>
    <row r="104" spans="1:3">
      <c r="A104" s="68" t="str">
        <f>HYPERLINK("#tr0data!A2","tr0data")</f>
        <v>tr0data</v>
      </c>
      <c r="B104" s="59" t="s">
        <v>5859</v>
      </c>
      <c r="C104" s="69" t="s">
        <v>7005</v>
      </c>
    </row>
    <row r="105" spans="1:3" ht="30">
      <c r="A105" s="68" t="str">
        <f>HYPERLINK("#txd0data!A2","txd0data")</f>
        <v>txd0data</v>
      </c>
      <c r="B105" s="59" t="s">
        <v>5860</v>
      </c>
      <c r="C105" s="69"/>
    </row>
    <row r="106" spans="1:3" ht="75">
      <c r="A106" s="68" t="str">
        <f>HYPERLINK("#und0data!A2","und0data")</f>
        <v>und0data</v>
      </c>
      <c r="B106" s="59" t="s">
        <v>5861</v>
      </c>
      <c r="C106" s="69"/>
    </row>
    <row r="107" spans="1:3">
      <c r="A107" s="68" t="str">
        <f>HYPERLINK("#srvfeectl!A2","srvfeeCtl")</f>
        <v>srvfeeCtl</v>
      </c>
      <c r="B107" s="59" t="s">
        <v>5831</v>
      </c>
      <c r="C107" s="69" t="s">
        <v>7020</v>
      </c>
    </row>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s="22" customFormat="1"/>
    <row r="136" customFormat="1"/>
    <row r="137" customFormat="1"/>
    <row r="138" customFormat="1"/>
    <row r="139" customFormat="1"/>
  </sheetData>
  <autoFilter ref="A1:E137" xr:uid="{78CB7CCF-406A-4A4D-B526-FD70F284C943}"/>
  <sortState xmlns:xlrd2="http://schemas.microsoft.com/office/spreadsheetml/2017/richdata2" ref="E1:E1048552">
    <sortCondition ref="E1:E1048552"/>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5E10-FA45-41B2-A7BE-6DB30B18CA80}">
  <sheetPr codeName="Sheet8"/>
  <dimension ref="A1:M45"/>
  <sheetViews>
    <sheetView topLeftCell="A28" zoomScale="85" zoomScaleNormal="85" workbookViewId="0">
      <selection activeCell="E75" sqref="E75"/>
    </sheetView>
  </sheetViews>
  <sheetFormatPr defaultRowHeight="15"/>
  <cols>
    <col min="1" max="1" width="9.140625" style="28"/>
    <col min="2" max="2" width="18.85546875" style="28" bestFit="1" customWidth="1"/>
    <col min="3" max="4" width="9.140625" style="28"/>
    <col min="5" max="5" width="11" style="28" bestFit="1" customWidth="1"/>
    <col min="6" max="6" width="27.28515625" style="28" customWidth="1"/>
    <col min="7" max="7" width="55.140625" style="28" customWidth="1"/>
    <col min="8" max="11" width="9.140625" style="28"/>
    <col min="12" max="12" width="47.5703125" customWidth="1"/>
  </cols>
  <sheetData>
    <row r="1" spans="1:13">
      <c r="A1" s="27" t="s">
        <v>238</v>
      </c>
      <c r="B1" s="27"/>
      <c r="C1" s="27"/>
      <c r="D1" s="27"/>
      <c r="E1" s="27"/>
      <c r="F1" s="27"/>
      <c r="G1" s="27"/>
      <c r="H1" s="88" t="s">
        <v>5391</v>
      </c>
      <c r="I1" s="88"/>
      <c r="J1" s="88"/>
      <c r="K1" s="88"/>
    </row>
    <row r="2" spans="1:13">
      <c r="A2" s="10" t="s">
        <v>350</v>
      </c>
      <c r="B2" s="10" t="s">
        <v>156</v>
      </c>
      <c r="C2" s="10" t="s">
        <v>157</v>
      </c>
      <c r="D2" s="10" t="s">
        <v>239</v>
      </c>
      <c r="E2" s="10" t="s">
        <v>159</v>
      </c>
      <c r="F2" s="10" t="s">
        <v>1684</v>
      </c>
      <c r="G2" s="10" t="s">
        <v>1685</v>
      </c>
      <c r="H2" s="10" t="s">
        <v>5371</v>
      </c>
      <c r="I2" s="10" t="s">
        <v>5372</v>
      </c>
      <c r="J2" s="10" t="s">
        <v>5373</v>
      </c>
      <c r="K2" s="10" t="s">
        <v>5389</v>
      </c>
    </row>
    <row r="3" spans="1:13">
      <c r="A3" s="26">
        <v>1</v>
      </c>
      <c r="B3" s="26" t="s">
        <v>240</v>
      </c>
      <c r="C3" s="26">
        <v>8</v>
      </c>
      <c r="D3" s="26" t="s">
        <v>160</v>
      </c>
      <c r="E3" s="26" t="s">
        <v>177</v>
      </c>
      <c r="F3" s="26" t="s">
        <v>1686</v>
      </c>
      <c r="G3" s="26" t="s">
        <v>1687</v>
      </c>
      <c r="H3" s="26" t="s">
        <v>5382</v>
      </c>
      <c r="I3" s="26" t="s">
        <v>5386</v>
      </c>
      <c r="J3" s="26"/>
      <c r="K3" s="26"/>
      <c r="M3" s="35"/>
    </row>
    <row r="4" spans="1:13" ht="30">
      <c r="A4" s="59">
        <v>2</v>
      </c>
      <c r="B4" s="59" t="s">
        <v>5864</v>
      </c>
      <c r="C4" s="59">
        <v>13</v>
      </c>
      <c r="D4" s="59" t="s">
        <v>242</v>
      </c>
      <c r="E4" s="59"/>
      <c r="F4" s="59" t="s">
        <v>5865</v>
      </c>
      <c r="G4" s="59" t="s">
        <v>5866</v>
      </c>
      <c r="H4" s="59" t="s">
        <v>5384</v>
      </c>
      <c r="I4" s="59" t="s">
        <v>5387</v>
      </c>
      <c r="J4" s="59"/>
      <c r="K4" s="59"/>
      <c r="L4" s="31" t="s">
        <v>5873</v>
      </c>
      <c r="M4" s="35"/>
    </row>
    <row r="5" spans="1:13" ht="75">
      <c r="A5" s="26">
        <v>3</v>
      </c>
      <c r="B5" s="26" t="s">
        <v>1160</v>
      </c>
      <c r="C5" s="26">
        <v>1</v>
      </c>
      <c r="D5" s="26" t="s">
        <v>242</v>
      </c>
      <c r="E5" s="26"/>
      <c r="F5" s="26" t="s">
        <v>4901</v>
      </c>
      <c r="G5" s="26" t="s">
        <v>4849</v>
      </c>
      <c r="H5" s="26"/>
      <c r="I5" s="26"/>
      <c r="J5" s="26"/>
      <c r="K5" s="26"/>
      <c r="M5" s="35"/>
    </row>
    <row r="6" spans="1:13" ht="90">
      <c r="A6" s="26">
        <v>4</v>
      </c>
      <c r="B6" s="26" t="s">
        <v>1161</v>
      </c>
      <c r="C6" s="26">
        <v>2</v>
      </c>
      <c r="D6" s="26" t="s">
        <v>242</v>
      </c>
      <c r="E6" s="26"/>
      <c r="F6" s="26" t="s">
        <v>4902</v>
      </c>
      <c r="G6" s="26" t="s">
        <v>4850</v>
      </c>
      <c r="H6" s="26"/>
      <c r="I6" s="26"/>
      <c r="J6" s="26"/>
      <c r="K6" s="26"/>
      <c r="M6" s="35"/>
    </row>
    <row r="7" spans="1:13" ht="30">
      <c r="A7" s="26">
        <v>5</v>
      </c>
      <c r="B7" s="26" t="s">
        <v>1162</v>
      </c>
      <c r="C7" s="26">
        <v>14</v>
      </c>
      <c r="D7" s="26" t="s">
        <v>189</v>
      </c>
      <c r="E7" s="26" t="s">
        <v>1267</v>
      </c>
      <c r="F7" s="26" t="s">
        <v>4864</v>
      </c>
      <c r="G7" s="26" t="s">
        <v>4851</v>
      </c>
      <c r="H7" s="26"/>
      <c r="I7" s="26"/>
      <c r="J7" s="26"/>
      <c r="K7" s="26"/>
      <c r="M7" s="35"/>
    </row>
    <row r="8" spans="1:13" ht="30">
      <c r="A8" s="26">
        <v>6</v>
      </c>
      <c r="B8" s="26" t="s">
        <v>1163</v>
      </c>
      <c r="C8" s="26">
        <v>14</v>
      </c>
      <c r="D8" s="26" t="s">
        <v>189</v>
      </c>
      <c r="E8" s="26" t="s">
        <v>1267</v>
      </c>
      <c r="F8" s="26" t="s">
        <v>4865</v>
      </c>
      <c r="G8" s="26" t="s">
        <v>4867</v>
      </c>
      <c r="H8" s="26"/>
      <c r="I8" s="26"/>
      <c r="J8" s="26"/>
      <c r="K8" s="26"/>
      <c r="M8" s="35"/>
    </row>
    <row r="9" spans="1:13" ht="30">
      <c r="A9" s="26">
        <v>7</v>
      </c>
      <c r="B9" s="26" t="s">
        <v>1164</v>
      </c>
      <c r="C9" s="26">
        <v>14</v>
      </c>
      <c r="D9" s="26" t="s">
        <v>189</v>
      </c>
      <c r="E9" s="26" t="s">
        <v>1267</v>
      </c>
      <c r="F9" s="26" t="s">
        <v>4866</v>
      </c>
      <c r="G9" s="26" t="s">
        <v>4868</v>
      </c>
      <c r="H9" s="26"/>
      <c r="I9" s="26"/>
      <c r="J9" s="26"/>
      <c r="K9" s="26"/>
      <c r="M9" s="35"/>
    </row>
    <row r="10" spans="1:13" ht="30">
      <c r="A10" s="26">
        <v>8</v>
      </c>
      <c r="B10" s="26" t="s">
        <v>1165</v>
      </c>
      <c r="C10" s="26">
        <v>14</v>
      </c>
      <c r="D10" s="26" t="s">
        <v>189</v>
      </c>
      <c r="E10" s="26" t="s">
        <v>1267</v>
      </c>
      <c r="F10" s="26" t="s">
        <v>4870</v>
      </c>
      <c r="G10" s="26" t="s">
        <v>4869</v>
      </c>
      <c r="H10" s="26"/>
      <c r="I10" s="26"/>
      <c r="J10" s="26"/>
      <c r="K10" s="26"/>
      <c r="M10" s="35"/>
    </row>
    <row r="11" spans="1:13" ht="75">
      <c r="A11" s="26">
        <v>9</v>
      </c>
      <c r="B11" s="26" t="s">
        <v>304</v>
      </c>
      <c r="C11" s="26">
        <v>8</v>
      </c>
      <c r="D11" s="26" t="s">
        <v>160</v>
      </c>
      <c r="E11" s="26" t="s">
        <v>177</v>
      </c>
      <c r="F11" s="26" t="s">
        <v>4863</v>
      </c>
      <c r="G11" s="26" t="s">
        <v>4852</v>
      </c>
      <c r="H11" s="26"/>
      <c r="I11" s="26"/>
      <c r="J11" s="26"/>
      <c r="K11" s="26"/>
      <c r="M11" s="35"/>
    </row>
    <row r="12" spans="1:13" ht="75">
      <c r="A12" s="26">
        <v>10</v>
      </c>
      <c r="B12" s="26" t="s">
        <v>275</v>
      </c>
      <c r="C12" s="26">
        <v>8</v>
      </c>
      <c r="D12" s="26" t="s">
        <v>160</v>
      </c>
      <c r="E12" s="26" t="s">
        <v>177</v>
      </c>
      <c r="F12" s="26" t="s">
        <v>4862</v>
      </c>
      <c r="G12" s="26" t="s">
        <v>4853</v>
      </c>
      <c r="H12" s="26"/>
      <c r="I12" s="26"/>
      <c r="J12" s="26"/>
      <c r="K12" s="26"/>
      <c r="M12" s="35"/>
    </row>
    <row r="13" spans="1:13" ht="30">
      <c r="A13" s="26">
        <v>11</v>
      </c>
      <c r="B13" s="26" t="s">
        <v>1166</v>
      </c>
      <c r="C13" s="26">
        <v>16</v>
      </c>
      <c r="D13" s="26" t="s">
        <v>189</v>
      </c>
      <c r="E13" s="26" t="s">
        <v>1266</v>
      </c>
      <c r="F13" s="26" t="s">
        <v>4861</v>
      </c>
      <c r="G13" s="26" t="s">
        <v>4854</v>
      </c>
      <c r="H13" s="26"/>
      <c r="I13" s="26"/>
      <c r="J13" s="26"/>
      <c r="K13" s="26"/>
      <c r="M13" s="35"/>
    </row>
    <row r="14" spans="1:13" ht="30">
      <c r="A14" s="26">
        <v>12</v>
      </c>
      <c r="B14" s="26" t="s">
        <v>1167</v>
      </c>
      <c r="C14" s="26">
        <v>16</v>
      </c>
      <c r="D14" s="26" t="s">
        <v>189</v>
      </c>
      <c r="E14" s="26" t="s">
        <v>1266</v>
      </c>
      <c r="F14" s="26" t="s">
        <v>4860</v>
      </c>
      <c r="G14" s="26" t="s">
        <v>4855</v>
      </c>
      <c r="H14" s="26"/>
      <c r="I14" s="26"/>
      <c r="J14" s="26"/>
      <c r="K14" s="26"/>
      <c r="M14" s="35"/>
    </row>
    <row r="15" spans="1:13">
      <c r="A15" s="26">
        <v>13</v>
      </c>
      <c r="B15" s="26" t="s">
        <v>1168</v>
      </c>
      <c r="C15" s="26">
        <v>16</v>
      </c>
      <c r="D15" s="26" t="s">
        <v>189</v>
      </c>
      <c r="E15" s="26" t="s">
        <v>1266</v>
      </c>
      <c r="F15" s="26" t="s">
        <v>4859</v>
      </c>
      <c r="G15" s="26" t="s">
        <v>4856</v>
      </c>
      <c r="H15" s="26"/>
      <c r="I15" s="26"/>
      <c r="J15" s="26"/>
      <c r="K15" s="26"/>
      <c r="M15" s="35"/>
    </row>
    <row r="16" spans="1:13" ht="180">
      <c r="A16" s="26">
        <v>14</v>
      </c>
      <c r="B16" s="26" t="s">
        <v>252</v>
      </c>
      <c r="C16" s="26">
        <v>9</v>
      </c>
      <c r="D16" s="26" t="s">
        <v>189</v>
      </c>
      <c r="E16" s="26" t="s">
        <v>1269</v>
      </c>
      <c r="F16" s="26" t="s">
        <v>3710</v>
      </c>
      <c r="G16" s="26" t="s">
        <v>4807</v>
      </c>
      <c r="H16" s="26"/>
      <c r="I16" s="26"/>
      <c r="J16" s="26"/>
      <c r="K16" s="26"/>
      <c r="M16" s="35"/>
    </row>
    <row r="17" spans="1:13" ht="165">
      <c r="A17" s="26">
        <v>15</v>
      </c>
      <c r="B17" s="26" t="s">
        <v>253</v>
      </c>
      <c r="C17" s="26">
        <v>9</v>
      </c>
      <c r="D17" s="26" t="s">
        <v>189</v>
      </c>
      <c r="E17" s="26" t="s">
        <v>1269</v>
      </c>
      <c r="F17" s="26" t="s">
        <v>3712</v>
      </c>
      <c r="G17" s="26" t="s">
        <v>4808</v>
      </c>
      <c r="H17" s="26"/>
      <c r="I17" s="26"/>
      <c r="J17" s="26"/>
      <c r="K17" s="26"/>
      <c r="M17" s="35"/>
    </row>
    <row r="18" spans="1:13">
      <c r="A18" s="26">
        <v>16</v>
      </c>
      <c r="B18" s="26" t="s">
        <v>1169</v>
      </c>
      <c r="C18" s="26">
        <v>16</v>
      </c>
      <c r="D18" s="26" t="s">
        <v>189</v>
      </c>
      <c r="E18" s="26" t="s">
        <v>1266</v>
      </c>
      <c r="F18" s="26" t="s">
        <v>4903</v>
      </c>
      <c r="G18" s="26" t="s">
        <v>4857</v>
      </c>
      <c r="H18" s="26"/>
      <c r="I18" s="26"/>
      <c r="J18" s="26"/>
      <c r="K18" s="26"/>
      <c r="M18" s="35"/>
    </row>
    <row r="19" spans="1:13">
      <c r="A19" s="26">
        <v>17</v>
      </c>
      <c r="B19" s="26" t="s">
        <v>1170</v>
      </c>
      <c r="C19" s="26">
        <v>16</v>
      </c>
      <c r="D19" s="26" t="s">
        <v>189</v>
      </c>
      <c r="E19" s="26" t="s">
        <v>1266</v>
      </c>
      <c r="F19" s="26" t="s">
        <v>4904</v>
      </c>
      <c r="G19" s="26" t="s">
        <v>4858</v>
      </c>
      <c r="H19" s="26"/>
      <c r="I19" s="26"/>
      <c r="J19" s="26"/>
      <c r="K19" s="26"/>
      <c r="M19" s="35"/>
    </row>
    <row r="20" spans="1:13" ht="30">
      <c r="A20" s="26">
        <v>18</v>
      </c>
      <c r="B20" s="26" t="s">
        <v>701</v>
      </c>
      <c r="C20" s="26">
        <v>8</v>
      </c>
      <c r="D20" s="26" t="s">
        <v>160</v>
      </c>
      <c r="E20" s="26" t="s">
        <v>177</v>
      </c>
      <c r="F20" s="26" t="s">
        <v>4847</v>
      </c>
      <c r="G20" s="26" t="s">
        <v>4848</v>
      </c>
      <c r="H20" s="26"/>
      <c r="I20" s="26"/>
      <c r="J20" s="26"/>
      <c r="K20" s="26"/>
      <c r="M20" s="35"/>
    </row>
    <row r="21" spans="1:13" ht="60">
      <c r="A21" s="26">
        <v>19</v>
      </c>
      <c r="B21" s="26" t="s">
        <v>78</v>
      </c>
      <c r="C21" s="26">
        <v>4</v>
      </c>
      <c r="D21" s="26" t="s">
        <v>242</v>
      </c>
      <c r="E21" s="26"/>
      <c r="F21" s="26" t="s">
        <v>1720</v>
      </c>
      <c r="G21" s="26" t="s">
        <v>4838</v>
      </c>
      <c r="H21" s="26"/>
      <c r="I21" s="26"/>
      <c r="J21" s="26"/>
      <c r="K21" s="26"/>
      <c r="M21" s="35"/>
    </row>
    <row r="22" spans="1:13" ht="30">
      <c r="A22" s="26">
        <v>20</v>
      </c>
      <c r="B22" s="26" t="s">
        <v>1171</v>
      </c>
      <c r="C22" s="26">
        <v>16</v>
      </c>
      <c r="D22" s="26" t="s">
        <v>189</v>
      </c>
      <c r="E22" s="26" t="s">
        <v>1266</v>
      </c>
      <c r="F22" s="26" t="s">
        <v>4874</v>
      </c>
      <c r="G22" s="26" t="s">
        <v>4872</v>
      </c>
      <c r="H22" s="26"/>
      <c r="I22" s="26"/>
      <c r="J22" s="26"/>
      <c r="K22" s="26"/>
      <c r="M22" s="35"/>
    </row>
    <row r="23" spans="1:13" ht="30">
      <c r="A23" s="26">
        <v>21</v>
      </c>
      <c r="B23" s="26" t="s">
        <v>1025</v>
      </c>
      <c r="C23" s="26">
        <v>1</v>
      </c>
      <c r="D23" s="26" t="s">
        <v>242</v>
      </c>
      <c r="E23" s="26"/>
      <c r="F23" s="26" t="s">
        <v>4436</v>
      </c>
      <c r="G23" s="26" t="s">
        <v>4871</v>
      </c>
      <c r="H23" s="26"/>
      <c r="I23" s="26"/>
      <c r="J23" s="26"/>
      <c r="K23" s="26"/>
      <c r="M23" s="35"/>
    </row>
    <row r="24" spans="1:13">
      <c r="A24" s="26">
        <v>22</v>
      </c>
      <c r="B24" s="26" t="s">
        <v>699</v>
      </c>
      <c r="C24" s="26">
        <v>8</v>
      </c>
      <c r="D24" s="26" t="s">
        <v>160</v>
      </c>
      <c r="E24" s="26" t="s">
        <v>177</v>
      </c>
      <c r="F24" s="26" t="s">
        <v>4905</v>
      </c>
      <c r="G24" s="26" t="s">
        <v>4873</v>
      </c>
      <c r="H24" s="26"/>
      <c r="I24" s="26"/>
      <c r="J24" s="26"/>
      <c r="K24" s="26"/>
      <c r="M24" s="35"/>
    </row>
    <row r="25" spans="1:13" ht="45">
      <c r="A25" s="26">
        <v>23</v>
      </c>
      <c r="B25" s="26" t="s">
        <v>1172</v>
      </c>
      <c r="C25" s="26">
        <v>14</v>
      </c>
      <c r="D25" s="26" t="s">
        <v>189</v>
      </c>
      <c r="E25" s="26" t="s">
        <v>1267</v>
      </c>
      <c r="F25" s="26" t="s">
        <v>4892</v>
      </c>
      <c r="G25" s="26" t="s">
        <v>4893</v>
      </c>
      <c r="H25" s="26"/>
      <c r="I25" s="26"/>
      <c r="J25" s="26"/>
      <c r="K25" s="26"/>
      <c r="M25" s="35"/>
    </row>
    <row r="26" spans="1:13" ht="45">
      <c r="A26" s="26">
        <v>24</v>
      </c>
      <c r="B26" s="26" t="s">
        <v>1173</v>
      </c>
      <c r="C26" s="26">
        <v>1</v>
      </c>
      <c r="D26" s="26" t="s">
        <v>242</v>
      </c>
      <c r="E26" s="26"/>
      <c r="F26" s="26" t="s">
        <v>4894</v>
      </c>
      <c r="G26" s="26" t="s">
        <v>4895</v>
      </c>
      <c r="H26" s="26"/>
      <c r="I26" s="26"/>
      <c r="J26" s="26"/>
      <c r="K26" s="26"/>
      <c r="M26" s="35"/>
    </row>
    <row r="27" spans="1:13" ht="30">
      <c r="A27" s="26">
        <v>25</v>
      </c>
      <c r="B27" s="26" t="s">
        <v>1174</v>
      </c>
      <c r="C27" s="26">
        <v>2</v>
      </c>
      <c r="D27" s="26" t="s">
        <v>242</v>
      </c>
      <c r="E27" s="26"/>
      <c r="F27" s="26" t="s">
        <v>4896</v>
      </c>
      <c r="G27" s="26" t="s">
        <v>4897</v>
      </c>
      <c r="H27" s="26"/>
      <c r="I27" s="26"/>
      <c r="J27" s="26"/>
      <c r="K27" s="26"/>
      <c r="M27" s="35"/>
    </row>
    <row r="28" spans="1:13" ht="45">
      <c r="A28" s="26">
        <v>26</v>
      </c>
      <c r="B28" s="26" t="s">
        <v>277</v>
      </c>
      <c r="C28" s="26">
        <v>8</v>
      </c>
      <c r="D28" s="26" t="s">
        <v>160</v>
      </c>
      <c r="E28" s="26" t="s">
        <v>177</v>
      </c>
      <c r="F28" s="26" t="s">
        <v>4898</v>
      </c>
      <c r="G28" s="26" t="s">
        <v>4899</v>
      </c>
      <c r="H28" s="26"/>
      <c r="I28" s="26"/>
      <c r="J28" s="26"/>
      <c r="K28" s="26"/>
      <c r="M28" s="35"/>
    </row>
    <row r="29" spans="1:13" ht="75">
      <c r="A29" s="26">
        <v>27</v>
      </c>
      <c r="B29" s="26" t="s">
        <v>1175</v>
      </c>
      <c r="C29" s="26">
        <v>16</v>
      </c>
      <c r="D29" s="26" t="s">
        <v>189</v>
      </c>
      <c r="E29" s="26" t="s">
        <v>1266</v>
      </c>
      <c r="F29" s="26" t="s">
        <v>4875</v>
      </c>
      <c r="G29" s="26" t="s">
        <v>4876</v>
      </c>
      <c r="H29" s="26"/>
      <c r="I29" s="26"/>
      <c r="J29" s="26"/>
      <c r="K29" s="26"/>
      <c r="M29" s="35"/>
    </row>
    <row r="30" spans="1:13" ht="45">
      <c r="A30" s="26">
        <v>28</v>
      </c>
      <c r="B30" s="26" t="s">
        <v>1176</v>
      </c>
      <c r="C30" s="26">
        <v>16</v>
      </c>
      <c r="D30" s="26" t="s">
        <v>189</v>
      </c>
      <c r="E30" s="26" t="s">
        <v>1266</v>
      </c>
      <c r="F30" s="26" t="s">
        <v>4877</v>
      </c>
      <c r="G30" s="26" t="s">
        <v>4878</v>
      </c>
      <c r="H30" s="26"/>
      <c r="I30" s="26"/>
      <c r="J30" s="26"/>
      <c r="K30" s="26"/>
      <c r="M30" s="35"/>
    </row>
    <row r="31" spans="1:13" ht="30">
      <c r="A31" s="26">
        <v>29</v>
      </c>
      <c r="B31" s="26" t="s">
        <v>1177</v>
      </c>
      <c r="C31" s="26">
        <v>16</v>
      </c>
      <c r="D31" s="26" t="s">
        <v>189</v>
      </c>
      <c r="E31" s="26" t="s">
        <v>1266</v>
      </c>
      <c r="F31" s="26" t="s">
        <v>4879</v>
      </c>
      <c r="G31" s="26" t="s">
        <v>4880</v>
      </c>
      <c r="H31" s="26"/>
      <c r="I31" s="26"/>
      <c r="J31" s="26"/>
      <c r="K31" s="26"/>
      <c r="M31" s="35"/>
    </row>
    <row r="32" spans="1:13" ht="30">
      <c r="A32" s="26">
        <v>30</v>
      </c>
      <c r="B32" s="26" t="s">
        <v>1178</v>
      </c>
      <c r="C32" s="26">
        <v>1</v>
      </c>
      <c r="D32" s="26" t="s">
        <v>242</v>
      </c>
      <c r="E32" s="26"/>
      <c r="F32" s="26" t="s">
        <v>4881</v>
      </c>
      <c r="G32" s="26" t="s">
        <v>4882</v>
      </c>
      <c r="H32" s="26"/>
      <c r="I32" s="26"/>
      <c r="J32" s="26"/>
      <c r="K32" s="26"/>
      <c r="M32" s="35"/>
    </row>
    <row r="33" spans="1:13" ht="30">
      <c r="A33" s="26">
        <v>31</v>
      </c>
      <c r="B33" s="26" t="s">
        <v>1179</v>
      </c>
      <c r="C33" s="26">
        <v>2</v>
      </c>
      <c r="D33" s="26" t="s">
        <v>242</v>
      </c>
      <c r="E33" s="26"/>
      <c r="F33" s="26" t="s">
        <v>4883</v>
      </c>
      <c r="G33" s="26" t="s">
        <v>4884</v>
      </c>
      <c r="H33" s="26"/>
      <c r="I33" s="26"/>
      <c r="J33" s="26"/>
      <c r="K33" s="26"/>
      <c r="M33" s="35"/>
    </row>
    <row r="34" spans="1:13" ht="30">
      <c r="A34" s="26">
        <v>32</v>
      </c>
      <c r="B34" s="26" t="s">
        <v>1180</v>
      </c>
      <c r="C34" s="26">
        <v>14</v>
      </c>
      <c r="D34" s="26" t="s">
        <v>189</v>
      </c>
      <c r="E34" s="26" t="s">
        <v>1267</v>
      </c>
      <c r="F34" s="26" t="s">
        <v>4885</v>
      </c>
      <c r="G34" s="26" t="s">
        <v>4886</v>
      </c>
      <c r="H34" s="26"/>
      <c r="I34" s="26"/>
      <c r="J34" s="26"/>
      <c r="K34" s="26"/>
      <c r="M34" s="35"/>
    </row>
    <row r="35" spans="1:13" ht="30">
      <c r="A35" s="26">
        <v>33</v>
      </c>
      <c r="B35" s="26" t="s">
        <v>151</v>
      </c>
      <c r="C35" s="26">
        <v>7</v>
      </c>
      <c r="D35" s="26" t="s">
        <v>242</v>
      </c>
      <c r="E35" s="26"/>
      <c r="F35" s="26" t="s">
        <v>1694</v>
      </c>
      <c r="G35" s="26" t="s">
        <v>4887</v>
      </c>
      <c r="H35" s="26"/>
      <c r="I35" s="26"/>
      <c r="J35" s="26"/>
      <c r="K35" s="26" t="s">
        <v>5390</v>
      </c>
      <c r="M35" s="35"/>
    </row>
    <row r="36" spans="1:13" ht="45">
      <c r="A36" s="26">
        <v>34</v>
      </c>
      <c r="B36" s="26" t="s">
        <v>1181</v>
      </c>
      <c r="C36" s="26">
        <v>16</v>
      </c>
      <c r="D36" s="26" t="s">
        <v>189</v>
      </c>
      <c r="E36" s="26" t="s">
        <v>1266</v>
      </c>
      <c r="F36" s="26" t="s">
        <v>4888</v>
      </c>
      <c r="G36" s="26" t="s">
        <v>4889</v>
      </c>
      <c r="H36" s="26"/>
      <c r="I36" s="26"/>
      <c r="J36" s="26"/>
      <c r="K36" s="26"/>
      <c r="M36" s="35"/>
    </row>
    <row r="37" spans="1:13" ht="30">
      <c r="A37" s="26">
        <v>35</v>
      </c>
      <c r="B37" s="26" t="s">
        <v>196</v>
      </c>
      <c r="C37" s="26">
        <v>14</v>
      </c>
      <c r="D37" s="26" t="s">
        <v>242</v>
      </c>
      <c r="E37" s="26"/>
      <c r="F37" s="26" t="s">
        <v>4890</v>
      </c>
      <c r="G37" s="26" t="s">
        <v>4891</v>
      </c>
      <c r="H37" s="26"/>
      <c r="I37" s="26"/>
      <c r="J37" s="26" t="s">
        <v>5388</v>
      </c>
      <c r="K37" s="26"/>
      <c r="M37" s="35"/>
    </row>
    <row r="38" spans="1:13" ht="45">
      <c r="A38" s="26">
        <v>36</v>
      </c>
      <c r="B38" s="26" t="s">
        <v>1182</v>
      </c>
      <c r="C38" s="26">
        <v>12</v>
      </c>
      <c r="D38" s="26" t="s">
        <v>189</v>
      </c>
      <c r="E38" s="26" t="s">
        <v>5576</v>
      </c>
      <c r="F38" s="26" t="s">
        <v>4906</v>
      </c>
      <c r="G38" s="26" t="s">
        <v>1689</v>
      </c>
      <c r="H38" s="26"/>
      <c r="I38" s="26"/>
      <c r="J38" s="26"/>
      <c r="K38" s="26"/>
      <c r="M38" s="35"/>
    </row>
    <row r="39" spans="1:13" ht="45">
      <c r="A39" s="26">
        <v>37</v>
      </c>
      <c r="B39" s="26" t="s">
        <v>1183</v>
      </c>
      <c r="C39" s="26">
        <v>30</v>
      </c>
      <c r="D39" s="26" t="s">
        <v>242</v>
      </c>
      <c r="E39" s="26" t="s">
        <v>5576</v>
      </c>
      <c r="F39" s="26" t="s">
        <v>4907</v>
      </c>
      <c r="G39" s="26" t="s">
        <v>1691</v>
      </c>
      <c r="H39" s="26"/>
      <c r="I39" s="26"/>
      <c r="J39" s="26"/>
      <c r="K39" s="26"/>
      <c r="M39" s="35"/>
    </row>
    <row r="45" spans="1:13">
      <c r="B45" s="9"/>
    </row>
  </sheetData>
  <mergeCells count="1">
    <mergeCell ref="H1:K1"/>
  </mergeCells>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4549E-898A-4954-B295-05AF1F918148}">
  <sheetPr codeName="Sheet55"/>
  <dimension ref="A1:K46"/>
  <sheetViews>
    <sheetView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9">
      <c r="A1" s="89" t="s">
        <v>238</v>
      </c>
      <c r="B1" s="91"/>
      <c r="C1" s="91"/>
      <c r="D1" s="91"/>
      <c r="E1" s="91"/>
      <c r="F1" s="91"/>
      <c r="G1" s="90"/>
      <c r="H1" s="89" t="s">
        <v>5363</v>
      </c>
      <c r="I1" s="90"/>
    </row>
    <row r="2" spans="1:9">
      <c r="A2" s="10" t="s">
        <v>350</v>
      </c>
      <c r="B2" s="10" t="s">
        <v>156</v>
      </c>
      <c r="C2" s="10" t="s">
        <v>157</v>
      </c>
      <c r="D2" s="10" t="s">
        <v>239</v>
      </c>
      <c r="E2" s="10" t="s">
        <v>159</v>
      </c>
      <c r="F2" s="10" t="s">
        <v>1684</v>
      </c>
      <c r="G2" s="10" t="s">
        <v>1685</v>
      </c>
      <c r="H2" s="10" t="s">
        <v>5363</v>
      </c>
      <c r="I2" s="10" t="s">
        <v>5372</v>
      </c>
    </row>
    <row r="3" spans="1:9">
      <c r="A3" s="11">
        <v>1</v>
      </c>
      <c r="B3" s="11" t="s">
        <v>724</v>
      </c>
      <c r="C3" s="11">
        <v>8</v>
      </c>
      <c r="D3" s="11" t="s">
        <v>160</v>
      </c>
      <c r="E3" s="11" t="s">
        <v>177</v>
      </c>
      <c r="F3" s="11" t="s">
        <v>1686</v>
      </c>
      <c r="G3" s="11" t="s">
        <v>1687</v>
      </c>
      <c r="H3" s="11" t="s">
        <v>5382</v>
      </c>
      <c r="I3" s="11" t="s">
        <v>5395</v>
      </c>
    </row>
    <row r="4" spans="1:9" ht="60">
      <c r="A4" s="11">
        <v>2</v>
      </c>
      <c r="B4" s="11" t="s">
        <v>78</v>
      </c>
      <c r="C4" s="11">
        <v>4</v>
      </c>
      <c r="D4" s="11" t="s">
        <v>242</v>
      </c>
      <c r="E4" s="11"/>
      <c r="F4" s="11" t="s">
        <v>1720</v>
      </c>
      <c r="G4" s="11" t="s">
        <v>4838</v>
      </c>
      <c r="H4" s="11" t="s">
        <v>5384</v>
      </c>
      <c r="I4" s="11" t="s">
        <v>5387</v>
      </c>
    </row>
    <row r="5" spans="1:9">
      <c r="A5" s="11">
        <v>3</v>
      </c>
      <c r="B5" s="11" t="s">
        <v>750</v>
      </c>
      <c r="C5" s="11">
        <v>5</v>
      </c>
      <c r="D5" s="11" t="s">
        <v>242</v>
      </c>
      <c r="E5" s="11"/>
      <c r="F5" s="11" t="s">
        <v>4910</v>
      </c>
      <c r="G5" s="11" t="s">
        <v>5392</v>
      </c>
      <c r="H5" s="11" t="s">
        <v>5385</v>
      </c>
      <c r="I5" s="11" t="s">
        <v>5386</v>
      </c>
    </row>
    <row r="6" spans="1:9">
      <c r="A6" s="11">
        <v>4</v>
      </c>
      <c r="B6" s="11" t="s">
        <v>1184</v>
      </c>
      <c r="C6" s="11">
        <v>1</v>
      </c>
      <c r="D6" s="11" t="s">
        <v>242</v>
      </c>
      <c r="E6" s="11"/>
      <c r="F6" s="11" t="s">
        <v>4915</v>
      </c>
      <c r="G6" s="11" t="s">
        <v>4916</v>
      </c>
      <c r="H6" s="11" t="s">
        <v>1291</v>
      </c>
      <c r="I6" s="11"/>
    </row>
    <row r="7" spans="1:9" ht="30">
      <c r="A7" s="11">
        <v>5</v>
      </c>
      <c r="B7" s="11" t="s">
        <v>1192</v>
      </c>
      <c r="C7" s="11">
        <v>16</v>
      </c>
      <c r="D7" s="11" t="s">
        <v>189</v>
      </c>
      <c r="E7" s="11" t="s">
        <v>1266</v>
      </c>
      <c r="F7" s="11" t="s">
        <v>4908</v>
      </c>
      <c r="G7" s="11" t="s">
        <v>5393</v>
      </c>
      <c r="H7" s="11"/>
      <c r="I7" s="11"/>
    </row>
    <row r="8" spans="1:9" ht="30">
      <c r="A8" s="11">
        <v>6</v>
      </c>
      <c r="B8" s="11" t="s">
        <v>4900</v>
      </c>
      <c r="C8" s="11">
        <v>16</v>
      </c>
      <c r="D8" s="11" t="s">
        <v>189</v>
      </c>
      <c r="E8" s="11" t="s">
        <v>1266</v>
      </c>
      <c r="F8" s="11" t="s">
        <v>4909</v>
      </c>
      <c r="G8" s="11" t="s">
        <v>5394</v>
      </c>
      <c r="H8" s="11"/>
      <c r="I8" s="11"/>
    </row>
    <row r="9" spans="1:9">
      <c r="A9" s="11">
        <v>7</v>
      </c>
      <c r="B9" s="11" t="s">
        <v>1182</v>
      </c>
      <c r="C9" s="11">
        <v>12</v>
      </c>
      <c r="D9" s="11" t="s">
        <v>189</v>
      </c>
      <c r="E9" s="11"/>
      <c r="F9" s="11" t="s">
        <v>4906</v>
      </c>
      <c r="G9" s="11" t="s">
        <v>1689</v>
      </c>
      <c r="H9" s="11"/>
      <c r="I9" s="11"/>
    </row>
    <row r="10" spans="1:9" ht="30">
      <c r="A10" s="11">
        <v>8</v>
      </c>
      <c r="B10" s="11" t="s">
        <v>1183</v>
      </c>
      <c r="C10" s="11">
        <v>30</v>
      </c>
      <c r="D10" s="11" t="s">
        <v>242</v>
      </c>
      <c r="E10" s="11"/>
      <c r="F10" s="11" t="s">
        <v>4907</v>
      </c>
      <c r="G10" s="11" t="s">
        <v>1691</v>
      </c>
      <c r="H10" s="11"/>
      <c r="I10" s="11"/>
    </row>
    <row r="36" spans="2:11">
      <c r="J36" s="7"/>
      <c r="K36" s="8"/>
    </row>
    <row r="37" spans="2:11">
      <c r="J37" s="5"/>
      <c r="K37" s="6"/>
    </row>
    <row r="46" spans="2:11">
      <c r="B46" s="9"/>
    </row>
  </sheetData>
  <autoFilter ref="A2:K2" xr:uid="{1E84549E-898A-4954-B295-05AF1F918148}"/>
  <mergeCells count="2">
    <mergeCell ref="H1:I1"/>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3F591-5F39-4929-A305-EFA0D035B1EA}">
  <sheetPr codeName="Sheet54"/>
  <dimension ref="A1:K45"/>
  <sheetViews>
    <sheetView workbookViewId="0">
      <selection activeCell="C22" sqref="C22"/>
    </sheetView>
  </sheetViews>
  <sheetFormatPr defaultRowHeight="15"/>
  <cols>
    <col min="1" max="1" width="7.140625" style="1" bestFit="1" customWidth="1"/>
    <col min="2" max="2" width="12.140625" style="1" bestFit="1" customWidth="1"/>
    <col min="3" max="3" width="4.5703125" style="1" bestFit="1" customWidth="1"/>
    <col min="4" max="4" width="9" style="1" bestFit="1" customWidth="1"/>
    <col min="5" max="5" width="11" style="1" bestFit="1" customWidth="1"/>
    <col min="6" max="6" width="26.28515625" style="1" bestFit="1" customWidth="1"/>
    <col min="7" max="7" width="55.140625" style="1" customWidth="1"/>
    <col min="8" max="11" width="5.140625" style="1" bestFit="1" customWidth="1"/>
    <col min="12" max="16384" width="9.140625" style="1"/>
  </cols>
  <sheetData>
    <row r="1" spans="1:11">
      <c r="A1" s="12" t="s">
        <v>238</v>
      </c>
      <c r="B1" s="12"/>
      <c r="C1" s="12"/>
      <c r="D1" s="12"/>
      <c r="E1" s="12"/>
      <c r="F1" s="12"/>
      <c r="G1" s="12"/>
      <c r="H1" s="92" t="s">
        <v>5363</v>
      </c>
      <c r="I1" s="93"/>
      <c r="J1" s="93"/>
      <c r="K1" s="93"/>
    </row>
    <row r="2" spans="1:11">
      <c r="A2" s="10" t="s">
        <v>350</v>
      </c>
      <c r="B2" s="10" t="s">
        <v>156</v>
      </c>
      <c r="C2" s="10" t="s">
        <v>157</v>
      </c>
      <c r="D2" s="10" t="s">
        <v>239</v>
      </c>
      <c r="E2" s="10" t="s">
        <v>159</v>
      </c>
      <c r="F2" s="10" t="s">
        <v>1684</v>
      </c>
      <c r="G2" s="10" t="s">
        <v>1685</v>
      </c>
      <c r="H2" s="10" t="s">
        <v>5371</v>
      </c>
      <c r="I2" s="10" t="s">
        <v>5372</v>
      </c>
      <c r="J2" s="10" t="s">
        <v>5373</v>
      </c>
      <c r="K2" s="10" t="s">
        <v>5389</v>
      </c>
    </row>
    <row r="3" spans="1:11">
      <c r="A3" s="11">
        <v>1</v>
      </c>
      <c r="B3" s="11" t="s">
        <v>724</v>
      </c>
      <c r="C3" s="11">
        <v>8</v>
      </c>
      <c r="D3" s="11" t="s">
        <v>160</v>
      </c>
      <c r="E3" s="11" t="s">
        <v>177</v>
      </c>
      <c r="F3" s="11" t="s">
        <v>1686</v>
      </c>
      <c r="G3" s="11" t="s">
        <v>1687</v>
      </c>
      <c r="H3" s="11" t="s">
        <v>5382</v>
      </c>
      <c r="I3" s="11" t="s">
        <v>5395</v>
      </c>
      <c r="J3" s="11" t="s">
        <v>5388</v>
      </c>
      <c r="K3" s="11" t="s">
        <v>5398</v>
      </c>
    </row>
    <row r="4" spans="1:11" ht="105">
      <c r="A4" s="11">
        <v>2</v>
      </c>
      <c r="B4" s="11" t="s">
        <v>241</v>
      </c>
      <c r="C4" s="11">
        <v>14</v>
      </c>
      <c r="D4" s="11" t="s">
        <v>242</v>
      </c>
      <c r="E4" s="11"/>
      <c r="F4" s="11" t="s">
        <v>2389</v>
      </c>
      <c r="G4" s="11" t="s">
        <v>5381</v>
      </c>
      <c r="H4" s="11" t="s">
        <v>5385</v>
      </c>
      <c r="I4" s="11" t="s">
        <v>5386</v>
      </c>
      <c r="J4" s="11"/>
      <c r="K4" s="11"/>
    </row>
    <row r="5" spans="1:11">
      <c r="A5" s="11">
        <v>3</v>
      </c>
      <c r="B5" s="11" t="s">
        <v>1191</v>
      </c>
      <c r="C5" s="11">
        <v>10</v>
      </c>
      <c r="D5" s="11" t="s">
        <v>242</v>
      </c>
      <c r="E5" s="11"/>
      <c r="F5" s="11" t="s">
        <v>4917</v>
      </c>
      <c r="G5" s="11"/>
      <c r="H5" s="11"/>
      <c r="I5" s="11"/>
      <c r="J5" s="11"/>
      <c r="K5" s="11"/>
    </row>
    <row r="6" spans="1:11" ht="90">
      <c r="A6" s="11">
        <v>4</v>
      </c>
      <c r="B6" s="11" t="s">
        <v>426</v>
      </c>
      <c r="C6" s="11">
        <v>2</v>
      </c>
      <c r="D6" s="11" t="s">
        <v>242</v>
      </c>
      <c r="E6" s="11"/>
      <c r="F6" s="11" t="s">
        <v>3685</v>
      </c>
      <c r="G6" s="11" t="s">
        <v>4665</v>
      </c>
      <c r="H6" s="11" t="s">
        <v>5384</v>
      </c>
      <c r="I6" s="11" t="s">
        <v>5387</v>
      </c>
      <c r="J6" s="11" t="s">
        <v>5396</v>
      </c>
      <c r="K6" s="11" t="s">
        <v>5390</v>
      </c>
    </row>
    <row r="7" spans="1:11" ht="30">
      <c r="A7" s="11">
        <v>5</v>
      </c>
      <c r="B7" s="11" t="s">
        <v>1049</v>
      </c>
      <c r="C7" s="11">
        <v>16</v>
      </c>
      <c r="D7" s="11" t="s">
        <v>189</v>
      </c>
      <c r="E7" s="11" t="s">
        <v>1266</v>
      </c>
      <c r="F7" s="11" t="s">
        <v>4911</v>
      </c>
      <c r="G7" s="11" t="s">
        <v>4912</v>
      </c>
      <c r="H7" s="11"/>
      <c r="I7" s="11"/>
      <c r="J7" s="11"/>
      <c r="K7" s="11"/>
    </row>
    <row r="8" spans="1:11" ht="105">
      <c r="A8" s="11">
        <v>6</v>
      </c>
      <c r="B8" s="11" t="s">
        <v>422</v>
      </c>
      <c r="C8" s="11">
        <v>14</v>
      </c>
      <c r="D8" s="11" t="s">
        <v>242</v>
      </c>
      <c r="E8" s="11"/>
      <c r="F8" s="11" t="s">
        <v>2728</v>
      </c>
      <c r="G8" s="11" t="s">
        <v>4567</v>
      </c>
      <c r="H8" s="11"/>
      <c r="I8" s="11"/>
      <c r="J8" s="11" t="s">
        <v>5383</v>
      </c>
      <c r="K8" s="11" t="s">
        <v>5397</v>
      </c>
    </row>
    <row r="9" spans="1:11">
      <c r="A9" s="11">
        <v>7</v>
      </c>
      <c r="B9" s="11" t="s">
        <v>757</v>
      </c>
      <c r="C9" s="11">
        <v>1</v>
      </c>
      <c r="D9" s="11" t="s">
        <v>242</v>
      </c>
      <c r="E9" s="11"/>
      <c r="F9" s="11" t="s">
        <v>4913</v>
      </c>
      <c r="G9" s="11" t="s">
        <v>4914</v>
      </c>
      <c r="H9" s="11"/>
      <c r="I9" s="11"/>
      <c r="J9" s="11"/>
      <c r="K9" s="11"/>
    </row>
    <row r="10" spans="1:11">
      <c r="A10" s="11">
        <v>8</v>
      </c>
      <c r="B10" s="11" t="s">
        <v>1182</v>
      </c>
      <c r="C10" s="11">
        <v>12</v>
      </c>
      <c r="D10" s="11" t="s">
        <v>189</v>
      </c>
      <c r="E10" s="11"/>
      <c r="F10" s="11" t="s">
        <v>4906</v>
      </c>
      <c r="G10" s="11" t="s">
        <v>1689</v>
      </c>
      <c r="H10" s="11"/>
      <c r="I10" s="11"/>
      <c r="J10" s="11"/>
      <c r="K10" s="11"/>
    </row>
    <row r="11" spans="1:11" ht="30">
      <c r="A11" s="11">
        <v>9</v>
      </c>
      <c r="B11" s="11" t="s">
        <v>1183</v>
      </c>
      <c r="C11" s="11">
        <v>30</v>
      </c>
      <c r="D11" s="11" t="s">
        <v>242</v>
      </c>
      <c r="E11" s="11"/>
      <c r="F11" s="11" t="s">
        <v>4907</v>
      </c>
      <c r="G11" s="11" t="s">
        <v>1691</v>
      </c>
      <c r="H11" s="11"/>
      <c r="I11" s="11"/>
      <c r="J11" s="11"/>
      <c r="K11" s="11"/>
    </row>
    <row r="35" spans="2:11">
      <c r="J35" s="7"/>
      <c r="K35" s="8"/>
    </row>
    <row r="36" spans="2:11">
      <c r="J36" s="5"/>
      <c r="K36" s="6"/>
    </row>
    <row r="45" spans="2:11">
      <c r="B45" s="9"/>
    </row>
  </sheetData>
  <mergeCells count="1">
    <mergeCell ref="H1:K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EBE38-BD81-4F6B-A686-BCBDCCEB8313}">
  <sheetPr codeName="Sheet53"/>
  <dimension ref="A1:J45"/>
  <sheetViews>
    <sheetView workbookViewId="0">
      <selection activeCell="C22" sqref="C22"/>
    </sheetView>
  </sheetViews>
  <sheetFormatPr defaultRowHeight="15"/>
  <cols>
    <col min="1" max="1" width="9.140625" style="1"/>
    <col min="2" max="2" width="18.85546875" style="1" bestFit="1" customWidth="1"/>
    <col min="3" max="4" width="9.140625" style="1"/>
    <col min="5" max="5" width="33.140625" style="1" customWidth="1"/>
    <col min="6" max="6" width="27.28515625" style="1" customWidth="1"/>
    <col min="7" max="7" width="55.140625" style="1" customWidth="1"/>
    <col min="8" max="16384" width="9.140625" style="1"/>
  </cols>
  <sheetData>
    <row r="1" spans="1:10">
      <c r="A1" s="12" t="s">
        <v>238</v>
      </c>
      <c r="B1" s="12"/>
      <c r="C1" s="12"/>
      <c r="D1" s="12"/>
      <c r="E1" s="12"/>
      <c r="F1" s="12"/>
      <c r="G1" s="12"/>
      <c r="H1" s="92" t="s">
        <v>5363</v>
      </c>
      <c r="I1" s="93"/>
      <c r="J1" s="93"/>
    </row>
    <row r="2" spans="1:10">
      <c r="A2" s="10" t="s">
        <v>350</v>
      </c>
      <c r="B2" s="10" t="s">
        <v>156</v>
      </c>
      <c r="C2" s="10" t="s">
        <v>157</v>
      </c>
      <c r="D2" s="10" t="s">
        <v>239</v>
      </c>
      <c r="E2" s="10" t="s">
        <v>159</v>
      </c>
      <c r="F2" s="10" t="s">
        <v>1684</v>
      </c>
      <c r="G2" s="10" t="s">
        <v>1685</v>
      </c>
      <c r="H2" s="10" t="s">
        <v>5371</v>
      </c>
      <c r="I2" s="10" t="s">
        <v>5372</v>
      </c>
      <c r="J2" s="10" t="s">
        <v>5373</v>
      </c>
    </row>
    <row r="3" spans="1:10">
      <c r="A3" s="11">
        <v>1</v>
      </c>
      <c r="B3" s="11" t="s">
        <v>724</v>
      </c>
      <c r="C3" s="11">
        <v>8</v>
      </c>
      <c r="D3" s="11" t="s">
        <v>160</v>
      </c>
      <c r="E3" s="11" t="s">
        <v>177</v>
      </c>
      <c r="F3" s="11" t="s">
        <v>1686</v>
      </c>
      <c r="G3" s="11" t="s">
        <v>1687</v>
      </c>
      <c r="H3" s="11" t="s">
        <v>5382</v>
      </c>
      <c r="I3" s="11" t="s">
        <v>5395</v>
      </c>
      <c r="J3" s="11" t="s">
        <v>5396</v>
      </c>
    </row>
    <row r="4" spans="1:10" ht="60">
      <c r="A4" s="11">
        <v>2</v>
      </c>
      <c r="B4" s="11" t="s">
        <v>78</v>
      </c>
      <c r="C4" s="11">
        <v>4</v>
      </c>
      <c r="D4" s="11" t="s">
        <v>242</v>
      </c>
      <c r="E4" s="11"/>
      <c r="F4" s="11" t="s">
        <v>1720</v>
      </c>
      <c r="G4" s="11" t="s">
        <v>4838</v>
      </c>
      <c r="H4" s="11" t="s">
        <v>5384</v>
      </c>
      <c r="I4" s="11" t="s">
        <v>5387</v>
      </c>
      <c r="J4" s="11"/>
    </row>
    <row r="5" spans="1:10" ht="105">
      <c r="A5" s="11">
        <v>3</v>
      </c>
      <c r="B5" s="11" t="s">
        <v>241</v>
      </c>
      <c r="C5" s="11">
        <v>14</v>
      </c>
      <c r="D5" s="11" t="s">
        <v>242</v>
      </c>
      <c r="E5" s="11"/>
      <c r="F5" s="11" t="s">
        <v>2389</v>
      </c>
      <c r="G5" s="11" t="s">
        <v>5381</v>
      </c>
      <c r="H5" s="11" t="s">
        <v>5385</v>
      </c>
      <c r="I5" s="11" t="s">
        <v>5386</v>
      </c>
      <c r="J5" s="11" t="s">
        <v>5388</v>
      </c>
    </row>
    <row r="6" spans="1:10">
      <c r="A6" s="11">
        <v>4</v>
      </c>
      <c r="B6" s="11" t="s">
        <v>1184</v>
      </c>
      <c r="C6" s="11">
        <v>1</v>
      </c>
      <c r="D6" s="11" t="s">
        <v>242</v>
      </c>
      <c r="E6" s="11"/>
      <c r="F6" s="11" t="s">
        <v>4915</v>
      </c>
      <c r="G6" s="11" t="s">
        <v>4916</v>
      </c>
      <c r="H6" s="11"/>
      <c r="I6" s="11"/>
      <c r="J6" s="11"/>
    </row>
    <row r="7" spans="1:10" ht="120">
      <c r="A7" s="11">
        <v>5</v>
      </c>
      <c r="B7" s="11" t="s">
        <v>254</v>
      </c>
      <c r="C7" s="11">
        <v>16</v>
      </c>
      <c r="D7" s="11" t="s">
        <v>189</v>
      </c>
      <c r="E7" s="11" t="s">
        <v>5399</v>
      </c>
      <c r="F7" s="11" t="s">
        <v>2529</v>
      </c>
      <c r="G7" s="11" t="s">
        <v>4935</v>
      </c>
      <c r="H7" s="11"/>
      <c r="I7" s="11"/>
      <c r="J7" s="11"/>
    </row>
    <row r="8" spans="1:10" ht="30">
      <c r="A8" s="11">
        <v>6</v>
      </c>
      <c r="B8" s="11" t="s">
        <v>1185</v>
      </c>
      <c r="C8" s="11">
        <v>16</v>
      </c>
      <c r="D8" s="11" t="s">
        <v>189</v>
      </c>
      <c r="E8" s="11" t="s">
        <v>5399</v>
      </c>
      <c r="F8" s="11" t="s">
        <v>4936</v>
      </c>
      <c r="G8" s="11" t="s">
        <v>4937</v>
      </c>
      <c r="H8" s="11"/>
      <c r="I8" s="11"/>
      <c r="J8" s="11"/>
    </row>
    <row r="9" spans="1:10" ht="30">
      <c r="A9" s="11">
        <v>7</v>
      </c>
      <c r="B9" s="11" t="s">
        <v>1186</v>
      </c>
      <c r="C9" s="11">
        <v>16</v>
      </c>
      <c r="D9" s="11" t="s">
        <v>189</v>
      </c>
      <c r="E9" s="11" t="s">
        <v>5399</v>
      </c>
      <c r="F9" s="11" t="s">
        <v>4938</v>
      </c>
      <c r="G9" s="11" t="s">
        <v>4939</v>
      </c>
      <c r="H9" s="11"/>
      <c r="I9" s="11"/>
      <c r="J9" s="11"/>
    </row>
    <row r="10" spans="1:10" ht="225">
      <c r="A10" s="11">
        <v>8</v>
      </c>
      <c r="B10" s="11" t="s">
        <v>267</v>
      </c>
      <c r="C10" s="11">
        <v>1</v>
      </c>
      <c r="D10" s="11" t="s">
        <v>242</v>
      </c>
      <c r="E10" s="11"/>
      <c r="F10" s="11" t="s">
        <v>2490</v>
      </c>
      <c r="G10" s="11" t="s">
        <v>5400</v>
      </c>
      <c r="H10" s="11"/>
      <c r="I10" s="11"/>
      <c r="J10" s="11"/>
    </row>
    <row r="11" spans="1:10" ht="30">
      <c r="A11" s="11">
        <v>9</v>
      </c>
      <c r="B11" s="11" t="s">
        <v>1187</v>
      </c>
      <c r="C11" s="11">
        <v>14</v>
      </c>
      <c r="D11" s="11" t="s">
        <v>242</v>
      </c>
      <c r="E11" s="11"/>
      <c r="F11" s="11" t="s">
        <v>2494</v>
      </c>
      <c r="G11" s="11" t="s">
        <v>4940</v>
      </c>
      <c r="H11" s="11"/>
      <c r="I11" s="11"/>
      <c r="J11" s="11"/>
    </row>
    <row r="12" spans="1:10" ht="30">
      <c r="A12" s="11">
        <v>10</v>
      </c>
      <c r="B12" s="11" t="s">
        <v>645</v>
      </c>
      <c r="C12" s="11">
        <v>1</v>
      </c>
      <c r="D12" s="11" t="s">
        <v>242</v>
      </c>
      <c r="E12" s="11"/>
      <c r="F12" s="11" t="s">
        <v>4941</v>
      </c>
      <c r="G12" s="11" t="s">
        <v>4942</v>
      </c>
      <c r="H12" s="11"/>
      <c r="I12" s="11"/>
      <c r="J12" s="11"/>
    </row>
    <row r="13" spans="1:10" ht="30">
      <c r="A13" s="11">
        <v>11</v>
      </c>
      <c r="B13" s="11" t="s">
        <v>205</v>
      </c>
      <c r="C13" s="11">
        <v>16</v>
      </c>
      <c r="D13" s="11" t="s">
        <v>189</v>
      </c>
      <c r="E13" s="11" t="s">
        <v>5399</v>
      </c>
      <c r="F13" s="11" t="s">
        <v>4943</v>
      </c>
      <c r="G13" s="11" t="s">
        <v>4944</v>
      </c>
      <c r="H13" s="11"/>
      <c r="I13" s="11"/>
      <c r="J13" s="11"/>
    </row>
    <row r="14" spans="1:10" ht="30">
      <c r="A14" s="11">
        <v>12</v>
      </c>
      <c r="B14" s="11" t="s">
        <v>628</v>
      </c>
      <c r="C14" s="11">
        <v>1</v>
      </c>
      <c r="D14" s="11" t="s">
        <v>242</v>
      </c>
      <c r="E14" s="11"/>
      <c r="F14" s="11" t="s">
        <v>4945</v>
      </c>
      <c r="G14" s="11" t="s">
        <v>4946</v>
      </c>
      <c r="H14" s="11"/>
      <c r="I14" s="11"/>
      <c r="J14" s="11"/>
    </row>
    <row r="15" spans="1:10" ht="30">
      <c r="A15" s="11">
        <v>13</v>
      </c>
      <c r="B15" s="11" t="s">
        <v>1188</v>
      </c>
      <c r="C15" s="11">
        <v>16</v>
      </c>
      <c r="D15" s="11" t="s">
        <v>189</v>
      </c>
      <c r="E15" s="11" t="s">
        <v>5399</v>
      </c>
      <c r="F15" s="11" t="s">
        <v>4947</v>
      </c>
      <c r="G15" s="11" t="s">
        <v>4948</v>
      </c>
      <c r="H15" s="11"/>
      <c r="I15" s="11"/>
      <c r="J15" s="11"/>
    </row>
    <row r="16" spans="1:10" ht="30">
      <c r="A16" s="11">
        <v>14</v>
      </c>
      <c r="B16" s="11" t="s">
        <v>1189</v>
      </c>
      <c r="C16" s="11">
        <v>16</v>
      </c>
      <c r="D16" s="11" t="s">
        <v>189</v>
      </c>
      <c r="E16" s="11" t="s">
        <v>5399</v>
      </c>
      <c r="F16" s="11" t="s">
        <v>4949</v>
      </c>
      <c r="G16" s="11" t="s">
        <v>4950</v>
      </c>
      <c r="H16" s="11"/>
      <c r="I16" s="11"/>
      <c r="J16" s="11"/>
    </row>
    <row r="17" spans="1:10" ht="30">
      <c r="A17" s="11">
        <v>15</v>
      </c>
      <c r="B17" s="11" t="s">
        <v>1190</v>
      </c>
      <c r="C17" s="11">
        <v>16</v>
      </c>
      <c r="D17" s="11" t="s">
        <v>189</v>
      </c>
      <c r="E17" s="11" t="s">
        <v>5399</v>
      </c>
      <c r="F17" s="11" t="s">
        <v>4951</v>
      </c>
      <c r="G17" s="11" t="s">
        <v>4952</v>
      </c>
      <c r="H17" s="11"/>
      <c r="I17" s="11"/>
      <c r="J17" s="11"/>
    </row>
    <row r="18" spans="1:10">
      <c r="A18" s="11">
        <v>16</v>
      </c>
      <c r="B18" s="11" t="s">
        <v>1182</v>
      </c>
      <c r="C18" s="11">
        <v>12</v>
      </c>
      <c r="D18" s="11" t="s">
        <v>189</v>
      </c>
      <c r="E18" s="11"/>
      <c r="F18" s="11" t="s">
        <v>1688</v>
      </c>
      <c r="G18" s="11" t="s">
        <v>1689</v>
      </c>
      <c r="H18" s="11"/>
      <c r="I18" s="11"/>
      <c r="J18" s="11"/>
    </row>
    <row r="19" spans="1:10" ht="30">
      <c r="A19" s="11">
        <v>17</v>
      </c>
      <c r="B19" s="11" t="s">
        <v>1183</v>
      </c>
      <c r="C19" s="11">
        <v>30</v>
      </c>
      <c r="D19" s="11" t="s">
        <v>242</v>
      </c>
      <c r="E19" s="11"/>
      <c r="F19" s="11" t="s">
        <v>1690</v>
      </c>
      <c r="G19" s="11" t="s">
        <v>1691</v>
      </c>
      <c r="H19" s="11"/>
      <c r="I19" s="11"/>
      <c r="J19" s="11"/>
    </row>
    <row r="35" spans="2:10">
      <c r="J35" s="8"/>
    </row>
    <row r="36" spans="2:10">
      <c r="J36" s="6"/>
    </row>
    <row r="45" spans="2:10">
      <c r="B45" s="9"/>
    </row>
  </sheetData>
  <mergeCells count="1">
    <mergeCell ref="H1:J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F31B-4F83-430C-9FC3-276DE5637996}">
  <sheetPr codeName="Sheet9"/>
  <dimension ref="A1:K46"/>
  <sheetViews>
    <sheetView topLeftCell="A25"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10">
      <c r="A1" s="3" t="s">
        <v>238</v>
      </c>
      <c r="B1" s="3"/>
      <c r="C1" s="3"/>
      <c r="D1" s="3"/>
      <c r="E1" s="3"/>
      <c r="F1" s="3"/>
      <c r="G1" s="3"/>
      <c r="H1" s="94" t="s">
        <v>5363</v>
      </c>
      <c r="I1" s="94"/>
      <c r="J1" s="94"/>
    </row>
    <row r="2" spans="1:10">
      <c r="A2" s="10" t="s">
        <v>350</v>
      </c>
      <c r="B2" s="10" t="s">
        <v>156</v>
      </c>
      <c r="C2" s="10" t="s">
        <v>157</v>
      </c>
      <c r="D2" s="10" t="s">
        <v>239</v>
      </c>
      <c r="E2" s="10" t="s">
        <v>159</v>
      </c>
      <c r="F2" s="10" t="s">
        <v>1684</v>
      </c>
      <c r="G2" s="10" t="s">
        <v>1685</v>
      </c>
      <c r="H2" s="10" t="s">
        <v>5371</v>
      </c>
      <c r="I2" s="10" t="s">
        <v>5372</v>
      </c>
      <c r="J2" s="10" t="s">
        <v>5373</v>
      </c>
    </row>
    <row r="3" spans="1:10">
      <c r="A3" s="11">
        <v>1</v>
      </c>
      <c r="B3" s="11" t="s">
        <v>240</v>
      </c>
      <c r="C3" s="11">
        <v>8</v>
      </c>
      <c r="D3" s="11" t="s">
        <v>160</v>
      </c>
      <c r="E3" s="11" t="s">
        <v>177</v>
      </c>
      <c r="F3" s="11" t="s">
        <v>1686</v>
      </c>
      <c r="G3" s="11" t="s">
        <v>1687</v>
      </c>
      <c r="H3" s="11" t="s">
        <v>5382</v>
      </c>
      <c r="I3" s="11" t="s">
        <v>5395</v>
      </c>
      <c r="J3" s="11" t="s">
        <v>5388</v>
      </c>
    </row>
    <row r="4" spans="1:10" ht="45">
      <c r="A4" s="11">
        <v>2</v>
      </c>
      <c r="B4" s="11" t="s">
        <v>603</v>
      </c>
      <c r="C4" s="11">
        <v>2</v>
      </c>
      <c r="D4" s="11" t="s">
        <v>242</v>
      </c>
      <c r="E4" s="11"/>
      <c r="F4" s="11" t="s">
        <v>4672</v>
      </c>
      <c r="G4" s="11" t="s">
        <v>4686</v>
      </c>
      <c r="H4" s="11" t="s">
        <v>5384</v>
      </c>
      <c r="I4" s="11" t="s">
        <v>5387</v>
      </c>
      <c r="J4" s="11" t="s">
        <v>5383</v>
      </c>
    </row>
    <row r="5" spans="1:10" ht="30">
      <c r="A5" s="11">
        <v>3</v>
      </c>
      <c r="B5" s="11" t="s">
        <v>623</v>
      </c>
      <c r="C5" s="11">
        <v>3</v>
      </c>
      <c r="D5" s="11" t="s">
        <v>242</v>
      </c>
      <c r="E5" s="11"/>
      <c r="F5" s="11" t="s">
        <v>1980</v>
      </c>
      <c r="G5" s="11" t="s">
        <v>4749</v>
      </c>
      <c r="H5" s="11" t="s">
        <v>5385</v>
      </c>
      <c r="I5" s="11" t="s">
        <v>5386</v>
      </c>
      <c r="J5" s="11" t="s">
        <v>5403</v>
      </c>
    </row>
    <row r="6" spans="1:10">
      <c r="A6" s="11">
        <v>4</v>
      </c>
      <c r="B6" s="11" t="s">
        <v>243</v>
      </c>
      <c r="C6" s="11">
        <v>2</v>
      </c>
      <c r="D6" s="11" t="s">
        <v>242</v>
      </c>
      <c r="E6" s="11"/>
      <c r="F6" s="11" t="s">
        <v>2675</v>
      </c>
      <c r="G6" s="11" t="s">
        <v>4934</v>
      </c>
      <c r="H6" s="11"/>
      <c r="I6" s="11"/>
      <c r="J6" s="11"/>
    </row>
    <row r="7" spans="1:10" ht="195">
      <c r="A7" s="11">
        <v>5</v>
      </c>
      <c r="B7" s="11" t="s">
        <v>792</v>
      </c>
      <c r="C7" s="11">
        <v>14</v>
      </c>
      <c r="D7" s="11" t="s">
        <v>242</v>
      </c>
      <c r="E7" s="11"/>
      <c r="F7" s="11" t="s">
        <v>4276</v>
      </c>
      <c r="G7" s="11" t="s">
        <v>5401</v>
      </c>
      <c r="H7" s="11"/>
      <c r="I7" s="11"/>
      <c r="J7" s="11"/>
    </row>
    <row r="8" spans="1:10" ht="30">
      <c r="A8" s="11">
        <v>6</v>
      </c>
      <c r="B8" s="11" t="s">
        <v>793</v>
      </c>
      <c r="C8" s="11">
        <v>14</v>
      </c>
      <c r="D8" s="11" t="s">
        <v>242</v>
      </c>
      <c r="E8" s="11"/>
      <c r="F8" s="11" t="s">
        <v>4277</v>
      </c>
      <c r="G8" s="11" t="s">
        <v>4361</v>
      </c>
      <c r="H8" s="11"/>
      <c r="I8" s="11"/>
      <c r="J8" s="11"/>
    </row>
    <row r="9" spans="1:10" ht="30">
      <c r="A9" s="11">
        <v>7</v>
      </c>
      <c r="B9" s="11" t="s">
        <v>794</v>
      </c>
      <c r="C9" s="11">
        <v>14</v>
      </c>
      <c r="D9" s="11" t="s">
        <v>242</v>
      </c>
      <c r="E9" s="11"/>
      <c r="F9" s="11" t="s">
        <v>4278</v>
      </c>
      <c r="G9" s="11" t="s">
        <v>4361</v>
      </c>
      <c r="H9" s="11"/>
      <c r="I9" s="11"/>
      <c r="J9" s="11"/>
    </row>
    <row r="10" spans="1:10" ht="30">
      <c r="A10" s="11">
        <v>8</v>
      </c>
      <c r="B10" s="11" t="s">
        <v>795</v>
      </c>
      <c r="C10" s="11">
        <v>14</v>
      </c>
      <c r="D10" s="11" t="s">
        <v>242</v>
      </c>
      <c r="E10" s="11"/>
      <c r="F10" s="11" t="s">
        <v>4279</v>
      </c>
      <c r="G10" s="11" t="s">
        <v>4361</v>
      </c>
      <c r="H10" s="11"/>
      <c r="I10" s="11"/>
      <c r="J10" s="11"/>
    </row>
    <row r="11" spans="1:10" ht="30">
      <c r="A11" s="11">
        <v>9</v>
      </c>
      <c r="B11" s="11" t="s">
        <v>796</v>
      </c>
      <c r="C11" s="11">
        <v>14</v>
      </c>
      <c r="D11" s="11" t="s">
        <v>242</v>
      </c>
      <c r="E11" s="11"/>
      <c r="F11" s="11" t="s">
        <v>4280</v>
      </c>
      <c r="G11" s="11" t="s">
        <v>4361</v>
      </c>
      <c r="H11" s="11"/>
      <c r="I11" s="11"/>
      <c r="J11" s="11"/>
    </row>
    <row r="12" spans="1:10" ht="30">
      <c r="A12" s="11">
        <v>10</v>
      </c>
      <c r="B12" s="11" t="s">
        <v>797</v>
      </c>
      <c r="C12" s="11">
        <v>14</v>
      </c>
      <c r="D12" s="11" t="s">
        <v>242</v>
      </c>
      <c r="E12" s="11"/>
      <c r="F12" s="11" t="s">
        <v>4281</v>
      </c>
      <c r="G12" s="11" t="s">
        <v>4361</v>
      </c>
      <c r="H12" s="11"/>
      <c r="I12" s="11"/>
      <c r="J12" s="11"/>
    </row>
    <row r="13" spans="1:10" ht="165">
      <c r="A13" s="11">
        <v>11</v>
      </c>
      <c r="B13" s="11" t="s">
        <v>798</v>
      </c>
      <c r="C13" s="11">
        <v>14</v>
      </c>
      <c r="D13" s="11" t="s">
        <v>242</v>
      </c>
      <c r="E13" s="11"/>
      <c r="F13" s="11" t="s">
        <v>4284</v>
      </c>
      <c r="G13" s="11" t="s">
        <v>4362</v>
      </c>
      <c r="H13" s="11"/>
      <c r="I13" s="11"/>
      <c r="J13" s="11"/>
    </row>
    <row r="14" spans="1:10">
      <c r="A14" s="11">
        <v>12</v>
      </c>
      <c r="B14" s="11" t="s">
        <v>799</v>
      </c>
      <c r="C14" s="11">
        <v>14</v>
      </c>
      <c r="D14" s="11" t="s">
        <v>242</v>
      </c>
      <c r="E14" s="11"/>
      <c r="F14" s="11" t="s">
        <v>4363</v>
      </c>
      <c r="G14" s="11" t="s">
        <v>4364</v>
      </c>
      <c r="H14" s="11"/>
      <c r="I14" s="11"/>
      <c r="J14" s="11"/>
    </row>
    <row r="15" spans="1:10">
      <c r="A15" s="11">
        <v>13</v>
      </c>
      <c r="B15" s="11" t="s">
        <v>800</v>
      </c>
      <c r="C15" s="11">
        <v>14</v>
      </c>
      <c r="D15" s="11" t="s">
        <v>242</v>
      </c>
      <c r="E15" s="11"/>
      <c r="F15" s="11" t="s">
        <v>4287</v>
      </c>
      <c r="G15" s="11" t="s">
        <v>4364</v>
      </c>
      <c r="H15" s="11"/>
      <c r="I15" s="11"/>
      <c r="J15" s="11"/>
    </row>
    <row r="16" spans="1:10">
      <c r="A16" s="11">
        <v>14</v>
      </c>
      <c r="B16" s="11" t="s">
        <v>801</v>
      </c>
      <c r="C16" s="11">
        <v>14</v>
      </c>
      <c r="D16" s="11" t="s">
        <v>242</v>
      </c>
      <c r="E16" s="11"/>
      <c r="F16" s="11" t="s">
        <v>4288</v>
      </c>
      <c r="G16" s="11" t="s">
        <v>4364</v>
      </c>
      <c r="H16" s="11"/>
      <c r="I16" s="11"/>
      <c r="J16" s="11"/>
    </row>
    <row r="17" spans="1:10">
      <c r="A17" s="11">
        <v>15</v>
      </c>
      <c r="B17" s="11" t="s">
        <v>802</v>
      </c>
      <c r="C17" s="11">
        <v>14</v>
      </c>
      <c r="D17" s="11" t="s">
        <v>242</v>
      </c>
      <c r="E17" s="11"/>
      <c r="F17" s="11" t="s">
        <v>4289</v>
      </c>
      <c r="G17" s="11" t="s">
        <v>4364</v>
      </c>
      <c r="H17" s="11"/>
      <c r="I17" s="11"/>
      <c r="J17" s="11"/>
    </row>
    <row r="18" spans="1:10">
      <c r="A18" s="11">
        <v>16</v>
      </c>
      <c r="B18" s="11" t="s">
        <v>803</v>
      </c>
      <c r="C18" s="11">
        <v>14</v>
      </c>
      <c r="D18" s="11" t="s">
        <v>242</v>
      </c>
      <c r="E18" s="11"/>
      <c r="F18" s="11" t="s">
        <v>4290</v>
      </c>
      <c r="G18" s="11" t="s">
        <v>4364</v>
      </c>
      <c r="H18" s="11"/>
      <c r="I18" s="11"/>
      <c r="J18" s="11"/>
    </row>
    <row r="19" spans="1:10" ht="195">
      <c r="A19" s="11">
        <v>17</v>
      </c>
      <c r="B19" s="11" t="s">
        <v>804</v>
      </c>
      <c r="C19" s="11">
        <v>16</v>
      </c>
      <c r="D19" s="11" t="s">
        <v>189</v>
      </c>
      <c r="E19" s="11" t="s">
        <v>1266</v>
      </c>
      <c r="F19" s="11" t="s">
        <v>4918</v>
      </c>
      <c r="G19" s="11" t="s">
        <v>4932</v>
      </c>
      <c r="H19" s="11"/>
      <c r="I19" s="11"/>
      <c r="J19" s="11"/>
    </row>
    <row r="20" spans="1:10" ht="30">
      <c r="A20" s="11">
        <v>18</v>
      </c>
      <c r="B20" s="11" t="s">
        <v>805</v>
      </c>
      <c r="C20" s="11">
        <v>16</v>
      </c>
      <c r="D20" s="11" t="s">
        <v>189</v>
      </c>
      <c r="E20" s="11" t="s">
        <v>1266</v>
      </c>
      <c r="F20" s="11" t="s">
        <v>4919</v>
      </c>
      <c r="G20" s="11" t="s">
        <v>4920</v>
      </c>
      <c r="H20" s="11"/>
      <c r="I20" s="11"/>
      <c r="J20" s="11"/>
    </row>
    <row r="21" spans="1:10" ht="30">
      <c r="A21" s="11">
        <v>19</v>
      </c>
      <c r="B21" s="11" t="s">
        <v>806</v>
      </c>
      <c r="C21" s="11">
        <v>16</v>
      </c>
      <c r="D21" s="11" t="s">
        <v>189</v>
      </c>
      <c r="E21" s="11" t="s">
        <v>1266</v>
      </c>
      <c r="F21" s="11" t="s">
        <v>4921</v>
      </c>
      <c r="G21" s="11" t="s">
        <v>4920</v>
      </c>
      <c r="H21" s="11"/>
      <c r="I21" s="11"/>
      <c r="J21" s="11"/>
    </row>
    <row r="22" spans="1:10" ht="30">
      <c r="A22" s="11">
        <v>20</v>
      </c>
      <c r="B22" s="11" t="s">
        <v>807</v>
      </c>
      <c r="C22" s="11">
        <v>16</v>
      </c>
      <c r="D22" s="11" t="s">
        <v>189</v>
      </c>
      <c r="E22" s="11" t="s">
        <v>1266</v>
      </c>
      <c r="F22" s="11" t="s">
        <v>4922</v>
      </c>
      <c r="G22" s="11" t="s">
        <v>4920</v>
      </c>
      <c r="H22" s="11"/>
      <c r="I22" s="11"/>
      <c r="J22" s="11"/>
    </row>
    <row r="23" spans="1:10" ht="30">
      <c r="A23" s="11">
        <v>21</v>
      </c>
      <c r="B23" s="11" t="s">
        <v>808</v>
      </c>
      <c r="C23" s="11">
        <v>16</v>
      </c>
      <c r="D23" s="11" t="s">
        <v>189</v>
      </c>
      <c r="E23" s="11" t="s">
        <v>1266</v>
      </c>
      <c r="F23" s="11" t="s">
        <v>4923</v>
      </c>
      <c r="G23" s="11" t="s">
        <v>4920</v>
      </c>
      <c r="H23" s="11"/>
      <c r="I23" s="11"/>
      <c r="J23" s="11"/>
    </row>
    <row r="24" spans="1:10" ht="30">
      <c r="A24" s="11">
        <v>22</v>
      </c>
      <c r="B24" s="11" t="s">
        <v>809</v>
      </c>
      <c r="C24" s="11">
        <v>16</v>
      </c>
      <c r="D24" s="11" t="s">
        <v>189</v>
      </c>
      <c r="E24" s="11" t="s">
        <v>1266</v>
      </c>
      <c r="F24" s="11" t="s">
        <v>4924</v>
      </c>
      <c r="G24" s="11" t="s">
        <v>4920</v>
      </c>
      <c r="H24" s="11"/>
      <c r="I24" s="11"/>
      <c r="J24" s="11"/>
    </row>
    <row r="25" spans="1:10" ht="165">
      <c r="A25" s="11">
        <v>23</v>
      </c>
      <c r="B25" s="11" t="s">
        <v>810</v>
      </c>
      <c r="C25" s="11">
        <v>16</v>
      </c>
      <c r="D25" s="11" t="s">
        <v>189</v>
      </c>
      <c r="E25" s="11" t="s">
        <v>1266</v>
      </c>
      <c r="F25" s="11" t="s">
        <v>4925</v>
      </c>
      <c r="G25" s="11" t="s">
        <v>4933</v>
      </c>
      <c r="H25" s="11"/>
      <c r="I25" s="11"/>
      <c r="J25" s="11"/>
    </row>
    <row r="26" spans="1:10">
      <c r="A26" s="11">
        <v>24</v>
      </c>
      <c r="B26" s="11" t="s">
        <v>811</v>
      </c>
      <c r="C26" s="11">
        <v>16</v>
      </c>
      <c r="D26" s="11" t="s">
        <v>189</v>
      </c>
      <c r="E26" s="11" t="s">
        <v>1266</v>
      </c>
      <c r="F26" s="11" t="s">
        <v>4926</v>
      </c>
      <c r="G26" s="11" t="s">
        <v>4927</v>
      </c>
      <c r="H26" s="11"/>
      <c r="I26" s="11"/>
      <c r="J26" s="11"/>
    </row>
    <row r="27" spans="1:10">
      <c r="A27" s="11">
        <v>25</v>
      </c>
      <c r="B27" s="11" t="s">
        <v>812</v>
      </c>
      <c r="C27" s="11">
        <v>16</v>
      </c>
      <c r="D27" s="11" t="s">
        <v>189</v>
      </c>
      <c r="E27" s="11" t="s">
        <v>1266</v>
      </c>
      <c r="F27" s="11" t="s">
        <v>4928</v>
      </c>
      <c r="G27" s="11" t="s">
        <v>4927</v>
      </c>
      <c r="H27" s="11"/>
      <c r="I27" s="11"/>
      <c r="J27" s="11"/>
    </row>
    <row r="28" spans="1:10">
      <c r="A28" s="11">
        <v>26</v>
      </c>
      <c r="B28" s="11" t="s">
        <v>813</v>
      </c>
      <c r="C28" s="11">
        <v>16</v>
      </c>
      <c r="D28" s="11" t="s">
        <v>189</v>
      </c>
      <c r="E28" s="11" t="s">
        <v>1266</v>
      </c>
      <c r="F28" s="11" t="s">
        <v>4929</v>
      </c>
      <c r="G28" s="11" t="s">
        <v>4927</v>
      </c>
      <c r="H28" s="11"/>
      <c r="I28" s="11"/>
      <c r="J28" s="11"/>
    </row>
    <row r="29" spans="1:10">
      <c r="A29" s="11">
        <v>27</v>
      </c>
      <c r="B29" s="11" t="s">
        <v>814</v>
      </c>
      <c r="C29" s="11">
        <v>16</v>
      </c>
      <c r="D29" s="11" t="s">
        <v>189</v>
      </c>
      <c r="E29" s="11" t="s">
        <v>1266</v>
      </c>
      <c r="F29" s="11" t="s">
        <v>4930</v>
      </c>
      <c r="G29" s="11" t="s">
        <v>4927</v>
      </c>
      <c r="H29" s="11"/>
      <c r="I29" s="11"/>
      <c r="J29" s="11"/>
    </row>
    <row r="30" spans="1:10">
      <c r="A30" s="11">
        <v>28</v>
      </c>
      <c r="B30" s="11" t="s">
        <v>815</v>
      </c>
      <c r="C30" s="11">
        <v>16</v>
      </c>
      <c r="D30" s="11" t="s">
        <v>189</v>
      </c>
      <c r="E30" s="11" t="s">
        <v>1266</v>
      </c>
      <c r="F30" s="11" t="s">
        <v>4931</v>
      </c>
      <c r="G30" s="11" t="s">
        <v>4364</v>
      </c>
      <c r="H30" s="11"/>
      <c r="I30" s="11"/>
      <c r="J30" s="11"/>
    </row>
    <row r="31" spans="1:10" ht="60">
      <c r="A31" s="11">
        <v>29</v>
      </c>
      <c r="B31" s="11" t="s">
        <v>78</v>
      </c>
      <c r="C31" s="11">
        <v>4</v>
      </c>
      <c r="D31" s="11" t="s">
        <v>242</v>
      </c>
      <c r="E31" s="11"/>
      <c r="F31" s="11" t="s">
        <v>1720</v>
      </c>
      <c r="G31" s="11" t="s">
        <v>4838</v>
      </c>
      <c r="H31" s="11" t="s">
        <v>1291</v>
      </c>
      <c r="I31" s="11"/>
      <c r="J31" s="11" t="s">
        <v>5396</v>
      </c>
    </row>
    <row r="32" spans="1:10" ht="45">
      <c r="A32" s="11">
        <v>30</v>
      </c>
      <c r="B32" s="11" t="s">
        <v>1182</v>
      </c>
      <c r="C32" s="11">
        <v>12</v>
      </c>
      <c r="D32" s="11" t="s">
        <v>189</v>
      </c>
      <c r="E32" s="11" t="s">
        <v>5576</v>
      </c>
      <c r="F32" s="11" t="s">
        <v>1688</v>
      </c>
      <c r="G32" s="11" t="s">
        <v>1689</v>
      </c>
      <c r="H32" s="11"/>
      <c r="I32" s="11"/>
      <c r="J32" s="11"/>
    </row>
    <row r="33" spans="1:11" ht="45">
      <c r="A33" s="11">
        <v>31</v>
      </c>
      <c r="B33" s="11" t="s">
        <v>1183</v>
      </c>
      <c r="C33" s="11">
        <v>30</v>
      </c>
      <c r="D33" s="11" t="s">
        <v>242</v>
      </c>
      <c r="E33" s="11" t="s">
        <v>5576</v>
      </c>
      <c r="F33" s="11" t="s">
        <v>1690</v>
      </c>
      <c r="G33" s="11" t="s">
        <v>1691</v>
      </c>
      <c r="H33" s="11"/>
      <c r="I33" s="11"/>
      <c r="J33" s="11"/>
    </row>
    <row r="36" spans="1:11">
      <c r="J36" s="7"/>
      <c r="K36" s="8"/>
    </row>
    <row r="37" spans="1:11">
      <c r="J37" s="5"/>
      <c r="K37" s="6"/>
    </row>
    <row r="46" spans="1:11">
      <c r="B46" s="9"/>
    </row>
  </sheetData>
  <mergeCells count="1">
    <mergeCell ref="H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711E0-DA55-4589-B0CD-72F886168DE9}">
  <sheetPr codeName="Sheet16"/>
  <dimension ref="A1:K46"/>
  <sheetViews>
    <sheetView topLeftCell="A19"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8">
      <c r="A1" s="3" t="s">
        <v>238</v>
      </c>
      <c r="B1" s="3"/>
      <c r="C1" s="3"/>
      <c r="D1" s="3"/>
      <c r="E1" s="3"/>
      <c r="F1" s="3"/>
      <c r="G1" s="3"/>
      <c r="H1" s="3"/>
    </row>
    <row r="2" spans="1:8">
      <c r="A2" s="10" t="s">
        <v>350</v>
      </c>
      <c r="B2" s="10" t="s">
        <v>156</v>
      </c>
      <c r="C2" s="10" t="s">
        <v>157</v>
      </c>
      <c r="D2" s="10" t="s">
        <v>239</v>
      </c>
      <c r="E2" s="10" t="s">
        <v>159</v>
      </c>
      <c r="F2" s="10" t="s">
        <v>1684</v>
      </c>
      <c r="G2" s="10" t="s">
        <v>1685</v>
      </c>
      <c r="H2" s="10" t="s">
        <v>5363</v>
      </c>
    </row>
    <row r="3" spans="1:8">
      <c r="A3" s="11">
        <v>1</v>
      </c>
      <c r="B3" s="11" t="s">
        <v>724</v>
      </c>
      <c r="C3" s="11">
        <v>8</v>
      </c>
      <c r="D3" s="11" t="s">
        <v>160</v>
      </c>
      <c r="E3" s="11" t="s">
        <v>177</v>
      </c>
      <c r="F3" s="11" t="s">
        <v>1686</v>
      </c>
      <c r="G3" s="11" t="s">
        <v>1687</v>
      </c>
      <c r="H3" s="11" t="s">
        <v>5382</v>
      </c>
    </row>
    <row r="4" spans="1:8" ht="45">
      <c r="A4" s="11">
        <v>2</v>
      </c>
      <c r="B4" s="11" t="s">
        <v>425</v>
      </c>
      <c r="C4" s="11">
        <v>8</v>
      </c>
      <c r="D4" s="11" t="s">
        <v>160</v>
      </c>
      <c r="E4" s="11" t="s">
        <v>177</v>
      </c>
      <c r="F4" s="11" t="s">
        <v>4659</v>
      </c>
      <c r="G4" s="11" t="s">
        <v>4660</v>
      </c>
      <c r="H4" s="11" t="s">
        <v>5384</v>
      </c>
    </row>
    <row r="5" spans="1:8" ht="60">
      <c r="A5" s="11">
        <v>3</v>
      </c>
      <c r="B5" s="11" t="s">
        <v>78</v>
      </c>
      <c r="C5" s="11">
        <v>4</v>
      </c>
      <c r="D5" s="11" t="s">
        <v>242</v>
      </c>
      <c r="E5" s="11"/>
      <c r="F5" s="11" t="s">
        <v>5404</v>
      </c>
      <c r="G5" s="11" t="s">
        <v>4838</v>
      </c>
      <c r="H5" s="11" t="s">
        <v>5385</v>
      </c>
    </row>
    <row r="6" spans="1:8" ht="30">
      <c r="A6" s="11">
        <v>4</v>
      </c>
      <c r="B6" s="11" t="s">
        <v>770</v>
      </c>
      <c r="C6" s="11">
        <v>14</v>
      </c>
      <c r="D6" s="11" t="s">
        <v>242</v>
      </c>
      <c r="E6" s="11"/>
      <c r="F6" s="11" t="s">
        <v>4658</v>
      </c>
      <c r="G6" s="11" t="s">
        <v>4657</v>
      </c>
      <c r="H6" s="11" t="s">
        <v>5402</v>
      </c>
    </row>
    <row r="7" spans="1:8" ht="90">
      <c r="A7" s="11">
        <v>5</v>
      </c>
      <c r="B7" s="11" t="s">
        <v>771</v>
      </c>
      <c r="C7" s="11">
        <v>4</v>
      </c>
      <c r="D7" s="11" t="s">
        <v>242</v>
      </c>
      <c r="E7" s="11"/>
      <c r="F7" s="11" t="s">
        <v>4662</v>
      </c>
      <c r="G7" s="11" t="s">
        <v>4661</v>
      </c>
      <c r="H7" s="11"/>
    </row>
    <row r="8" spans="1:8" ht="45">
      <c r="A8" s="11">
        <v>6</v>
      </c>
      <c r="B8" s="11" t="s">
        <v>243</v>
      </c>
      <c r="C8" s="11">
        <v>2</v>
      </c>
      <c r="D8" s="11" t="s">
        <v>242</v>
      </c>
      <c r="E8" s="11"/>
      <c r="F8" s="11" t="s">
        <v>4663</v>
      </c>
      <c r="G8" s="11" t="s">
        <v>4664</v>
      </c>
      <c r="H8" s="11"/>
    </row>
    <row r="9" spans="1:8" ht="90">
      <c r="A9" s="11">
        <v>7</v>
      </c>
      <c r="B9" s="11" t="s">
        <v>426</v>
      </c>
      <c r="C9" s="11">
        <v>2</v>
      </c>
      <c r="D9" s="11" t="s">
        <v>242</v>
      </c>
      <c r="E9" s="11"/>
      <c r="F9" s="11" t="s">
        <v>3685</v>
      </c>
      <c r="G9" s="11" t="s">
        <v>4665</v>
      </c>
      <c r="H9" s="11"/>
    </row>
    <row r="10" spans="1:8" ht="240">
      <c r="A10" s="11">
        <v>8</v>
      </c>
      <c r="B10" s="11" t="s">
        <v>772</v>
      </c>
      <c r="C10" s="11">
        <v>10</v>
      </c>
      <c r="D10" s="11" t="s">
        <v>242</v>
      </c>
      <c r="E10" s="11"/>
      <c r="F10" s="11" t="s">
        <v>4538</v>
      </c>
      <c r="G10" s="11" t="s">
        <v>4666</v>
      </c>
      <c r="H10" s="11"/>
    </row>
    <row r="11" spans="1:8" ht="90">
      <c r="A11" s="11">
        <v>9</v>
      </c>
      <c r="B11" s="11" t="s">
        <v>773</v>
      </c>
      <c r="C11" s="11">
        <v>14</v>
      </c>
      <c r="D11" s="11" t="s">
        <v>189</v>
      </c>
      <c r="E11" s="11"/>
      <c r="F11" s="11" t="s">
        <v>4668</v>
      </c>
      <c r="G11" s="11" t="s">
        <v>4669</v>
      </c>
      <c r="H11" s="11"/>
    </row>
    <row r="12" spans="1:8" ht="135">
      <c r="A12" s="11">
        <v>10</v>
      </c>
      <c r="B12" s="11" t="s">
        <v>774</v>
      </c>
      <c r="C12" s="11">
        <v>1</v>
      </c>
      <c r="D12" s="11" t="s">
        <v>242</v>
      </c>
      <c r="E12" s="11"/>
      <c r="F12" s="11" t="s">
        <v>4522</v>
      </c>
      <c r="G12" s="11" t="s">
        <v>4667</v>
      </c>
      <c r="H12" s="11"/>
    </row>
    <row r="13" spans="1:8" ht="45">
      <c r="A13" s="11">
        <v>11</v>
      </c>
      <c r="B13" s="11" t="s">
        <v>1182</v>
      </c>
      <c r="C13" s="11">
        <v>12</v>
      </c>
      <c r="D13" s="11" t="s">
        <v>189</v>
      </c>
      <c r="E13" s="11" t="s">
        <v>5576</v>
      </c>
      <c r="F13" s="11"/>
      <c r="G13" s="11"/>
      <c r="H13" s="11"/>
    </row>
    <row r="14" spans="1:8" ht="45">
      <c r="A14" s="11">
        <v>12</v>
      </c>
      <c r="B14" s="11" t="s">
        <v>1183</v>
      </c>
      <c r="C14" s="11">
        <v>30</v>
      </c>
      <c r="D14" s="11" t="s">
        <v>242</v>
      </c>
      <c r="E14" s="11" t="s">
        <v>5576</v>
      </c>
      <c r="F14" s="11"/>
      <c r="G14" s="11"/>
      <c r="H14" s="11"/>
    </row>
    <row r="36" spans="2:11">
      <c r="J36" s="7"/>
      <c r="K36" s="8"/>
    </row>
    <row r="37" spans="2:11">
      <c r="J37" s="5"/>
      <c r="K37" s="6"/>
    </row>
    <row r="46" spans="2:11">
      <c r="B46"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7E25F-34FF-4DAB-8247-C1AA322A53DD}">
  <sheetPr codeName="Sheet12"/>
  <dimension ref="A1:K45"/>
  <sheetViews>
    <sheetView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8">
      <c r="A1" s="3" t="s">
        <v>238</v>
      </c>
      <c r="B1" s="3"/>
      <c r="C1" s="3"/>
      <c r="D1" s="3"/>
      <c r="E1" s="3"/>
      <c r="F1" s="3"/>
      <c r="G1" s="3"/>
      <c r="H1" s="3"/>
    </row>
    <row r="2" spans="1:8">
      <c r="A2" s="10" t="s">
        <v>350</v>
      </c>
      <c r="B2" s="10" t="s">
        <v>156</v>
      </c>
      <c r="C2" s="10" t="s">
        <v>157</v>
      </c>
      <c r="D2" s="10" t="s">
        <v>239</v>
      </c>
      <c r="E2" s="10" t="s">
        <v>159</v>
      </c>
      <c r="F2" s="10" t="s">
        <v>1684</v>
      </c>
      <c r="G2" s="10" t="s">
        <v>1685</v>
      </c>
      <c r="H2" s="10" t="s">
        <v>5363</v>
      </c>
    </row>
    <row r="3" spans="1:8">
      <c r="A3" s="11">
        <v>1</v>
      </c>
      <c r="B3" s="11" t="s">
        <v>240</v>
      </c>
      <c r="C3" s="11">
        <v>8</v>
      </c>
      <c r="D3" s="11" t="s">
        <v>160</v>
      </c>
      <c r="E3" s="11" t="s">
        <v>177</v>
      </c>
      <c r="F3" s="11" t="s">
        <v>1686</v>
      </c>
      <c r="G3" s="11" t="s">
        <v>1687</v>
      </c>
      <c r="H3" s="11" t="s">
        <v>5382</v>
      </c>
    </row>
    <row r="4" spans="1:8" ht="60">
      <c r="A4" s="11">
        <v>2</v>
      </c>
      <c r="B4" s="11" t="s">
        <v>78</v>
      </c>
      <c r="C4" s="11">
        <v>4</v>
      </c>
      <c r="D4" s="11" t="s">
        <v>242</v>
      </c>
      <c r="E4" s="11"/>
      <c r="F4" s="11" t="s">
        <v>1720</v>
      </c>
      <c r="G4" s="11" t="s">
        <v>4838</v>
      </c>
      <c r="H4" s="11" t="s">
        <v>5384</v>
      </c>
    </row>
    <row r="5" spans="1:8">
      <c r="A5" s="11">
        <v>3</v>
      </c>
      <c r="B5" s="11" t="s">
        <v>981</v>
      </c>
      <c r="C5" s="11">
        <v>30</v>
      </c>
      <c r="D5" s="11" t="s">
        <v>242</v>
      </c>
      <c r="E5" s="11"/>
      <c r="F5" s="11" t="s">
        <v>4718</v>
      </c>
      <c r="G5" s="11" t="s">
        <v>5596</v>
      </c>
      <c r="H5" s="11"/>
    </row>
    <row r="6" spans="1:8">
      <c r="A6" s="11">
        <v>4</v>
      </c>
      <c r="B6" s="11" t="s">
        <v>633</v>
      </c>
      <c r="C6" s="11">
        <v>3</v>
      </c>
      <c r="D6" s="11" t="s">
        <v>242</v>
      </c>
      <c r="E6" s="11"/>
      <c r="F6" s="11" t="s">
        <v>1917</v>
      </c>
      <c r="G6" s="11" t="s">
        <v>5405</v>
      </c>
      <c r="H6" s="11"/>
    </row>
    <row r="7" spans="1:8" ht="30">
      <c r="A7" s="11">
        <v>5</v>
      </c>
      <c r="B7" s="11" t="s">
        <v>982</v>
      </c>
      <c r="C7" s="11">
        <v>1</v>
      </c>
      <c r="D7" s="11" t="s">
        <v>242</v>
      </c>
      <c r="E7" s="11"/>
      <c r="F7" s="11" t="s">
        <v>4727</v>
      </c>
      <c r="G7" s="11" t="s">
        <v>5406</v>
      </c>
      <c r="H7" s="11"/>
    </row>
    <row r="8" spans="1:8" ht="30">
      <c r="A8" s="11">
        <v>6</v>
      </c>
      <c r="B8" s="11" t="s">
        <v>983</v>
      </c>
      <c r="C8" s="11">
        <v>7</v>
      </c>
      <c r="D8" s="11" t="s">
        <v>189</v>
      </c>
      <c r="E8" s="11"/>
      <c r="F8" s="11" t="s">
        <v>4711</v>
      </c>
      <c r="G8" s="11" t="s">
        <v>5407</v>
      </c>
      <c r="H8" s="11"/>
    </row>
    <row r="9" spans="1:8">
      <c r="A9" s="11">
        <v>7</v>
      </c>
      <c r="B9" s="11" t="s">
        <v>984</v>
      </c>
      <c r="C9" s="11">
        <v>7</v>
      </c>
      <c r="D9" s="11" t="s">
        <v>189</v>
      </c>
      <c r="E9" s="11"/>
      <c r="F9" s="11" t="s">
        <v>4712</v>
      </c>
      <c r="G9" s="11" t="s">
        <v>5408</v>
      </c>
      <c r="H9" s="11"/>
    </row>
    <row r="10" spans="1:8" ht="30">
      <c r="A10" s="11">
        <v>8</v>
      </c>
      <c r="B10" s="11" t="s">
        <v>985</v>
      </c>
      <c r="C10" s="11">
        <v>7</v>
      </c>
      <c r="D10" s="11" t="s">
        <v>189</v>
      </c>
      <c r="E10" s="11"/>
      <c r="F10" s="11" t="s">
        <v>4713</v>
      </c>
      <c r="G10" s="11" t="s">
        <v>5409</v>
      </c>
      <c r="H10" s="11"/>
    </row>
    <row r="11" spans="1:8" ht="30">
      <c r="A11" s="11">
        <v>9</v>
      </c>
      <c r="B11" s="11" t="s">
        <v>986</v>
      </c>
      <c r="C11" s="11">
        <v>7</v>
      </c>
      <c r="D11" s="11" t="s">
        <v>189</v>
      </c>
      <c r="E11" s="11"/>
      <c r="F11" s="11" t="s">
        <v>4714</v>
      </c>
      <c r="G11" s="11" t="s">
        <v>5410</v>
      </c>
      <c r="H11" s="11"/>
    </row>
    <row r="12" spans="1:8">
      <c r="A12" s="11">
        <v>10</v>
      </c>
      <c r="B12" s="11" t="s">
        <v>987</v>
      </c>
      <c r="C12" s="11">
        <v>7</v>
      </c>
      <c r="D12" s="11" t="s">
        <v>189</v>
      </c>
      <c r="E12" s="11"/>
      <c r="F12" s="11" t="s">
        <v>4725</v>
      </c>
      <c r="G12" s="11" t="s">
        <v>5411</v>
      </c>
      <c r="H12" s="11"/>
    </row>
    <row r="13" spans="1:8" ht="30">
      <c r="A13" s="11">
        <v>11</v>
      </c>
      <c r="B13" s="11" t="s">
        <v>988</v>
      </c>
      <c r="C13" s="11">
        <v>3</v>
      </c>
      <c r="D13" s="11" t="s">
        <v>189</v>
      </c>
      <c r="E13" s="11"/>
      <c r="F13" s="11" t="s">
        <v>4726</v>
      </c>
      <c r="G13" s="11" t="s">
        <v>5412</v>
      </c>
      <c r="H13" s="11"/>
    </row>
    <row r="14" spans="1:8" ht="30">
      <c r="A14" s="11">
        <v>12</v>
      </c>
      <c r="B14" s="11" t="s">
        <v>989</v>
      </c>
      <c r="C14" s="11">
        <v>2</v>
      </c>
      <c r="D14" s="11" t="s">
        <v>242</v>
      </c>
      <c r="E14" s="11"/>
      <c r="F14" s="11" t="s">
        <v>4723</v>
      </c>
      <c r="G14" s="11" t="s">
        <v>4724</v>
      </c>
      <c r="H14" s="11"/>
    </row>
    <row r="15" spans="1:8" ht="30">
      <c r="A15" s="11">
        <v>13</v>
      </c>
      <c r="B15" s="11" t="s">
        <v>615</v>
      </c>
      <c r="C15" s="11">
        <v>4</v>
      </c>
      <c r="D15" s="11" t="s">
        <v>242</v>
      </c>
      <c r="E15" s="11"/>
      <c r="F15" s="11" t="s">
        <v>1895</v>
      </c>
      <c r="G15" s="11" t="s">
        <v>3089</v>
      </c>
      <c r="H15" s="11"/>
    </row>
    <row r="16" spans="1:8" ht="30">
      <c r="A16" s="11">
        <v>14</v>
      </c>
      <c r="B16" s="11" t="s">
        <v>616</v>
      </c>
      <c r="C16" s="11">
        <v>1</v>
      </c>
      <c r="D16" s="11" t="s">
        <v>242</v>
      </c>
      <c r="E16" s="11"/>
      <c r="F16" s="11" t="s">
        <v>4728</v>
      </c>
      <c r="G16" s="11" t="s">
        <v>5413</v>
      </c>
      <c r="H16" s="11"/>
    </row>
    <row r="17" spans="1:8">
      <c r="A17" s="11">
        <v>15</v>
      </c>
      <c r="B17" s="11" t="s">
        <v>617</v>
      </c>
      <c r="C17" s="11">
        <v>1</v>
      </c>
      <c r="D17" s="11" t="s">
        <v>242</v>
      </c>
      <c r="E17" s="11"/>
      <c r="F17" s="11" t="s">
        <v>4716</v>
      </c>
      <c r="G17" s="11" t="s">
        <v>4715</v>
      </c>
      <c r="H17" s="11"/>
    </row>
    <row r="18" spans="1:8" ht="90">
      <c r="A18" s="11">
        <v>16</v>
      </c>
      <c r="B18" s="11" t="s">
        <v>618</v>
      </c>
      <c r="C18" s="11">
        <v>1</v>
      </c>
      <c r="D18" s="11" t="s">
        <v>242</v>
      </c>
      <c r="E18" s="11"/>
      <c r="F18" s="11" t="s">
        <v>1768</v>
      </c>
      <c r="G18" s="11" t="s">
        <v>2924</v>
      </c>
      <c r="H18" s="11"/>
    </row>
    <row r="19" spans="1:8" ht="75">
      <c r="A19" s="11">
        <v>17</v>
      </c>
      <c r="B19" s="11" t="s">
        <v>619</v>
      </c>
      <c r="C19" s="11">
        <v>1</v>
      </c>
      <c r="D19" s="11" t="s">
        <v>242</v>
      </c>
      <c r="E19" s="11"/>
      <c r="F19" s="11" t="s">
        <v>4717</v>
      </c>
      <c r="G19" s="11" t="s">
        <v>3088</v>
      </c>
      <c r="H19" s="11"/>
    </row>
    <row r="20" spans="1:8" ht="60">
      <c r="A20" s="11">
        <v>18</v>
      </c>
      <c r="B20" s="11" t="s">
        <v>620</v>
      </c>
      <c r="C20" s="11">
        <v>1</v>
      </c>
      <c r="D20" s="11" t="s">
        <v>242</v>
      </c>
      <c r="E20" s="11"/>
      <c r="F20" s="11" t="s">
        <v>4721</v>
      </c>
      <c r="G20" s="11" t="s">
        <v>4722</v>
      </c>
      <c r="H20" s="11"/>
    </row>
    <row r="21" spans="1:8">
      <c r="A21" s="11">
        <v>19</v>
      </c>
      <c r="B21" s="11" t="s">
        <v>621</v>
      </c>
      <c r="C21" s="11">
        <v>2</v>
      </c>
      <c r="D21" s="11" t="s">
        <v>242</v>
      </c>
      <c r="E21" s="11"/>
      <c r="F21" s="11" t="s">
        <v>4719</v>
      </c>
      <c r="G21" s="11" t="s">
        <v>4720</v>
      </c>
      <c r="H21" s="11"/>
    </row>
    <row r="22" spans="1:8">
      <c r="A22" s="11">
        <v>20</v>
      </c>
      <c r="B22" s="11" t="s">
        <v>622</v>
      </c>
      <c r="C22" s="11">
        <v>1</v>
      </c>
      <c r="D22" s="11" t="s">
        <v>242</v>
      </c>
      <c r="E22" s="11"/>
      <c r="F22" s="11"/>
      <c r="G22" s="11"/>
      <c r="H22" s="11"/>
    </row>
    <row r="23" spans="1:8" ht="45">
      <c r="A23" s="11">
        <v>21</v>
      </c>
      <c r="B23" s="11" t="s">
        <v>1182</v>
      </c>
      <c r="C23" s="11">
        <v>12</v>
      </c>
      <c r="D23" s="11" t="s">
        <v>189</v>
      </c>
      <c r="E23" s="11" t="s">
        <v>5576</v>
      </c>
      <c r="F23" s="11" t="s">
        <v>1688</v>
      </c>
      <c r="G23" s="11" t="s">
        <v>1689</v>
      </c>
      <c r="H23" s="11"/>
    </row>
    <row r="24" spans="1:8" ht="45">
      <c r="A24" s="11">
        <v>22</v>
      </c>
      <c r="B24" s="11" t="s">
        <v>1183</v>
      </c>
      <c r="C24" s="11">
        <v>30</v>
      </c>
      <c r="D24" s="11" t="s">
        <v>242</v>
      </c>
      <c r="E24" s="11" t="s">
        <v>5576</v>
      </c>
      <c r="F24" s="11" t="s">
        <v>1690</v>
      </c>
      <c r="G24" s="11" t="s">
        <v>1691</v>
      </c>
      <c r="H24" s="11"/>
    </row>
    <row r="35" spans="2:11">
      <c r="J35" s="7"/>
      <c r="K35" s="8"/>
    </row>
    <row r="36" spans="2:11">
      <c r="J36" s="5"/>
      <c r="K36" s="6"/>
    </row>
    <row r="45" spans="2:11">
      <c r="B45" s="9"/>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0E71E-591E-4CB1-BF8F-CE1AC59289A5}">
  <sheetPr codeName="Sheet11"/>
  <dimension ref="A1:K43"/>
  <sheetViews>
    <sheetView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8" width="9.140625" style="1"/>
    <col min="9" max="9" width="57" style="1" customWidth="1"/>
    <col min="10" max="16384" width="9.140625" style="1"/>
  </cols>
  <sheetData>
    <row r="1" spans="1:8">
      <c r="A1" s="3" t="s">
        <v>238</v>
      </c>
      <c r="B1" s="3"/>
      <c r="C1" s="3"/>
      <c r="D1" s="3"/>
      <c r="E1" s="3"/>
      <c r="F1" s="3"/>
      <c r="G1" s="3"/>
      <c r="H1" s="3"/>
    </row>
    <row r="2" spans="1:8">
      <c r="A2" s="10" t="s">
        <v>350</v>
      </c>
      <c r="B2" s="10" t="s">
        <v>156</v>
      </c>
      <c r="C2" s="10" t="s">
        <v>157</v>
      </c>
      <c r="D2" s="10" t="s">
        <v>239</v>
      </c>
      <c r="E2" s="10" t="s">
        <v>159</v>
      </c>
      <c r="F2" s="10" t="s">
        <v>1684</v>
      </c>
      <c r="G2" s="10" t="s">
        <v>1685</v>
      </c>
      <c r="H2" s="10" t="s">
        <v>5363</v>
      </c>
    </row>
    <row r="3" spans="1:8">
      <c r="A3" s="11">
        <v>1</v>
      </c>
      <c r="B3" s="11" t="s">
        <v>240</v>
      </c>
      <c r="C3" s="11">
        <v>8</v>
      </c>
      <c r="D3" s="11" t="s">
        <v>160</v>
      </c>
      <c r="E3" s="11" t="s">
        <v>177</v>
      </c>
      <c r="F3" s="11" t="s">
        <v>1686</v>
      </c>
      <c r="G3" s="11" t="s">
        <v>1687</v>
      </c>
      <c r="H3" s="11" t="s">
        <v>5382</v>
      </c>
    </row>
    <row r="4" spans="1:8" ht="30">
      <c r="A4" s="11">
        <v>2</v>
      </c>
      <c r="B4" s="11" t="s">
        <v>666</v>
      </c>
      <c r="C4" s="11">
        <v>4</v>
      </c>
      <c r="D4" s="11" t="s">
        <v>242</v>
      </c>
      <c r="E4" s="11"/>
      <c r="F4" s="11" t="s">
        <v>4729</v>
      </c>
      <c r="G4" s="11" t="s">
        <v>4744</v>
      </c>
      <c r="H4" s="11" t="s">
        <v>5384</v>
      </c>
    </row>
    <row r="5" spans="1:8" ht="30">
      <c r="A5" s="11">
        <v>3</v>
      </c>
      <c r="B5" s="11" t="s">
        <v>667</v>
      </c>
      <c r="C5" s="11">
        <v>1</v>
      </c>
      <c r="D5" s="11" t="s">
        <v>242</v>
      </c>
      <c r="E5" s="11"/>
      <c r="F5" s="11" t="s">
        <v>4730</v>
      </c>
      <c r="G5" s="11" t="s">
        <v>4745</v>
      </c>
      <c r="H5" s="11"/>
    </row>
    <row r="6" spans="1:8" ht="30">
      <c r="A6" s="11">
        <v>4</v>
      </c>
      <c r="B6" s="11" t="s">
        <v>668</v>
      </c>
      <c r="C6" s="11">
        <v>2</v>
      </c>
      <c r="D6" s="11" t="s">
        <v>242</v>
      </c>
      <c r="E6" s="11"/>
      <c r="F6" s="11" t="s">
        <v>4731</v>
      </c>
      <c r="G6" s="11" t="s">
        <v>4746</v>
      </c>
      <c r="H6" s="11"/>
    </row>
    <row r="7" spans="1:8" ht="30">
      <c r="A7" s="11">
        <v>5</v>
      </c>
      <c r="B7" s="11" t="s">
        <v>669</v>
      </c>
      <c r="C7" s="11">
        <v>1</v>
      </c>
      <c r="D7" s="11" t="s">
        <v>242</v>
      </c>
      <c r="E7" s="11"/>
      <c r="F7" s="11" t="s">
        <v>4732</v>
      </c>
      <c r="G7" s="11" t="s">
        <v>4747</v>
      </c>
      <c r="H7" s="11"/>
    </row>
    <row r="8" spans="1:8" ht="30">
      <c r="A8" s="11">
        <v>6</v>
      </c>
      <c r="B8" s="11" t="s">
        <v>584</v>
      </c>
      <c r="C8" s="11">
        <v>14</v>
      </c>
      <c r="D8" s="11" t="s">
        <v>242</v>
      </c>
      <c r="E8" s="11"/>
      <c r="F8" s="11" t="s">
        <v>5429</v>
      </c>
      <c r="G8" s="11" t="s">
        <v>4748</v>
      </c>
      <c r="H8" s="11"/>
    </row>
    <row r="9" spans="1:8" ht="45">
      <c r="A9" s="11">
        <v>7</v>
      </c>
      <c r="B9" s="11" t="s">
        <v>1182</v>
      </c>
      <c r="C9" s="11">
        <v>12</v>
      </c>
      <c r="D9" s="11" t="s">
        <v>189</v>
      </c>
      <c r="E9" s="11" t="s">
        <v>5576</v>
      </c>
      <c r="F9" s="11" t="s">
        <v>1688</v>
      </c>
      <c r="G9" s="11" t="s">
        <v>1689</v>
      </c>
      <c r="H9" s="11"/>
    </row>
    <row r="10" spans="1:8" ht="45">
      <c r="A10" s="11">
        <v>8</v>
      </c>
      <c r="B10" s="11" t="s">
        <v>1183</v>
      </c>
      <c r="C10" s="11">
        <v>30</v>
      </c>
      <c r="D10" s="11" t="s">
        <v>242</v>
      </c>
      <c r="E10" s="11" t="s">
        <v>5576</v>
      </c>
      <c r="F10" s="11" t="s">
        <v>1690</v>
      </c>
      <c r="G10" s="11" t="s">
        <v>1691</v>
      </c>
      <c r="H10" s="11"/>
    </row>
    <row r="33" spans="2:11">
      <c r="J33" s="7"/>
      <c r="K33" s="8"/>
    </row>
    <row r="34" spans="2:11">
      <c r="J34" s="5"/>
      <c r="K34" s="6"/>
    </row>
    <row r="43" spans="2:11">
      <c r="B43" s="9"/>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188F6-DCA2-471B-9702-E9D6CCDB2615}">
  <sheetPr codeName="Sheet10"/>
  <dimension ref="A1:K64"/>
  <sheetViews>
    <sheetView topLeftCell="A19" workbookViewId="0">
      <selection activeCell="C22" sqref="C22"/>
    </sheetView>
  </sheetViews>
  <sheetFormatPr defaultRowHeight="15"/>
  <cols>
    <col min="1" max="1" width="9.140625" style="1"/>
    <col min="2" max="2" width="18.85546875" style="1" bestFit="1" customWidth="1"/>
    <col min="3" max="4" width="9.140625" style="1"/>
    <col min="5" max="5" width="28.85546875" style="1" customWidth="1"/>
    <col min="6" max="6" width="27.28515625" style="1" customWidth="1"/>
    <col min="7" max="7" width="55.140625" style="1" customWidth="1"/>
    <col min="8" max="16384" width="9.140625" style="1"/>
  </cols>
  <sheetData>
    <row r="1" spans="1:8">
      <c r="A1" s="3" t="s">
        <v>238</v>
      </c>
      <c r="B1" s="3"/>
      <c r="C1" s="3"/>
      <c r="D1" s="3"/>
      <c r="E1" s="3"/>
      <c r="F1" s="3"/>
      <c r="G1" s="3"/>
      <c r="H1" s="3"/>
    </row>
    <row r="2" spans="1:8">
      <c r="A2" s="10" t="s">
        <v>350</v>
      </c>
      <c r="B2" s="10" t="s">
        <v>156</v>
      </c>
      <c r="C2" s="10" t="s">
        <v>157</v>
      </c>
      <c r="D2" s="10" t="s">
        <v>239</v>
      </c>
      <c r="E2" s="10" t="s">
        <v>159</v>
      </c>
      <c r="F2" s="10" t="s">
        <v>1684</v>
      </c>
      <c r="G2" s="10" t="s">
        <v>1685</v>
      </c>
      <c r="H2" s="10" t="s">
        <v>5363</v>
      </c>
    </row>
    <row r="3" spans="1:8">
      <c r="A3" s="11">
        <v>1</v>
      </c>
      <c r="B3" s="11" t="s">
        <v>240</v>
      </c>
      <c r="C3" s="11">
        <v>8</v>
      </c>
      <c r="D3" s="11" t="s">
        <v>160</v>
      </c>
      <c r="E3" s="11" t="s">
        <v>177</v>
      </c>
      <c r="F3" s="11" t="s">
        <v>1686</v>
      </c>
      <c r="G3" s="11" t="s">
        <v>1687</v>
      </c>
      <c r="H3" s="11" t="s">
        <v>5382</v>
      </c>
    </row>
    <row r="4" spans="1:8" ht="30">
      <c r="A4" s="11">
        <v>2</v>
      </c>
      <c r="B4" s="11" t="s">
        <v>623</v>
      </c>
      <c r="C4" s="11">
        <v>3</v>
      </c>
      <c r="D4" s="11" t="s">
        <v>242</v>
      </c>
      <c r="E4" s="11"/>
      <c r="F4" s="11" t="s">
        <v>5414</v>
      </c>
      <c r="G4" s="11" t="s">
        <v>5219</v>
      </c>
      <c r="H4" s="11" t="s">
        <v>5384</v>
      </c>
    </row>
    <row r="5" spans="1:8" ht="30">
      <c r="A5" s="11">
        <v>3</v>
      </c>
      <c r="B5" s="11" t="s">
        <v>624</v>
      </c>
      <c r="C5" s="11">
        <v>1</v>
      </c>
      <c r="D5" s="11" t="s">
        <v>242</v>
      </c>
      <c r="E5" s="11"/>
      <c r="F5" s="11" t="s">
        <v>5220</v>
      </c>
      <c r="G5" s="11" t="s">
        <v>5221</v>
      </c>
      <c r="H5" s="11"/>
    </row>
    <row r="6" spans="1:8" ht="30">
      <c r="A6" s="11">
        <v>4</v>
      </c>
      <c r="B6" s="11" t="s">
        <v>625</v>
      </c>
      <c r="C6" s="11">
        <v>1</v>
      </c>
      <c r="D6" s="11" t="s">
        <v>242</v>
      </c>
      <c r="E6" s="11"/>
      <c r="F6" s="11" t="s">
        <v>5222</v>
      </c>
      <c r="G6" s="11" t="s">
        <v>5223</v>
      </c>
      <c r="H6" s="11"/>
    </row>
    <row r="7" spans="1:8" ht="30">
      <c r="A7" s="11">
        <v>5</v>
      </c>
      <c r="B7" s="11" t="s">
        <v>626</v>
      </c>
      <c r="C7" s="11">
        <v>30</v>
      </c>
      <c r="D7" s="11" t="s">
        <v>242</v>
      </c>
      <c r="E7" s="11"/>
      <c r="F7" s="11" t="s">
        <v>5224</v>
      </c>
      <c r="G7" s="11" t="s">
        <v>5225</v>
      </c>
      <c r="H7" s="11"/>
    </row>
    <row r="8" spans="1:8" ht="30">
      <c r="A8" s="11">
        <v>6</v>
      </c>
      <c r="B8" s="11" t="s">
        <v>627</v>
      </c>
      <c r="C8" s="11">
        <v>3</v>
      </c>
      <c r="D8" s="11" t="s">
        <v>242</v>
      </c>
      <c r="E8" s="11"/>
      <c r="F8" s="11" t="s">
        <v>5226</v>
      </c>
      <c r="G8" s="11" t="s">
        <v>5415</v>
      </c>
      <c r="H8" s="11"/>
    </row>
    <row r="9" spans="1:8" ht="30">
      <c r="A9" s="11">
        <v>7</v>
      </c>
      <c r="B9" s="11" t="s">
        <v>628</v>
      </c>
      <c r="C9" s="11">
        <v>1</v>
      </c>
      <c r="D9" s="11" t="s">
        <v>242</v>
      </c>
      <c r="E9" s="11"/>
      <c r="F9" s="11" t="s">
        <v>4945</v>
      </c>
      <c r="G9" s="11" t="s">
        <v>5227</v>
      </c>
      <c r="H9" s="11"/>
    </row>
    <row r="10" spans="1:8" ht="30">
      <c r="A10" s="11">
        <v>8</v>
      </c>
      <c r="B10" s="11" t="s">
        <v>629</v>
      </c>
      <c r="C10" s="11">
        <v>3</v>
      </c>
      <c r="D10" s="11" t="s">
        <v>242</v>
      </c>
      <c r="E10" s="11"/>
      <c r="F10" s="11" t="s">
        <v>5228</v>
      </c>
      <c r="G10" s="11" t="s">
        <v>5229</v>
      </c>
      <c r="H10" s="11"/>
    </row>
    <row r="11" spans="1:8" ht="30">
      <c r="A11" s="11">
        <v>9</v>
      </c>
      <c r="B11" s="11" t="s">
        <v>630</v>
      </c>
      <c r="C11" s="11">
        <v>1</v>
      </c>
      <c r="D11" s="11" t="s">
        <v>242</v>
      </c>
      <c r="E11" s="11"/>
      <c r="F11" s="11" t="s">
        <v>5230</v>
      </c>
      <c r="G11" s="11" t="s">
        <v>5231</v>
      </c>
      <c r="H11" s="11"/>
    </row>
    <row r="12" spans="1:8" ht="30">
      <c r="A12" s="11">
        <v>10</v>
      </c>
      <c r="B12" s="11" t="s">
        <v>631</v>
      </c>
      <c r="C12" s="11">
        <v>1</v>
      </c>
      <c r="D12" s="11" t="s">
        <v>242</v>
      </c>
      <c r="E12" s="11"/>
      <c r="F12" s="11" t="s">
        <v>5232</v>
      </c>
      <c r="G12" s="11" t="s">
        <v>5233</v>
      </c>
      <c r="H12" s="11"/>
    </row>
    <row r="13" spans="1:8" ht="30">
      <c r="A13" s="11">
        <v>11</v>
      </c>
      <c r="B13" s="11" t="s">
        <v>632</v>
      </c>
      <c r="C13" s="11">
        <v>3</v>
      </c>
      <c r="D13" s="11" t="s">
        <v>242</v>
      </c>
      <c r="E13" s="11"/>
      <c r="F13" s="11" t="s">
        <v>5234</v>
      </c>
      <c r="G13" s="11" t="s">
        <v>5235</v>
      </c>
      <c r="H13" s="11"/>
    </row>
    <row r="14" spans="1:8" ht="30">
      <c r="A14" s="11">
        <v>12</v>
      </c>
      <c r="B14" s="11" t="s">
        <v>633</v>
      </c>
      <c r="C14" s="11">
        <v>2</v>
      </c>
      <c r="D14" s="11" t="s">
        <v>242</v>
      </c>
      <c r="E14" s="11"/>
      <c r="F14" s="11" t="s">
        <v>5236</v>
      </c>
      <c r="G14" s="11" t="s">
        <v>5237</v>
      </c>
      <c r="H14" s="11"/>
    </row>
    <row r="15" spans="1:8" ht="30">
      <c r="A15" s="11">
        <v>13</v>
      </c>
      <c r="B15" s="11" t="s">
        <v>634</v>
      </c>
      <c r="C15" s="11">
        <v>1</v>
      </c>
      <c r="D15" s="11" t="s">
        <v>242</v>
      </c>
      <c r="E15" s="11"/>
      <c r="F15" s="11" t="s">
        <v>5238</v>
      </c>
      <c r="G15" s="11" t="s">
        <v>5239</v>
      </c>
      <c r="H15" s="11"/>
    </row>
    <row r="16" spans="1:8" ht="30">
      <c r="A16" s="11">
        <v>14</v>
      </c>
      <c r="B16" s="11" t="s">
        <v>216</v>
      </c>
      <c r="C16" s="11">
        <v>1</v>
      </c>
      <c r="D16" s="11" t="s">
        <v>242</v>
      </c>
      <c r="E16" s="11"/>
      <c r="F16" s="11" t="s">
        <v>5240</v>
      </c>
      <c r="G16" s="11" t="s">
        <v>5241</v>
      </c>
      <c r="H16" s="11"/>
    </row>
    <row r="17" spans="1:8" ht="30">
      <c r="A17" s="11">
        <v>15</v>
      </c>
      <c r="B17" s="11" t="s">
        <v>635</v>
      </c>
      <c r="C17" s="11">
        <v>3</v>
      </c>
      <c r="D17" s="11" t="s">
        <v>242</v>
      </c>
      <c r="E17" s="11"/>
      <c r="F17" s="11" t="s">
        <v>5242</v>
      </c>
      <c r="G17" s="11" t="s">
        <v>5243</v>
      </c>
      <c r="H17" s="11"/>
    </row>
    <row r="18" spans="1:8" ht="30">
      <c r="A18" s="11">
        <v>16</v>
      </c>
      <c r="B18" s="11" t="s">
        <v>636</v>
      </c>
      <c r="C18" s="11">
        <v>3</v>
      </c>
      <c r="D18" s="11" t="s">
        <v>242</v>
      </c>
      <c r="E18" s="11"/>
      <c r="F18" s="11" t="s">
        <v>5244</v>
      </c>
      <c r="G18" s="11" t="s">
        <v>5245</v>
      </c>
      <c r="H18" s="11"/>
    </row>
    <row r="19" spans="1:8" ht="30">
      <c r="A19" s="11">
        <v>17</v>
      </c>
      <c r="B19" s="11" t="s">
        <v>637</v>
      </c>
      <c r="C19" s="11">
        <v>1</v>
      </c>
      <c r="D19" s="11" t="s">
        <v>242</v>
      </c>
      <c r="E19" s="11"/>
      <c r="F19" s="11" t="s">
        <v>5246</v>
      </c>
      <c r="G19" s="11" t="s">
        <v>5247</v>
      </c>
      <c r="H19" s="11"/>
    </row>
    <row r="20" spans="1:8" ht="30">
      <c r="A20" s="11">
        <v>18</v>
      </c>
      <c r="B20" s="11" t="s">
        <v>638</v>
      </c>
      <c r="C20" s="11">
        <v>3</v>
      </c>
      <c r="D20" s="11" t="s">
        <v>242</v>
      </c>
      <c r="E20" s="11"/>
      <c r="F20" s="11" t="s">
        <v>5248</v>
      </c>
      <c r="G20" s="11" t="s">
        <v>5249</v>
      </c>
      <c r="H20" s="11"/>
    </row>
    <row r="21" spans="1:8" ht="30">
      <c r="A21" s="11">
        <v>19</v>
      </c>
      <c r="B21" s="11" t="s">
        <v>639</v>
      </c>
      <c r="C21" s="11">
        <v>3</v>
      </c>
      <c r="D21" s="11" t="s">
        <v>242</v>
      </c>
      <c r="E21" s="11"/>
      <c r="F21" s="11" t="s">
        <v>5250</v>
      </c>
      <c r="G21" s="11" t="s">
        <v>5251</v>
      </c>
      <c r="H21" s="11"/>
    </row>
    <row r="22" spans="1:8" ht="30">
      <c r="A22" s="11">
        <v>20</v>
      </c>
      <c r="B22" s="11" t="s">
        <v>640</v>
      </c>
      <c r="C22" s="11">
        <v>3</v>
      </c>
      <c r="D22" s="11" t="s">
        <v>242</v>
      </c>
      <c r="E22" s="11"/>
      <c r="F22" s="11" t="s">
        <v>5252</v>
      </c>
      <c r="G22" s="11" t="s">
        <v>5253</v>
      </c>
      <c r="H22" s="11"/>
    </row>
    <row r="23" spans="1:8" ht="30">
      <c r="A23" s="11">
        <v>21</v>
      </c>
      <c r="B23" s="11" t="s">
        <v>641</v>
      </c>
      <c r="C23" s="11">
        <v>3</v>
      </c>
      <c r="D23" s="11" t="s">
        <v>242</v>
      </c>
      <c r="E23" s="11"/>
      <c r="F23" s="11" t="s">
        <v>5254</v>
      </c>
      <c r="G23" s="11" t="s">
        <v>5255</v>
      </c>
      <c r="H23" s="11"/>
    </row>
    <row r="24" spans="1:8" ht="30">
      <c r="A24" s="11">
        <v>22</v>
      </c>
      <c r="B24" s="11" t="s">
        <v>642</v>
      </c>
      <c r="C24" s="11">
        <v>3</v>
      </c>
      <c r="D24" s="11" t="s">
        <v>242</v>
      </c>
      <c r="E24" s="11"/>
      <c r="F24" s="11" t="s">
        <v>5256</v>
      </c>
      <c r="G24" s="11" t="s">
        <v>5257</v>
      </c>
      <c r="H24" s="11"/>
    </row>
    <row r="25" spans="1:8" ht="30">
      <c r="A25" s="11">
        <v>23</v>
      </c>
      <c r="B25" s="11" t="s">
        <v>643</v>
      </c>
      <c r="C25" s="11">
        <v>2</v>
      </c>
      <c r="D25" s="11" t="s">
        <v>242</v>
      </c>
      <c r="E25" s="11"/>
      <c r="F25" s="11" t="s">
        <v>5258</v>
      </c>
      <c r="G25" s="11" t="s">
        <v>5259</v>
      </c>
      <c r="H25" s="11"/>
    </row>
    <row r="26" spans="1:8" ht="30">
      <c r="A26" s="11">
        <v>24</v>
      </c>
      <c r="B26" s="11" t="s">
        <v>644</v>
      </c>
      <c r="C26" s="11">
        <v>1</v>
      </c>
      <c r="D26" s="11" t="s">
        <v>242</v>
      </c>
      <c r="E26" s="11"/>
      <c r="F26" s="11" t="s">
        <v>5260</v>
      </c>
      <c r="G26" s="11" t="s">
        <v>5261</v>
      </c>
      <c r="H26" s="11"/>
    </row>
    <row r="27" spans="1:8" ht="30">
      <c r="A27" s="11">
        <v>25</v>
      </c>
      <c r="B27" s="11" t="s">
        <v>645</v>
      </c>
      <c r="C27" s="11">
        <v>1</v>
      </c>
      <c r="D27" s="11" t="s">
        <v>242</v>
      </c>
      <c r="E27" s="11"/>
      <c r="F27" s="11" t="s">
        <v>4941</v>
      </c>
      <c r="G27" s="11" t="s">
        <v>5262</v>
      </c>
      <c r="H27" s="11"/>
    </row>
    <row r="28" spans="1:8" ht="30">
      <c r="A28" s="11">
        <v>26</v>
      </c>
      <c r="B28" s="11" t="s">
        <v>646</v>
      </c>
      <c r="C28" s="11">
        <v>2</v>
      </c>
      <c r="D28" s="11" t="s">
        <v>242</v>
      </c>
      <c r="E28" s="11"/>
      <c r="F28" s="11" t="s">
        <v>5263</v>
      </c>
      <c r="G28" s="11" t="s">
        <v>5264</v>
      </c>
      <c r="H28" s="11"/>
    </row>
    <row r="29" spans="1:8" ht="30">
      <c r="A29" s="11">
        <v>27</v>
      </c>
      <c r="B29" s="11" t="s">
        <v>647</v>
      </c>
      <c r="C29" s="11">
        <v>2</v>
      </c>
      <c r="D29" s="11" t="s">
        <v>242</v>
      </c>
      <c r="E29" s="11"/>
      <c r="F29" s="11" t="s">
        <v>5265</v>
      </c>
      <c r="G29" s="11" t="s">
        <v>5266</v>
      </c>
      <c r="H29" s="11"/>
    </row>
    <row r="30" spans="1:8" ht="30">
      <c r="A30" s="11">
        <v>28</v>
      </c>
      <c r="B30" s="11" t="s">
        <v>648</v>
      </c>
      <c r="C30" s="11">
        <v>1</v>
      </c>
      <c r="D30" s="11" t="s">
        <v>242</v>
      </c>
      <c r="E30" s="11"/>
      <c r="F30" s="11" t="s">
        <v>5267</v>
      </c>
      <c r="G30" s="11" t="s">
        <v>5268</v>
      </c>
      <c r="H30" s="11"/>
    </row>
    <row r="31" spans="1:8" ht="30">
      <c r="A31" s="11">
        <v>29</v>
      </c>
      <c r="B31" s="11" t="s">
        <v>649</v>
      </c>
      <c r="C31" s="11">
        <v>1</v>
      </c>
      <c r="D31" s="11" t="s">
        <v>242</v>
      </c>
      <c r="E31" s="11"/>
      <c r="F31" s="11" t="s">
        <v>5269</v>
      </c>
      <c r="G31" s="11" t="s">
        <v>5270</v>
      </c>
      <c r="H31" s="11"/>
    </row>
    <row r="32" spans="1:8" ht="30">
      <c r="A32" s="11">
        <v>30</v>
      </c>
      <c r="B32" s="11" t="s">
        <v>278</v>
      </c>
      <c r="C32" s="11">
        <v>1</v>
      </c>
      <c r="D32" s="11" t="s">
        <v>242</v>
      </c>
      <c r="E32" s="11"/>
      <c r="F32" s="11" t="s">
        <v>5271</v>
      </c>
      <c r="G32" s="11" t="s">
        <v>5272</v>
      </c>
      <c r="H32" s="11"/>
    </row>
    <row r="33" spans="1:11" ht="30">
      <c r="A33" s="11">
        <v>31</v>
      </c>
      <c r="B33" s="11" t="s">
        <v>650</v>
      </c>
      <c r="C33" s="11">
        <v>2</v>
      </c>
      <c r="D33" s="11" t="s">
        <v>242</v>
      </c>
      <c r="E33" s="11"/>
      <c r="F33" s="11" t="s">
        <v>5273</v>
      </c>
      <c r="G33" s="11" t="s">
        <v>5274</v>
      </c>
      <c r="H33" s="11"/>
    </row>
    <row r="34" spans="1:11" ht="30">
      <c r="A34" s="11">
        <v>32</v>
      </c>
      <c r="B34" s="11" t="s">
        <v>279</v>
      </c>
      <c r="C34" s="11">
        <v>2</v>
      </c>
      <c r="D34" s="11" t="s">
        <v>242</v>
      </c>
      <c r="E34" s="11"/>
      <c r="F34" s="11" t="s">
        <v>5275</v>
      </c>
      <c r="G34" s="11" t="s">
        <v>5276</v>
      </c>
      <c r="H34" s="11"/>
    </row>
    <row r="35" spans="1:11" ht="30">
      <c r="A35" s="11">
        <v>33</v>
      </c>
      <c r="B35" s="11" t="s">
        <v>651</v>
      </c>
      <c r="C35" s="11">
        <v>1</v>
      </c>
      <c r="D35" s="11" t="s">
        <v>242</v>
      </c>
      <c r="E35" s="11"/>
      <c r="F35" s="11" t="s">
        <v>5277</v>
      </c>
      <c r="G35" s="11" t="s">
        <v>5278</v>
      </c>
      <c r="H35" s="11"/>
      <c r="J35" s="7"/>
      <c r="K35" s="8"/>
    </row>
    <row r="36" spans="1:11" ht="30">
      <c r="A36" s="11">
        <v>34</v>
      </c>
      <c r="B36" s="11" t="s">
        <v>652</v>
      </c>
      <c r="C36" s="11">
        <v>2</v>
      </c>
      <c r="D36" s="11" t="s">
        <v>242</v>
      </c>
      <c r="E36" s="11"/>
      <c r="F36" s="11" t="s">
        <v>5279</v>
      </c>
      <c r="G36" s="11" t="s">
        <v>5280</v>
      </c>
      <c r="H36" s="11"/>
      <c r="J36" s="5"/>
      <c r="K36" s="6"/>
    </row>
    <row r="37" spans="1:11" ht="30">
      <c r="A37" s="11">
        <v>35</v>
      </c>
      <c r="B37" s="11" t="s">
        <v>653</v>
      </c>
      <c r="C37" s="11">
        <v>2</v>
      </c>
      <c r="D37" s="11" t="s">
        <v>242</v>
      </c>
      <c r="E37" s="11"/>
      <c r="F37" s="11" t="s">
        <v>5281</v>
      </c>
      <c r="G37" s="11" t="s">
        <v>5282</v>
      </c>
      <c r="H37" s="11"/>
    </row>
    <row r="38" spans="1:11" ht="30">
      <c r="A38" s="11">
        <v>36</v>
      </c>
      <c r="B38" s="11" t="s">
        <v>654</v>
      </c>
      <c r="C38" s="11">
        <v>1</v>
      </c>
      <c r="D38" s="11" t="s">
        <v>242</v>
      </c>
      <c r="E38" s="11"/>
      <c r="F38" s="11" t="s">
        <v>5283</v>
      </c>
      <c r="G38" s="11" t="s">
        <v>5284</v>
      </c>
      <c r="H38" s="11"/>
    </row>
    <row r="39" spans="1:11" ht="30">
      <c r="A39" s="11">
        <v>37</v>
      </c>
      <c r="B39" s="11" t="s">
        <v>655</v>
      </c>
      <c r="C39" s="11">
        <v>5</v>
      </c>
      <c r="D39" s="11" t="s">
        <v>242</v>
      </c>
      <c r="E39" s="11"/>
      <c r="F39" s="11" t="s">
        <v>5285</v>
      </c>
      <c r="G39" s="11" t="s">
        <v>5286</v>
      </c>
      <c r="H39" s="11"/>
    </row>
    <row r="40" spans="1:11" ht="30">
      <c r="A40" s="11">
        <v>38</v>
      </c>
      <c r="B40" s="11" t="s">
        <v>656</v>
      </c>
      <c r="C40" s="11">
        <v>5</v>
      </c>
      <c r="D40" s="11" t="s">
        <v>242</v>
      </c>
      <c r="E40" s="11"/>
      <c r="F40" s="11" t="s">
        <v>5287</v>
      </c>
      <c r="G40" s="11" t="s">
        <v>5288</v>
      </c>
      <c r="H40" s="11"/>
    </row>
    <row r="41" spans="1:11" ht="30">
      <c r="A41" s="11">
        <v>39</v>
      </c>
      <c r="B41" s="11" t="s">
        <v>657</v>
      </c>
      <c r="C41" s="11">
        <v>5</v>
      </c>
      <c r="D41" s="11" t="s">
        <v>242</v>
      </c>
      <c r="E41" s="11"/>
      <c r="F41" s="11" t="s">
        <v>5289</v>
      </c>
      <c r="G41" s="11" t="s">
        <v>5290</v>
      </c>
      <c r="H41" s="11"/>
    </row>
    <row r="42" spans="1:11" ht="30">
      <c r="A42" s="11">
        <v>40</v>
      </c>
      <c r="B42" s="11" t="s">
        <v>658</v>
      </c>
      <c r="C42" s="11">
        <v>5</v>
      </c>
      <c r="D42" s="11" t="s">
        <v>242</v>
      </c>
      <c r="E42" s="11"/>
      <c r="F42" s="11" t="s">
        <v>5291</v>
      </c>
      <c r="G42" s="11" t="s">
        <v>5292</v>
      </c>
      <c r="H42" s="11"/>
    </row>
    <row r="43" spans="1:11" ht="30">
      <c r="A43" s="11">
        <v>41</v>
      </c>
      <c r="B43" s="11" t="s">
        <v>659</v>
      </c>
      <c r="C43" s="11">
        <v>1</v>
      </c>
      <c r="D43" s="11" t="s">
        <v>242</v>
      </c>
      <c r="E43" s="11"/>
      <c r="F43" s="11" t="s">
        <v>5293</v>
      </c>
      <c r="G43" s="11" t="s">
        <v>5294</v>
      </c>
      <c r="H43" s="11"/>
    </row>
    <row r="44" spans="1:11" ht="30">
      <c r="A44" s="11">
        <v>42</v>
      </c>
      <c r="B44" s="11" t="s">
        <v>660</v>
      </c>
      <c r="C44" s="11">
        <v>1</v>
      </c>
      <c r="D44" s="11" t="s">
        <v>242</v>
      </c>
      <c r="E44" s="11"/>
      <c r="F44" s="11" t="s">
        <v>5295</v>
      </c>
      <c r="G44" s="11" t="s">
        <v>5296</v>
      </c>
      <c r="H44" s="11"/>
    </row>
    <row r="45" spans="1:11" ht="30">
      <c r="A45" s="11">
        <v>43</v>
      </c>
      <c r="B45" s="13" t="s">
        <v>661</v>
      </c>
      <c r="C45" s="11">
        <v>1</v>
      </c>
      <c r="D45" s="11" t="s">
        <v>242</v>
      </c>
      <c r="E45" s="11"/>
      <c r="F45" s="11" t="s">
        <v>5297</v>
      </c>
      <c r="G45" s="11" t="s">
        <v>5298</v>
      </c>
      <c r="H45" s="11"/>
    </row>
    <row r="46" spans="1:11" ht="30">
      <c r="A46" s="11">
        <v>44</v>
      </c>
      <c r="B46" s="11" t="s">
        <v>662</v>
      </c>
      <c r="C46" s="11">
        <v>1</v>
      </c>
      <c r="D46" s="11" t="s">
        <v>242</v>
      </c>
      <c r="E46" s="11"/>
      <c r="F46" s="11" t="s">
        <v>5299</v>
      </c>
      <c r="G46" s="11" t="s">
        <v>5300</v>
      </c>
      <c r="H46" s="11"/>
    </row>
    <row r="47" spans="1:11" ht="30">
      <c r="A47" s="11">
        <v>45</v>
      </c>
      <c r="B47" s="11" t="s">
        <v>663</v>
      </c>
      <c r="C47" s="11">
        <v>1</v>
      </c>
      <c r="D47" s="11" t="s">
        <v>242</v>
      </c>
      <c r="E47" s="11"/>
      <c r="F47" s="11" t="s">
        <v>5301</v>
      </c>
      <c r="G47" s="11" t="s">
        <v>5302</v>
      </c>
      <c r="H47" s="11"/>
    </row>
    <row r="48" spans="1:11" ht="30">
      <c r="A48" s="11">
        <v>46</v>
      </c>
      <c r="B48" s="11" t="s">
        <v>664</v>
      </c>
      <c r="C48" s="11">
        <v>1</v>
      </c>
      <c r="D48" s="11" t="s">
        <v>242</v>
      </c>
      <c r="E48" s="11"/>
      <c r="F48" s="11" t="s">
        <v>5303</v>
      </c>
      <c r="G48" s="11" t="s">
        <v>5305</v>
      </c>
      <c r="H48" s="11"/>
    </row>
    <row r="49" spans="1:8">
      <c r="A49" s="11">
        <v>47</v>
      </c>
      <c r="B49" s="11" t="s">
        <v>665</v>
      </c>
      <c r="C49" s="11">
        <v>1</v>
      </c>
      <c r="D49" s="11" t="s">
        <v>242</v>
      </c>
      <c r="E49" s="11"/>
      <c r="F49" s="11" t="s">
        <v>5304</v>
      </c>
      <c r="G49" s="11" t="s">
        <v>5306</v>
      </c>
      <c r="H49" s="11"/>
    </row>
    <row r="50" spans="1:8" ht="30">
      <c r="A50" s="11">
        <v>48</v>
      </c>
      <c r="B50" s="11" t="s">
        <v>670</v>
      </c>
      <c r="C50" s="11">
        <v>16</v>
      </c>
      <c r="D50" s="11" t="s">
        <v>189</v>
      </c>
      <c r="E50" s="11" t="s">
        <v>1266</v>
      </c>
      <c r="F50" s="11" t="s">
        <v>4733</v>
      </c>
      <c r="G50" s="11" t="s">
        <v>4750</v>
      </c>
      <c r="H50" s="11"/>
    </row>
    <row r="51" spans="1:8" ht="30">
      <c r="A51" s="11">
        <v>49</v>
      </c>
      <c r="B51" s="11" t="s">
        <v>671</v>
      </c>
      <c r="C51" s="11">
        <v>1</v>
      </c>
      <c r="D51" s="11" t="s">
        <v>242</v>
      </c>
      <c r="E51" s="11"/>
      <c r="F51" s="11" t="s">
        <v>4734</v>
      </c>
      <c r="G51" s="11" t="s">
        <v>4751</v>
      </c>
      <c r="H51" s="11"/>
    </row>
    <row r="52" spans="1:8" ht="30">
      <c r="A52" s="11">
        <v>50</v>
      </c>
      <c r="B52" s="11" t="s">
        <v>672</v>
      </c>
      <c r="C52" s="11">
        <v>3</v>
      </c>
      <c r="D52" s="11" t="s">
        <v>242</v>
      </c>
      <c r="E52" s="11"/>
      <c r="F52" s="11" t="s">
        <v>4735</v>
      </c>
      <c r="G52" s="11" t="s">
        <v>4820</v>
      </c>
      <c r="H52" s="11"/>
    </row>
    <row r="53" spans="1:8" ht="30">
      <c r="A53" s="11">
        <v>51</v>
      </c>
      <c r="B53" s="11" t="s">
        <v>673</v>
      </c>
      <c r="C53" s="11">
        <v>1</v>
      </c>
      <c r="D53" s="11" t="s">
        <v>242</v>
      </c>
      <c r="E53" s="11"/>
      <c r="F53" s="11" t="s">
        <v>4826</v>
      </c>
      <c r="G53" s="11" t="s">
        <v>4827</v>
      </c>
      <c r="H53" s="11"/>
    </row>
    <row r="54" spans="1:8" ht="30">
      <c r="A54" s="11">
        <v>52</v>
      </c>
      <c r="B54" s="11" t="s">
        <v>674</v>
      </c>
      <c r="C54" s="11">
        <v>1</v>
      </c>
      <c r="D54" s="11" t="s">
        <v>242</v>
      </c>
      <c r="E54" s="11"/>
      <c r="F54" s="11" t="s">
        <v>4822</v>
      </c>
      <c r="G54" s="11" t="s">
        <v>4738</v>
      </c>
      <c r="H54" s="11"/>
    </row>
    <row r="55" spans="1:8" ht="30">
      <c r="A55" s="11">
        <v>53</v>
      </c>
      <c r="B55" s="11" t="s">
        <v>675</v>
      </c>
      <c r="C55" s="11">
        <v>1</v>
      </c>
      <c r="D55" s="11" t="s">
        <v>242</v>
      </c>
      <c r="E55" s="11"/>
      <c r="F55" s="11" t="s">
        <v>4823</v>
      </c>
      <c r="G55" s="11" t="s">
        <v>4739</v>
      </c>
      <c r="H55" s="11"/>
    </row>
    <row r="56" spans="1:8" ht="30">
      <c r="A56" s="11">
        <v>54</v>
      </c>
      <c r="B56" s="11" t="s">
        <v>676</v>
      </c>
      <c r="C56" s="11">
        <v>12</v>
      </c>
      <c r="D56" s="11" t="s">
        <v>242</v>
      </c>
      <c r="E56" s="11"/>
      <c r="F56" s="11" t="s">
        <v>4824</v>
      </c>
      <c r="G56" s="11" t="s">
        <v>4740</v>
      </c>
      <c r="H56" s="11"/>
    </row>
    <row r="57" spans="1:8" ht="30">
      <c r="A57" s="11">
        <v>55</v>
      </c>
      <c r="B57" s="11" t="s">
        <v>677</v>
      </c>
      <c r="C57" s="11">
        <v>1</v>
      </c>
      <c r="D57" s="11" t="s">
        <v>242</v>
      </c>
      <c r="E57" s="11"/>
      <c r="F57" s="11" t="s">
        <v>4736</v>
      </c>
      <c r="G57" s="11" t="s">
        <v>4752</v>
      </c>
      <c r="H57" s="11"/>
    </row>
    <row r="58" spans="1:8" ht="30">
      <c r="A58" s="11">
        <v>56</v>
      </c>
      <c r="B58" s="11" t="s">
        <v>678</v>
      </c>
      <c r="C58" s="11">
        <v>1</v>
      </c>
      <c r="D58" s="11" t="s">
        <v>242</v>
      </c>
      <c r="E58" s="11"/>
      <c r="F58" s="11" t="s">
        <v>4821</v>
      </c>
      <c r="G58" s="11" t="s">
        <v>4753</v>
      </c>
      <c r="H58" s="11"/>
    </row>
    <row r="59" spans="1:8" ht="30">
      <c r="A59" s="11">
        <v>57</v>
      </c>
      <c r="B59" s="11" t="s">
        <v>679</v>
      </c>
      <c r="C59" s="11">
        <v>3</v>
      </c>
      <c r="D59" s="11" t="s">
        <v>242</v>
      </c>
      <c r="E59" s="11"/>
      <c r="F59" s="11" t="s">
        <v>4737</v>
      </c>
      <c r="G59" s="11" t="s">
        <v>4754</v>
      </c>
      <c r="H59" s="11"/>
    </row>
    <row r="60" spans="1:8" ht="30">
      <c r="A60" s="11">
        <v>58</v>
      </c>
      <c r="B60" s="11" t="s">
        <v>680</v>
      </c>
      <c r="C60" s="11">
        <v>1</v>
      </c>
      <c r="D60" s="11" t="s">
        <v>242</v>
      </c>
      <c r="E60" s="11"/>
      <c r="F60" s="11" t="s">
        <v>4825</v>
      </c>
      <c r="G60" s="11" t="s">
        <v>4741</v>
      </c>
      <c r="H60" s="11"/>
    </row>
    <row r="61" spans="1:8" ht="30">
      <c r="A61" s="11">
        <v>59</v>
      </c>
      <c r="B61" s="11" t="s">
        <v>681</v>
      </c>
      <c r="C61" s="11">
        <v>1</v>
      </c>
      <c r="D61" s="11" t="s">
        <v>242</v>
      </c>
      <c r="E61" s="11"/>
      <c r="F61" s="11" t="s">
        <v>4742</v>
      </c>
      <c r="G61" s="11" t="s">
        <v>4755</v>
      </c>
      <c r="H61" s="11"/>
    </row>
    <row r="62" spans="1:8" ht="30">
      <c r="A62" s="11">
        <v>60</v>
      </c>
      <c r="B62" s="11" t="s">
        <v>682</v>
      </c>
      <c r="C62" s="11">
        <v>3</v>
      </c>
      <c r="D62" s="11" t="s">
        <v>242</v>
      </c>
      <c r="E62" s="11"/>
      <c r="F62" s="11" t="s">
        <v>4743</v>
      </c>
      <c r="G62" s="11" t="s">
        <v>4756</v>
      </c>
      <c r="H62" s="11"/>
    </row>
    <row r="63" spans="1:8">
      <c r="A63" s="11">
        <v>61</v>
      </c>
      <c r="B63" s="11" t="s">
        <v>1182</v>
      </c>
      <c r="C63" s="11">
        <v>12</v>
      </c>
      <c r="D63" s="11" t="s">
        <v>189</v>
      </c>
      <c r="E63" s="11" t="s">
        <v>5576</v>
      </c>
      <c r="F63" s="11" t="s">
        <v>1688</v>
      </c>
      <c r="G63" s="11" t="s">
        <v>1689</v>
      </c>
      <c r="H63" s="11"/>
    </row>
    <row r="64" spans="1:8" ht="30">
      <c r="A64" s="11">
        <v>62</v>
      </c>
      <c r="B64" s="11" t="s">
        <v>1183</v>
      </c>
      <c r="C64" s="11">
        <v>30</v>
      </c>
      <c r="D64" s="11" t="s">
        <v>242</v>
      </c>
      <c r="E64" s="11" t="s">
        <v>5576</v>
      </c>
      <c r="F64" s="11" t="s">
        <v>1690</v>
      </c>
      <c r="G64" s="11" t="s">
        <v>1691</v>
      </c>
      <c r="H64" s="1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9E647-F04C-47B4-B961-72E4E0255F91}">
  <sheetPr codeName="Sheet32"/>
  <dimension ref="A1:K31"/>
  <sheetViews>
    <sheetView workbookViewId="0">
      <selection activeCell="C22" sqref="C22"/>
    </sheetView>
  </sheetViews>
  <sheetFormatPr defaultRowHeight="15"/>
  <cols>
    <col min="1" max="1" width="9.140625" style="38"/>
    <col min="2" max="2" width="18.85546875" style="38" bestFit="1" customWidth="1"/>
    <col min="3" max="4" width="9.140625" style="38"/>
    <col min="5" max="5" width="11" style="38" bestFit="1" customWidth="1"/>
    <col min="6" max="6" width="27.28515625" style="38" customWidth="1"/>
    <col min="7" max="7" width="55.140625" style="38" customWidth="1"/>
    <col min="8" max="16384" width="9.140625" style="38"/>
  </cols>
  <sheetData>
    <row r="1" spans="1:9">
      <c r="A1" s="36" t="s">
        <v>238</v>
      </c>
      <c r="B1" s="36"/>
      <c r="C1" s="36"/>
      <c r="D1" s="36"/>
      <c r="E1" s="36"/>
      <c r="F1" s="36"/>
      <c r="G1" s="36"/>
      <c r="H1" s="92" t="s">
        <v>5363</v>
      </c>
      <c r="I1" s="93"/>
    </row>
    <row r="2" spans="1:9">
      <c r="A2" s="10" t="s">
        <v>350</v>
      </c>
      <c r="B2" s="10" t="s">
        <v>156</v>
      </c>
      <c r="C2" s="10" t="s">
        <v>157</v>
      </c>
      <c r="D2" s="10" t="s">
        <v>239</v>
      </c>
      <c r="E2" s="10" t="s">
        <v>159</v>
      </c>
      <c r="F2" s="10" t="s">
        <v>1684</v>
      </c>
      <c r="G2" s="10" t="s">
        <v>1685</v>
      </c>
      <c r="H2" s="10" t="s">
        <v>5371</v>
      </c>
      <c r="I2" s="10" t="s">
        <v>5372</v>
      </c>
    </row>
    <row r="3" spans="1:9">
      <c r="A3" s="37">
        <v>1</v>
      </c>
      <c r="B3" s="37" t="s">
        <v>240</v>
      </c>
      <c r="C3" s="37">
        <v>8</v>
      </c>
      <c r="D3" s="37" t="s">
        <v>160</v>
      </c>
      <c r="E3" s="37" t="s">
        <v>177</v>
      </c>
      <c r="F3" s="37" t="s">
        <v>1686</v>
      </c>
      <c r="G3" s="37" t="s">
        <v>1687</v>
      </c>
      <c r="H3" s="37" t="s">
        <v>5382</v>
      </c>
      <c r="I3" s="37" t="s">
        <v>5386</v>
      </c>
    </row>
    <row r="4" spans="1:9" ht="45">
      <c r="A4" s="37">
        <v>2</v>
      </c>
      <c r="B4" s="37" t="s">
        <v>550</v>
      </c>
      <c r="C4" s="37">
        <v>4</v>
      </c>
      <c r="D4" s="37" t="s">
        <v>242</v>
      </c>
      <c r="E4" s="37"/>
      <c r="F4" s="37" t="s">
        <v>5461</v>
      </c>
      <c r="G4" s="37" t="s">
        <v>4686</v>
      </c>
      <c r="H4" s="37" t="s">
        <v>5384</v>
      </c>
      <c r="I4" s="37" t="s">
        <v>5387</v>
      </c>
    </row>
    <row r="5" spans="1:9" ht="30">
      <c r="A5" s="37">
        <v>3</v>
      </c>
      <c r="B5" s="37" t="s">
        <v>683</v>
      </c>
      <c r="C5" s="37">
        <v>30</v>
      </c>
      <c r="D5" s="37" t="s">
        <v>242</v>
      </c>
      <c r="E5" s="37"/>
      <c r="F5" s="37" t="s">
        <v>4671</v>
      </c>
      <c r="G5" s="37" t="s">
        <v>5517</v>
      </c>
      <c r="H5" s="37"/>
      <c r="I5" s="37"/>
    </row>
    <row r="6" spans="1:9">
      <c r="A6" s="37">
        <v>4</v>
      </c>
      <c r="B6" s="37" t="s">
        <v>5931</v>
      </c>
      <c r="C6" s="37">
        <v>10</v>
      </c>
      <c r="D6" s="37" t="s">
        <v>189</v>
      </c>
      <c r="E6" s="37" t="s">
        <v>1265</v>
      </c>
      <c r="F6" s="37" t="s">
        <v>5932</v>
      </c>
      <c r="G6" s="37" t="s">
        <v>5933</v>
      </c>
      <c r="H6" s="37"/>
      <c r="I6" s="37"/>
    </row>
    <row r="7" spans="1:9" ht="30">
      <c r="A7" s="37">
        <v>5</v>
      </c>
      <c r="B7" s="37" t="s">
        <v>568</v>
      </c>
      <c r="C7" s="37">
        <v>10</v>
      </c>
      <c r="D7" s="37" t="s">
        <v>189</v>
      </c>
      <c r="E7" s="37" t="s">
        <v>1265</v>
      </c>
      <c r="F7" s="37" t="s">
        <v>2481</v>
      </c>
      <c r="G7" s="37" t="s">
        <v>3648</v>
      </c>
      <c r="H7" s="37"/>
      <c r="I7" s="37"/>
    </row>
    <row r="8" spans="1:9" ht="30">
      <c r="A8" s="37">
        <v>6</v>
      </c>
      <c r="B8" s="37" t="s">
        <v>5934</v>
      </c>
      <c r="C8" s="37">
        <v>10</v>
      </c>
      <c r="D8" s="37" t="s">
        <v>189</v>
      </c>
      <c r="E8" s="37"/>
      <c r="F8" s="37" t="s">
        <v>5935</v>
      </c>
      <c r="G8" s="37" t="s">
        <v>5936</v>
      </c>
      <c r="H8" s="37"/>
      <c r="I8" s="37"/>
    </row>
    <row r="9" spans="1:9" ht="30">
      <c r="A9" s="37">
        <v>7</v>
      </c>
      <c r="B9" s="37" t="s">
        <v>670</v>
      </c>
      <c r="C9" s="37">
        <v>10</v>
      </c>
      <c r="D9" s="37" t="s">
        <v>189</v>
      </c>
      <c r="E9" s="37"/>
      <c r="F9" s="37" t="s">
        <v>5937</v>
      </c>
      <c r="G9" s="37" t="s">
        <v>5938</v>
      </c>
      <c r="H9" s="37"/>
      <c r="I9" s="37"/>
    </row>
    <row r="10" spans="1:9" ht="45">
      <c r="A10" s="37">
        <v>8</v>
      </c>
      <c r="B10" s="37" t="s">
        <v>1182</v>
      </c>
      <c r="C10" s="37">
        <v>12</v>
      </c>
      <c r="D10" s="37" t="s">
        <v>189</v>
      </c>
      <c r="E10" s="37" t="s">
        <v>5576</v>
      </c>
      <c r="F10" s="37" t="s">
        <v>1688</v>
      </c>
      <c r="G10" s="37" t="s">
        <v>1689</v>
      </c>
      <c r="H10" s="37"/>
      <c r="I10" s="37"/>
    </row>
    <row r="11" spans="1:9" ht="45">
      <c r="A11" s="37">
        <v>9</v>
      </c>
      <c r="B11" s="37" t="s">
        <v>1183</v>
      </c>
      <c r="C11" s="37">
        <v>30</v>
      </c>
      <c r="D11" s="37" t="s">
        <v>242</v>
      </c>
      <c r="E11" s="37" t="s">
        <v>5576</v>
      </c>
      <c r="F11" s="37" t="s">
        <v>1690</v>
      </c>
      <c r="G11" s="37" t="s">
        <v>1691</v>
      </c>
      <c r="H11" s="37"/>
      <c r="I11" s="37"/>
    </row>
    <row r="21" spans="2:11">
      <c r="J21" s="7"/>
      <c r="K21" s="8"/>
    </row>
    <row r="22" spans="2:11">
      <c r="J22" s="5"/>
      <c r="K22" s="6"/>
    </row>
    <row r="31" spans="2:11">
      <c r="B31" s="9"/>
    </row>
  </sheetData>
  <mergeCells count="1">
    <mergeCell ref="H1:I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3C23F-AE33-4BE9-ADB5-24EC90B5EED1}">
  <sheetPr codeName="Sheet56"/>
  <dimension ref="A1:K49"/>
  <sheetViews>
    <sheetView workbookViewId="0">
      <selection activeCell="C22" sqref="C22"/>
    </sheetView>
  </sheetViews>
  <sheetFormatPr defaultRowHeight="15"/>
  <cols>
    <col min="1" max="1" width="9.140625" style="44"/>
    <col min="2" max="2" width="18.85546875" style="44" bestFit="1" customWidth="1"/>
    <col min="3" max="4" width="9.140625" style="44"/>
    <col min="5" max="5" width="11" style="44" bestFit="1" customWidth="1"/>
    <col min="6" max="6" width="27.28515625" style="44" customWidth="1"/>
    <col min="7" max="7" width="55.140625" style="44" customWidth="1"/>
    <col min="8" max="10" width="9.140625" style="44"/>
    <col min="11" max="11" width="57.42578125" style="44" customWidth="1"/>
    <col min="12" max="16384" width="9.140625" style="44"/>
  </cols>
  <sheetData>
    <row r="1" spans="1:10">
      <c r="A1" s="43" t="s">
        <v>238</v>
      </c>
      <c r="B1" s="43"/>
      <c r="C1" s="43"/>
      <c r="D1" s="43"/>
      <c r="E1" s="43"/>
      <c r="F1" s="43"/>
      <c r="G1" s="43"/>
      <c r="H1" s="95" t="s">
        <v>5363</v>
      </c>
      <c r="I1" s="96"/>
      <c r="J1" s="96"/>
    </row>
    <row r="2" spans="1:10">
      <c r="A2" s="10" t="s">
        <v>350</v>
      </c>
      <c r="B2" s="10" t="s">
        <v>156</v>
      </c>
      <c r="C2" s="10" t="s">
        <v>157</v>
      </c>
      <c r="D2" s="10" t="s">
        <v>239</v>
      </c>
      <c r="E2" s="10" t="s">
        <v>159</v>
      </c>
      <c r="F2" s="10" t="s">
        <v>1684</v>
      </c>
      <c r="G2" s="10" t="s">
        <v>1685</v>
      </c>
      <c r="H2" s="10" t="s">
        <v>5363</v>
      </c>
      <c r="I2" s="10" t="s">
        <v>5372</v>
      </c>
      <c r="J2" s="10" t="s">
        <v>5373</v>
      </c>
    </row>
    <row r="3" spans="1:10">
      <c r="A3" s="42">
        <v>1</v>
      </c>
      <c r="B3" s="42" t="s">
        <v>724</v>
      </c>
      <c r="C3" s="42">
        <v>8</v>
      </c>
      <c r="D3" s="42" t="s">
        <v>160</v>
      </c>
      <c r="E3" s="42" t="s">
        <v>177</v>
      </c>
      <c r="F3" s="42" t="s">
        <v>1686</v>
      </c>
      <c r="G3" s="42" t="s">
        <v>1687</v>
      </c>
      <c r="H3" s="42" t="s">
        <v>5382</v>
      </c>
      <c r="I3" s="42" t="s">
        <v>5386</v>
      </c>
      <c r="J3" s="42" t="s">
        <v>5396</v>
      </c>
    </row>
    <row r="4" spans="1:10" ht="30">
      <c r="A4" s="42">
        <v>2</v>
      </c>
      <c r="B4" s="42" t="s">
        <v>78</v>
      </c>
      <c r="C4" s="42">
        <v>4</v>
      </c>
      <c r="D4" s="42" t="s">
        <v>242</v>
      </c>
      <c r="E4" s="42"/>
      <c r="F4" s="42" t="s">
        <v>1707</v>
      </c>
      <c r="G4" s="42" t="s">
        <v>5416</v>
      </c>
      <c r="H4" s="42" t="s">
        <v>5384</v>
      </c>
      <c r="I4" s="42" t="s">
        <v>5387</v>
      </c>
      <c r="J4" s="42"/>
    </row>
    <row r="5" spans="1:10" ht="105">
      <c r="A5" s="42">
        <v>3</v>
      </c>
      <c r="B5" s="42" t="s">
        <v>241</v>
      </c>
      <c r="C5" s="42">
        <v>14</v>
      </c>
      <c r="D5" s="42" t="s">
        <v>242</v>
      </c>
      <c r="E5" s="42"/>
      <c r="F5" s="42" t="s">
        <v>2389</v>
      </c>
      <c r="G5" s="42" t="s">
        <v>5381</v>
      </c>
      <c r="H5" s="42" t="s">
        <v>5385</v>
      </c>
      <c r="I5" s="42"/>
      <c r="J5" s="42" t="s">
        <v>5388</v>
      </c>
    </row>
    <row r="6" spans="1:10" ht="30">
      <c r="A6" s="42">
        <v>4</v>
      </c>
      <c r="B6" s="42" t="s">
        <v>698</v>
      </c>
      <c r="C6" s="42">
        <v>8</v>
      </c>
      <c r="D6" s="42" t="s">
        <v>160</v>
      </c>
      <c r="E6" s="42" t="s">
        <v>177</v>
      </c>
      <c r="F6" s="42" t="s">
        <v>4953</v>
      </c>
      <c r="G6" s="42" t="s">
        <v>5417</v>
      </c>
      <c r="H6" s="42"/>
      <c r="I6" s="42"/>
      <c r="J6" s="42"/>
    </row>
    <row r="7" spans="1:10" ht="30">
      <c r="A7" s="42">
        <v>5</v>
      </c>
      <c r="B7" s="42" t="s">
        <v>735</v>
      </c>
      <c r="C7" s="42">
        <v>14</v>
      </c>
      <c r="D7" s="42" t="s">
        <v>242</v>
      </c>
      <c r="E7" s="42"/>
      <c r="F7" s="42" t="s">
        <v>4966</v>
      </c>
      <c r="G7" s="42" t="s">
        <v>4967</v>
      </c>
      <c r="H7" s="42"/>
      <c r="I7" s="42"/>
      <c r="J7" s="42"/>
    </row>
    <row r="8" spans="1:10" ht="30">
      <c r="A8" s="42">
        <v>6</v>
      </c>
      <c r="B8" s="42" t="s">
        <v>196</v>
      </c>
      <c r="C8" s="42">
        <v>14</v>
      </c>
      <c r="D8" s="42" t="s">
        <v>242</v>
      </c>
      <c r="E8" s="42"/>
      <c r="F8" s="42" t="s">
        <v>4890</v>
      </c>
      <c r="G8" s="42" t="s">
        <v>4968</v>
      </c>
      <c r="H8" s="42"/>
      <c r="I8" s="42"/>
      <c r="J8" s="42"/>
    </row>
    <row r="9" spans="1:10">
      <c r="A9" s="42">
        <v>7</v>
      </c>
      <c r="B9" s="42" t="s">
        <v>702</v>
      </c>
      <c r="C9" s="42">
        <v>16</v>
      </c>
      <c r="D9" s="42" t="s">
        <v>189</v>
      </c>
      <c r="E9" s="42" t="s">
        <v>1266</v>
      </c>
      <c r="F9" s="42" t="s">
        <v>5418</v>
      </c>
      <c r="G9" s="42" t="s">
        <v>5419</v>
      </c>
      <c r="H9" s="42"/>
      <c r="I9" s="42"/>
      <c r="J9" s="42"/>
    </row>
    <row r="10" spans="1:10" ht="30">
      <c r="A10" s="42">
        <v>8</v>
      </c>
      <c r="B10" s="42" t="s">
        <v>736</v>
      </c>
      <c r="C10" s="42">
        <v>16</v>
      </c>
      <c r="D10" s="42" t="s">
        <v>189</v>
      </c>
      <c r="E10" s="42" t="s">
        <v>1266</v>
      </c>
      <c r="F10" s="42" t="s">
        <v>4954</v>
      </c>
      <c r="G10" s="42" t="s">
        <v>4955</v>
      </c>
      <c r="H10" s="42"/>
      <c r="I10" s="42"/>
      <c r="J10" s="42"/>
    </row>
    <row r="11" spans="1:10">
      <c r="A11" s="42">
        <v>9</v>
      </c>
      <c r="B11" s="42" t="s">
        <v>737</v>
      </c>
      <c r="C11" s="42">
        <v>16</v>
      </c>
      <c r="D11" s="42" t="s">
        <v>189</v>
      </c>
      <c r="E11" s="42" t="s">
        <v>1266</v>
      </c>
      <c r="F11" s="42" t="s">
        <v>5420</v>
      </c>
      <c r="G11" s="42" t="s">
        <v>5421</v>
      </c>
      <c r="H11" s="42"/>
      <c r="I11" s="42"/>
      <c r="J11" s="42"/>
    </row>
    <row r="12" spans="1:10" ht="30">
      <c r="A12" s="42">
        <v>10</v>
      </c>
      <c r="B12" s="42" t="s">
        <v>738</v>
      </c>
      <c r="C12" s="42">
        <v>16</v>
      </c>
      <c r="D12" s="42" t="s">
        <v>189</v>
      </c>
      <c r="E12" s="42" t="s">
        <v>1266</v>
      </c>
      <c r="F12" s="42" t="s">
        <v>4956</v>
      </c>
      <c r="G12" s="42" t="s">
        <v>5422</v>
      </c>
      <c r="H12" s="42"/>
      <c r="I12" s="42"/>
      <c r="J12" s="42"/>
    </row>
    <row r="13" spans="1:10" ht="30">
      <c r="A13" s="42">
        <v>11</v>
      </c>
      <c r="B13" s="42" t="s">
        <v>254</v>
      </c>
      <c r="C13" s="42">
        <v>16</v>
      </c>
      <c r="D13" s="42" t="s">
        <v>189</v>
      </c>
      <c r="E13" s="42" t="s">
        <v>1266</v>
      </c>
      <c r="F13" s="42" t="s">
        <v>4957</v>
      </c>
      <c r="G13" s="42" t="s">
        <v>4958</v>
      </c>
      <c r="H13" s="42"/>
      <c r="I13" s="42"/>
      <c r="J13" s="42"/>
    </row>
    <row r="14" spans="1:10" ht="30">
      <c r="A14" s="42">
        <v>12</v>
      </c>
      <c r="B14" s="42" t="s">
        <v>739</v>
      </c>
      <c r="C14" s="42">
        <v>16</v>
      </c>
      <c r="D14" s="42" t="s">
        <v>189</v>
      </c>
      <c r="E14" s="42" t="s">
        <v>1266</v>
      </c>
      <c r="F14" s="42" t="s">
        <v>4959</v>
      </c>
      <c r="G14" s="42" t="s">
        <v>4960</v>
      </c>
      <c r="H14" s="42"/>
      <c r="I14" s="42"/>
      <c r="J14" s="42"/>
    </row>
    <row r="15" spans="1:10" ht="30">
      <c r="A15" s="42">
        <v>13</v>
      </c>
      <c r="B15" s="42" t="s">
        <v>740</v>
      </c>
      <c r="C15" s="42">
        <v>16</v>
      </c>
      <c r="D15" s="42" t="s">
        <v>189</v>
      </c>
      <c r="E15" s="42" t="s">
        <v>1266</v>
      </c>
      <c r="F15" s="42" t="s">
        <v>5424</v>
      </c>
      <c r="G15" s="42" t="s">
        <v>5423</v>
      </c>
      <c r="H15" s="42"/>
      <c r="I15" s="42"/>
      <c r="J15" s="42"/>
    </row>
    <row r="16" spans="1:10" ht="30">
      <c r="A16" s="42">
        <v>14</v>
      </c>
      <c r="B16" s="42" t="s">
        <v>741</v>
      </c>
      <c r="C16" s="42">
        <v>16</v>
      </c>
      <c r="D16" s="42" t="s">
        <v>189</v>
      </c>
      <c r="E16" s="42" t="s">
        <v>1266</v>
      </c>
      <c r="F16" s="42" t="s">
        <v>4961</v>
      </c>
      <c r="G16" s="42" t="s">
        <v>4962</v>
      </c>
      <c r="H16" s="42"/>
      <c r="I16" s="42"/>
      <c r="J16" s="42"/>
    </row>
    <row r="17" spans="1:11" ht="30">
      <c r="A17" s="42">
        <v>15</v>
      </c>
      <c r="B17" s="42" t="s">
        <v>742</v>
      </c>
      <c r="C17" s="42">
        <v>9</v>
      </c>
      <c r="D17" s="42" t="s">
        <v>189</v>
      </c>
      <c r="E17" s="42" t="s">
        <v>1268</v>
      </c>
      <c r="F17" s="42" t="s">
        <v>4885</v>
      </c>
      <c r="G17" s="42" t="s">
        <v>4963</v>
      </c>
      <c r="H17" s="42"/>
      <c r="I17" s="42"/>
      <c r="J17" s="42"/>
    </row>
    <row r="18" spans="1:11" ht="30">
      <c r="A18" s="42">
        <v>16</v>
      </c>
      <c r="B18" s="42" t="s">
        <v>743</v>
      </c>
      <c r="C18" s="42">
        <v>8</v>
      </c>
      <c r="D18" s="42" t="s">
        <v>160</v>
      </c>
      <c r="E18" s="42" t="s">
        <v>177</v>
      </c>
      <c r="F18" s="42" t="s">
        <v>4964</v>
      </c>
      <c r="G18" s="42" t="s">
        <v>4965</v>
      </c>
      <c r="H18" s="42"/>
      <c r="I18" s="42"/>
      <c r="J18" s="42"/>
    </row>
    <row r="19" spans="1:11" ht="30">
      <c r="A19" s="42">
        <v>17</v>
      </c>
      <c r="B19" s="42" t="s">
        <v>744</v>
      </c>
      <c r="C19" s="42">
        <v>2</v>
      </c>
      <c r="D19" s="42" t="s">
        <v>242</v>
      </c>
      <c r="E19" s="42"/>
      <c r="F19" s="42" t="s">
        <v>4969</v>
      </c>
      <c r="G19" s="42" t="s">
        <v>4970</v>
      </c>
      <c r="H19" s="42"/>
      <c r="I19" s="42"/>
      <c r="J19" s="42"/>
    </row>
    <row r="20" spans="1:11" ht="30">
      <c r="A20" s="42">
        <v>18</v>
      </c>
      <c r="B20" s="42" t="s">
        <v>745</v>
      </c>
      <c r="C20" s="42">
        <v>8</v>
      </c>
      <c r="D20" s="42" t="s">
        <v>160</v>
      </c>
      <c r="E20" s="42" t="s">
        <v>177</v>
      </c>
      <c r="F20" s="42" t="s">
        <v>2615</v>
      </c>
      <c r="G20" s="42" t="s">
        <v>4971</v>
      </c>
      <c r="H20" s="42"/>
      <c r="I20" s="42"/>
      <c r="J20" s="42"/>
    </row>
    <row r="21" spans="1:11" ht="30">
      <c r="A21" s="42">
        <v>19</v>
      </c>
      <c r="B21" s="42" t="s">
        <v>746</v>
      </c>
      <c r="C21" s="42">
        <v>8</v>
      </c>
      <c r="D21" s="42" t="s">
        <v>160</v>
      </c>
      <c r="E21" s="42" t="s">
        <v>177</v>
      </c>
      <c r="F21" s="42" t="s">
        <v>4972</v>
      </c>
      <c r="G21" s="42" t="s">
        <v>4973</v>
      </c>
      <c r="H21" s="42"/>
      <c r="I21" s="42"/>
      <c r="J21" s="42"/>
    </row>
    <row r="22" spans="1:11" ht="30">
      <c r="A22" s="59">
        <v>20</v>
      </c>
      <c r="B22" s="59" t="s">
        <v>6066</v>
      </c>
      <c r="C22" s="59">
        <v>16</v>
      </c>
      <c r="D22" s="59" t="s">
        <v>189</v>
      </c>
      <c r="E22" s="59" t="s">
        <v>1266</v>
      </c>
      <c r="F22" s="59" t="s">
        <v>6067</v>
      </c>
      <c r="G22" s="59" t="s">
        <v>6068</v>
      </c>
      <c r="H22" s="59"/>
      <c r="I22" s="59"/>
      <c r="J22" s="59"/>
      <c r="K22" s="31" t="s">
        <v>6072</v>
      </c>
    </row>
    <row r="23" spans="1:11">
      <c r="A23" s="59">
        <v>21</v>
      </c>
      <c r="B23" s="59" t="s">
        <v>1215</v>
      </c>
      <c r="C23" s="59">
        <v>9</v>
      </c>
      <c r="D23" s="59" t="s">
        <v>189</v>
      </c>
      <c r="E23" s="59" t="s">
        <v>1268</v>
      </c>
      <c r="F23" s="59" t="s">
        <v>6069</v>
      </c>
      <c r="G23" s="59" t="s">
        <v>6070</v>
      </c>
      <c r="H23" s="59"/>
      <c r="I23" s="59"/>
      <c r="J23" s="59"/>
      <c r="K23" s="31" t="s">
        <v>6072</v>
      </c>
    </row>
    <row r="24" spans="1:11">
      <c r="A24" s="59">
        <v>22</v>
      </c>
      <c r="B24" s="59" t="s">
        <v>686</v>
      </c>
      <c r="C24" s="59">
        <v>8</v>
      </c>
      <c r="D24" s="59" t="s">
        <v>160</v>
      </c>
      <c r="E24" s="59" t="s">
        <v>177</v>
      </c>
      <c r="F24" s="59" t="s">
        <v>351</v>
      </c>
      <c r="G24" s="59" t="s">
        <v>6071</v>
      </c>
      <c r="H24" s="59"/>
      <c r="I24" s="59"/>
      <c r="J24" s="59"/>
      <c r="K24" s="31" t="s">
        <v>6072</v>
      </c>
    </row>
    <row r="25" spans="1:11" ht="45">
      <c r="A25" s="42">
        <v>23</v>
      </c>
      <c r="B25" s="42" t="s">
        <v>747</v>
      </c>
      <c r="C25" s="42">
        <v>1</v>
      </c>
      <c r="D25" s="42" t="s">
        <v>242</v>
      </c>
      <c r="E25" s="42"/>
      <c r="F25" s="42" t="s">
        <v>4974</v>
      </c>
      <c r="G25" s="42" t="s">
        <v>4975</v>
      </c>
      <c r="H25" s="42"/>
      <c r="I25" s="42"/>
      <c r="J25" s="42"/>
    </row>
    <row r="26" spans="1:11" ht="45">
      <c r="A26" s="42">
        <v>24</v>
      </c>
      <c r="B26" s="42" t="s">
        <v>1182</v>
      </c>
      <c r="C26" s="42">
        <v>12</v>
      </c>
      <c r="D26" s="42" t="s">
        <v>189</v>
      </c>
      <c r="E26" s="42" t="s">
        <v>5576</v>
      </c>
      <c r="F26" s="42" t="s">
        <v>1688</v>
      </c>
      <c r="G26" s="42" t="s">
        <v>1689</v>
      </c>
      <c r="H26" s="42"/>
      <c r="I26" s="42"/>
      <c r="J26" s="42"/>
    </row>
    <row r="27" spans="1:11" ht="45">
      <c r="A27" s="42">
        <v>25</v>
      </c>
      <c r="B27" s="42" t="s">
        <v>1183</v>
      </c>
      <c r="C27" s="42">
        <v>30</v>
      </c>
      <c r="D27" s="42" t="s">
        <v>242</v>
      </c>
      <c r="E27" s="42" t="s">
        <v>5576</v>
      </c>
      <c r="F27" s="42" t="s">
        <v>1690</v>
      </c>
      <c r="G27" s="42" t="s">
        <v>1691</v>
      </c>
      <c r="H27" s="42"/>
      <c r="I27" s="42"/>
      <c r="J27" s="42"/>
    </row>
    <row r="39" spans="10:10">
      <c r="J39" s="7"/>
    </row>
    <row r="40" spans="10:10">
      <c r="J40" s="5"/>
    </row>
    <row r="49" spans="2:2">
      <c r="B49" s="9"/>
    </row>
  </sheetData>
  <mergeCells count="1">
    <mergeCell ref="H1:J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79799-D77B-4588-9299-01D0253273CC}">
  <sheetPr codeName="Sheet20"/>
  <dimension ref="A1:K47"/>
  <sheetViews>
    <sheetView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8" width="9.140625" style="1"/>
    <col min="9" max="9" width="30.85546875" style="1" bestFit="1" customWidth="1"/>
    <col min="10" max="16384" width="9.140625" style="1"/>
  </cols>
  <sheetData>
    <row r="1" spans="1:9">
      <c r="A1" s="3" t="s">
        <v>238</v>
      </c>
      <c r="B1" s="3"/>
      <c r="C1" s="3"/>
      <c r="D1" s="3"/>
      <c r="E1" s="3"/>
      <c r="F1" s="3"/>
      <c r="G1" s="3"/>
      <c r="H1" s="3"/>
    </row>
    <row r="2" spans="1:9">
      <c r="A2" s="10" t="s">
        <v>350</v>
      </c>
      <c r="B2" s="10" t="s">
        <v>156</v>
      </c>
      <c r="C2" s="10" t="s">
        <v>157</v>
      </c>
      <c r="D2" s="10" t="s">
        <v>239</v>
      </c>
      <c r="E2" s="10" t="s">
        <v>159</v>
      </c>
      <c r="F2" s="10" t="s">
        <v>1684</v>
      </c>
      <c r="G2" s="10" t="s">
        <v>1685</v>
      </c>
      <c r="H2" s="10" t="s">
        <v>5363</v>
      </c>
    </row>
    <row r="3" spans="1:9">
      <c r="A3" s="11">
        <v>1</v>
      </c>
      <c r="B3" s="11" t="s">
        <v>240</v>
      </c>
      <c r="C3" s="11">
        <v>8</v>
      </c>
      <c r="D3" s="11" t="s">
        <v>160</v>
      </c>
      <c r="E3" s="11" t="s">
        <v>177</v>
      </c>
      <c r="F3" s="11" t="s">
        <v>1686</v>
      </c>
      <c r="G3" s="11" t="s">
        <v>1687</v>
      </c>
      <c r="H3" s="11" t="s">
        <v>5382</v>
      </c>
    </row>
    <row r="4" spans="1:9" ht="30">
      <c r="A4" s="11">
        <v>2</v>
      </c>
      <c r="B4" s="11" t="s">
        <v>786</v>
      </c>
      <c r="C4" s="11">
        <v>10</v>
      </c>
      <c r="D4" s="11" t="s">
        <v>242</v>
      </c>
      <c r="E4" s="11"/>
      <c r="F4" s="11" t="s">
        <v>4841</v>
      </c>
      <c r="G4" s="11" t="s">
        <v>5425</v>
      </c>
      <c r="H4" s="11" t="s">
        <v>5384</v>
      </c>
    </row>
    <row r="5" spans="1:9" ht="45">
      <c r="A5" s="11">
        <v>3</v>
      </c>
      <c r="B5" s="11" t="s">
        <v>787</v>
      </c>
      <c r="C5" s="11">
        <v>40</v>
      </c>
      <c r="D5" s="11" t="s">
        <v>242</v>
      </c>
      <c r="E5" s="11"/>
      <c r="F5" s="11" t="s">
        <v>4831</v>
      </c>
      <c r="G5" s="11" t="s">
        <v>4830</v>
      </c>
      <c r="H5" s="11"/>
    </row>
    <row r="6" spans="1:9" ht="45">
      <c r="A6" s="11">
        <v>4</v>
      </c>
      <c r="B6" s="11" t="s">
        <v>788</v>
      </c>
      <c r="C6" s="11">
        <v>14</v>
      </c>
      <c r="D6" s="11" t="s">
        <v>242</v>
      </c>
      <c r="E6" s="11"/>
      <c r="F6" s="11" t="s">
        <v>4833</v>
      </c>
      <c r="G6" s="11" t="s">
        <v>4832</v>
      </c>
      <c r="H6" s="11"/>
    </row>
    <row r="7" spans="1:9" ht="45">
      <c r="A7" s="74">
        <v>5</v>
      </c>
      <c r="B7" s="11" t="s">
        <v>789</v>
      </c>
      <c r="C7" s="11">
        <v>3</v>
      </c>
      <c r="D7" s="11" t="s">
        <v>242</v>
      </c>
      <c r="E7" s="11"/>
      <c r="F7" s="11" t="s">
        <v>4835</v>
      </c>
      <c r="G7" s="11" t="s">
        <v>4834</v>
      </c>
      <c r="H7" s="11"/>
    </row>
    <row r="8" spans="1:9" ht="60">
      <c r="A8" s="74">
        <v>6</v>
      </c>
      <c r="B8" s="11" t="s">
        <v>790</v>
      </c>
      <c r="C8" s="11">
        <v>6</v>
      </c>
      <c r="D8" s="11" t="s">
        <v>242</v>
      </c>
      <c r="E8" s="11"/>
      <c r="F8" s="11" t="s">
        <v>4836</v>
      </c>
      <c r="G8" s="11" t="s">
        <v>4837</v>
      </c>
      <c r="H8" s="11"/>
    </row>
    <row r="9" spans="1:9" ht="60">
      <c r="A9" s="74">
        <v>7</v>
      </c>
      <c r="B9" s="11" t="s">
        <v>78</v>
      </c>
      <c r="C9" s="11">
        <v>4</v>
      </c>
      <c r="D9" s="11" t="s">
        <v>242</v>
      </c>
      <c r="E9" s="11"/>
      <c r="F9" s="11" t="s">
        <v>1720</v>
      </c>
      <c r="G9" s="11" t="s">
        <v>4838</v>
      </c>
      <c r="H9" s="11"/>
    </row>
    <row r="10" spans="1:9" ht="60">
      <c r="A10" s="74">
        <v>8</v>
      </c>
      <c r="B10" s="74" t="s">
        <v>791</v>
      </c>
      <c r="C10" s="74">
        <v>14</v>
      </c>
      <c r="D10" s="74" t="s">
        <v>242</v>
      </c>
      <c r="E10" s="74"/>
      <c r="F10" s="74" t="s">
        <v>4839</v>
      </c>
      <c r="G10" s="74" t="s">
        <v>4840</v>
      </c>
      <c r="H10" s="74"/>
    </row>
    <row r="11" spans="1:9" ht="60">
      <c r="A11" s="18">
        <v>9</v>
      </c>
      <c r="B11" s="18" t="s">
        <v>7132</v>
      </c>
      <c r="C11" s="18">
        <v>14</v>
      </c>
      <c r="D11" s="18" t="s">
        <v>242</v>
      </c>
      <c r="E11" s="18"/>
      <c r="F11" s="18" t="s">
        <v>7131</v>
      </c>
      <c r="G11" s="18" t="s">
        <v>7128</v>
      </c>
      <c r="H11" s="18"/>
      <c r="I11" s="85" t="s">
        <v>7129</v>
      </c>
    </row>
    <row r="12" spans="1:9" ht="45">
      <c r="A12" s="74">
        <v>10</v>
      </c>
      <c r="B12" s="11" t="s">
        <v>1182</v>
      </c>
      <c r="C12" s="11">
        <v>12</v>
      </c>
      <c r="D12" s="11" t="s">
        <v>189</v>
      </c>
      <c r="E12" s="11" t="s">
        <v>5576</v>
      </c>
      <c r="F12" s="11" t="s">
        <v>1688</v>
      </c>
      <c r="G12" s="11" t="s">
        <v>1689</v>
      </c>
      <c r="H12" s="11"/>
    </row>
    <row r="13" spans="1:9" ht="45">
      <c r="A13" s="74">
        <v>11</v>
      </c>
      <c r="B13" s="11" t="s">
        <v>1183</v>
      </c>
      <c r="C13" s="11">
        <v>30</v>
      </c>
      <c r="D13" s="11" t="s">
        <v>242</v>
      </c>
      <c r="E13" s="11" t="s">
        <v>5576</v>
      </c>
      <c r="F13" s="11" t="s">
        <v>1690</v>
      </c>
      <c r="G13" s="11" t="s">
        <v>1691</v>
      </c>
      <c r="H13" s="11"/>
    </row>
    <row r="36" spans="2:11">
      <c r="J36" s="7"/>
      <c r="K36" s="8"/>
    </row>
    <row r="37" spans="2:11">
      <c r="J37" s="5"/>
      <c r="K37" s="6"/>
    </row>
    <row r="47" spans="2:11">
      <c r="B47" s="9"/>
    </row>
  </sheetData>
  <pageMargins left="0.7" right="0.7" top="0.75" bottom="0.75" header="0.3" footer="0.3"/>
  <pageSetup orientation="portrait" horizontalDpi="90" verticalDpi="9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1059D-10D8-4392-A1AA-59D7E941E070}">
  <sheetPr codeName="Sheet18"/>
  <dimension ref="A1:L44"/>
  <sheetViews>
    <sheetView topLeftCell="A19" workbookViewId="0">
      <selection activeCell="C22" sqref="C22"/>
    </sheetView>
  </sheetViews>
  <sheetFormatPr defaultRowHeight="15"/>
  <cols>
    <col min="1" max="1" width="9.140625" style="28"/>
    <col min="2" max="2" width="18.85546875" style="28" bestFit="1" customWidth="1"/>
    <col min="3" max="4" width="9.140625" style="28"/>
    <col min="5" max="5" width="11" style="28" bestFit="1" customWidth="1"/>
    <col min="6" max="6" width="27.28515625" style="28" customWidth="1"/>
    <col min="7" max="7" width="55.140625" style="28" customWidth="1"/>
    <col min="8" max="11" width="9.140625" style="28"/>
    <col min="12" max="12" width="37.7109375" style="28" customWidth="1"/>
    <col min="13" max="16384" width="9.140625" style="28"/>
  </cols>
  <sheetData>
    <row r="1" spans="1:12">
      <c r="A1" s="27" t="s">
        <v>238</v>
      </c>
      <c r="B1" s="27"/>
      <c r="C1" s="27"/>
      <c r="D1" s="27"/>
      <c r="E1" s="27"/>
      <c r="F1" s="27"/>
      <c r="G1" s="27"/>
      <c r="H1" s="27"/>
      <c r="I1" s="27"/>
      <c r="J1" s="27"/>
      <c r="K1" s="27"/>
    </row>
    <row r="2" spans="1:12">
      <c r="A2" s="10" t="s">
        <v>350</v>
      </c>
      <c r="B2" s="10" t="s">
        <v>156</v>
      </c>
      <c r="C2" s="10" t="s">
        <v>157</v>
      </c>
      <c r="D2" s="10" t="s">
        <v>239</v>
      </c>
      <c r="E2" s="10" t="s">
        <v>159</v>
      </c>
      <c r="F2" s="10" t="s">
        <v>1684</v>
      </c>
      <c r="G2" s="10" t="s">
        <v>1685</v>
      </c>
      <c r="H2" s="10" t="s">
        <v>5371</v>
      </c>
      <c r="I2" s="10" t="s">
        <v>5372</v>
      </c>
      <c r="J2" s="10" t="s">
        <v>5373</v>
      </c>
      <c r="K2" s="10" t="s">
        <v>5389</v>
      </c>
    </row>
    <row r="3" spans="1:12">
      <c r="A3" s="26">
        <v>1</v>
      </c>
      <c r="B3" s="26" t="s">
        <v>724</v>
      </c>
      <c r="C3" s="26">
        <v>8</v>
      </c>
      <c r="D3" s="26" t="s">
        <v>160</v>
      </c>
      <c r="E3" s="26" t="s">
        <v>177</v>
      </c>
      <c r="F3" s="26" t="s">
        <v>1686</v>
      </c>
      <c r="G3" s="26" t="s">
        <v>1687</v>
      </c>
      <c r="H3" s="26" t="s">
        <v>5382</v>
      </c>
      <c r="I3" s="26"/>
      <c r="J3" s="26"/>
      <c r="K3" s="26"/>
    </row>
    <row r="4" spans="1:12">
      <c r="A4" s="26">
        <v>2</v>
      </c>
      <c r="B4" s="26" t="s">
        <v>243</v>
      </c>
      <c r="C4" s="26">
        <v>2</v>
      </c>
      <c r="D4" s="26" t="s">
        <v>242</v>
      </c>
      <c r="E4" s="26"/>
      <c r="F4" s="26" t="s">
        <v>2627</v>
      </c>
      <c r="G4" s="26" t="s">
        <v>2628</v>
      </c>
      <c r="H4" s="26" t="s">
        <v>5384</v>
      </c>
      <c r="I4" s="26" t="s">
        <v>5387</v>
      </c>
      <c r="J4" s="26"/>
      <c r="K4" s="26"/>
    </row>
    <row r="5" spans="1:12" ht="30">
      <c r="A5" s="59">
        <v>3</v>
      </c>
      <c r="B5" s="59" t="s">
        <v>1002</v>
      </c>
      <c r="C5" s="59">
        <v>10</v>
      </c>
      <c r="D5" s="59" t="s">
        <v>242</v>
      </c>
      <c r="E5" s="59"/>
      <c r="F5" s="59" t="s">
        <v>3666</v>
      </c>
      <c r="G5" s="59" t="s">
        <v>3664</v>
      </c>
      <c r="H5" s="59" t="s">
        <v>5385</v>
      </c>
      <c r="I5" s="59" t="s">
        <v>5386</v>
      </c>
      <c r="J5" s="59"/>
      <c r="K5" s="59"/>
      <c r="L5" s="31" t="s">
        <v>5863</v>
      </c>
    </row>
    <row r="6" spans="1:12" ht="105">
      <c r="A6" s="26">
        <v>4</v>
      </c>
      <c r="B6" s="26" t="s">
        <v>770</v>
      </c>
      <c r="C6" s="26">
        <v>14</v>
      </c>
      <c r="D6" s="26" t="s">
        <v>242</v>
      </c>
      <c r="E6" s="26"/>
      <c r="F6" s="26" t="s">
        <v>2625</v>
      </c>
      <c r="G6" s="26" t="s">
        <v>5381</v>
      </c>
      <c r="H6" s="26" t="s">
        <v>5402</v>
      </c>
      <c r="I6" s="26" t="s">
        <v>1291</v>
      </c>
      <c r="J6" s="26" t="s">
        <v>5388</v>
      </c>
      <c r="K6" s="26"/>
    </row>
    <row r="7" spans="1:12" ht="30">
      <c r="A7" s="26">
        <v>5</v>
      </c>
      <c r="B7" s="26" t="s">
        <v>1003</v>
      </c>
      <c r="C7" s="26">
        <v>1</v>
      </c>
      <c r="D7" s="26" t="s">
        <v>242</v>
      </c>
      <c r="E7" s="26"/>
      <c r="F7" s="26" t="s">
        <v>2641</v>
      </c>
      <c r="G7" s="26" t="s">
        <v>2800</v>
      </c>
      <c r="H7" s="26"/>
      <c r="I7" s="26"/>
      <c r="J7" s="26"/>
      <c r="K7" s="26"/>
    </row>
    <row r="8" spans="1:12" ht="30">
      <c r="A8" s="26">
        <v>6</v>
      </c>
      <c r="B8" s="26" t="s">
        <v>1004</v>
      </c>
      <c r="C8" s="26">
        <v>14</v>
      </c>
      <c r="D8" s="26" t="s">
        <v>189</v>
      </c>
      <c r="E8" s="26"/>
      <c r="F8" s="26" t="s">
        <v>2646</v>
      </c>
      <c r="G8" s="26" t="s">
        <v>2805</v>
      </c>
      <c r="H8" s="26"/>
      <c r="I8" s="26"/>
      <c r="J8" s="26"/>
      <c r="K8" s="26"/>
    </row>
    <row r="9" spans="1:12">
      <c r="A9" s="26">
        <v>7</v>
      </c>
      <c r="B9" s="26" t="s">
        <v>1005</v>
      </c>
      <c r="C9" s="26">
        <v>8</v>
      </c>
      <c r="D9" s="26" t="s">
        <v>160</v>
      </c>
      <c r="E9" s="26" t="s">
        <v>177</v>
      </c>
      <c r="F9" s="26" t="s">
        <v>2743</v>
      </c>
      <c r="G9" s="26" t="s">
        <v>2789</v>
      </c>
      <c r="H9" s="26"/>
      <c r="I9" s="26"/>
      <c r="J9" s="26"/>
      <c r="K9" s="26"/>
    </row>
    <row r="10" spans="1:12" ht="30">
      <c r="A10" s="26">
        <v>8</v>
      </c>
      <c r="B10" s="26" t="s">
        <v>1006</v>
      </c>
      <c r="C10" s="26">
        <v>3</v>
      </c>
      <c r="D10" s="26" t="s">
        <v>242</v>
      </c>
      <c r="E10" s="26"/>
      <c r="F10" s="26" t="s">
        <v>4978</v>
      </c>
      <c r="G10" s="26" t="s">
        <v>4979</v>
      </c>
      <c r="H10" s="26"/>
      <c r="I10" s="26"/>
      <c r="J10" s="26"/>
      <c r="K10" s="26"/>
    </row>
    <row r="11" spans="1:12" ht="30">
      <c r="A11" s="26">
        <v>9</v>
      </c>
      <c r="B11" s="26" t="s">
        <v>1007</v>
      </c>
      <c r="C11" s="26">
        <v>2</v>
      </c>
      <c r="D11" s="26" t="s">
        <v>242</v>
      </c>
      <c r="E11" s="26"/>
      <c r="F11" s="26" t="s">
        <v>4980</v>
      </c>
      <c r="G11" s="26" t="s">
        <v>4981</v>
      </c>
      <c r="H11" s="26"/>
      <c r="I11" s="26"/>
      <c r="J11" s="26"/>
      <c r="K11" s="26"/>
    </row>
    <row r="12" spans="1:12" ht="30">
      <c r="A12" s="26">
        <v>10</v>
      </c>
      <c r="B12" s="26" t="s">
        <v>541</v>
      </c>
      <c r="C12" s="26">
        <v>25</v>
      </c>
      <c r="D12" s="26" t="s">
        <v>242</v>
      </c>
      <c r="E12" s="26"/>
      <c r="F12" s="26" t="s">
        <v>4982</v>
      </c>
      <c r="G12" s="26" t="s">
        <v>4983</v>
      </c>
      <c r="H12" s="26"/>
      <c r="I12" s="26"/>
      <c r="J12" s="26"/>
      <c r="K12" s="26"/>
    </row>
    <row r="13" spans="1:12" ht="30">
      <c r="A13" s="26">
        <v>11</v>
      </c>
      <c r="B13" s="26" t="s">
        <v>1008</v>
      </c>
      <c r="C13" s="26">
        <v>8</v>
      </c>
      <c r="D13" s="26" t="s">
        <v>160</v>
      </c>
      <c r="E13" s="26" t="s">
        <v>177</v>
      </c>
      <c r="F13" s="26" t="s">
        <v>4984</v>
      </c>
      <c r="G13" s="26" t="s">
        <v>4985</v>
      </c>
      <c r="H13" s="26"/>
      <c r="I13" s="26"/>
      <c r="J13" s="26"/>
      <c r="K13" s="26"/>
    </row>
    <row r="14" spans="1:12" ht="30">
      <c r="A14" s="26">
        <v>12</v>
      </c>
      <c r="B14" s="26" t="s">
        <v>1009</v>
      </c>
      <c r="C14" s="26">
        <v>3</v>
      </c>
      <c r="D14" s="26" t="s">
        <v>242</v>
      </c>
      <c r="E14" s="26"/>
      <c r="F14" s="26" t="s">
        <v>4986</v>
      </c>
      <c r="G14" s="26" t="s">
        <v>4987</v>
      </c>
      <c r="H14" s="26"/>
      <c r="I14" s="26"/>
      <c r="J14" s="26"/>
      <c r="K14" s="26"/>
    </row>
    <row r="15" spans="1:12" ht="30">
      <c r="A15" s="26">
        <v>13</v>
      </c>
      <c r="B15" s="26" t="s">
        <v>1010</v>
      </c>
      <c r="C15" s="26">
        <v>2</v>
      </c>
      <c r="D15" s="26" t="s">
        <v>242</v>
      </c>
      <c r="E15" s="26"/>
      <c r="F15" s="26" t="s">
        <v>4988</v>
      </c>
      <c r="G15" s="26" t="s">
        <v>4989</v>
      </c>
      <c r="H15" s="26"/>
      <c r="I15" s="26"/>
      <c r="J15" s="26"/>
      <c r="K15" s="26"/>
    </row>
    <row r="16" spans="1:12">
      <c r="A16" s="26">
        <v>14</v>
      </c>
      <c r="B16" s="26" t="s">
        <v>5430</v>
      </c>
      <c r="C16" s="26">
        <v>10</v>
      </c>
      <c r="D16" s="26" t="s">
        <v>242</v>
      </c>
      <c r="E16" s="26"/>
      <c r="F16" s="26" t="s">
        <v>2465</v>
      </c>
      <c r="G16" s="26" t="s">
        <v>5431</v>
      </c>
      <c r="H16" s="26"/>
      <c r="I16" s="26"/>
      <c r="J16" s="26"/>
      <c r="K16" s="26" t="s">
        <v>5390</v>
      </c>
    </row>
    <row r="17" spans="1:12">
      <c r="A17" s="59">
        <v>15</v>
      </c>
      <c r="B17" s="59" t="s">
        <v>5867</v>
      </c>
      <c r="C17" s="59">
        <v>5</v>
      </c>
      <c r="D17" s="59" t="s">
        <v>189</v>
      </c>
      <c r="E17" s="59"/>
      <c r="F17" s="59" t="s">
        <v>5869</v>
      </c>
      <c r="G17" s="59" t="s">
        <v>5872</v>
      </c>
      <c r="H17" s="59"/>
      <c r="I17" s="59"/>
      <c r="J17" s="59"/>
      <c r="K17" s="59"/>
      <c r="L17" s="31" t="s">
        <v>7013</v>
      </c>
    </row>
    <row r="18" spans="1:12" ht="30">
      <c r="A18" s="59">
        <v>16</v>
      </c>
      <c r="B18" s="59" t="s">
        <v>5868</v>
      </c>
      <c r="C18" s="59">
        <v>5</v>
      </c>
      <c r="D18" s="59" t="s">
        <v>189</v>
      </c>
      <c r="E18" s="59"/>
      <c r="F18" s="59" t="s">
        <v>5870</v>
      </c>
      <c r="G18" s="59" t="s">
        <v>5871</v>
      </c>
      <c r="H18" s="59"/>
      <c r="I18" s="59"/>
      <c r="J18" s="59"/>
      <c r="K18" s="59"/>
      <c r="L18" s="31" t="s">
        <v>7013</v>
      </c>
    </row>
    <row r="19" spans="1:12" ht="30">
      <c r="A19" s="26">
        <v>17</v>
      </c>
      <c r="B19" s="26" t="s">
        <v>1011</v>
      </c>
      <c r="C19" s="26">
        <v>14</v>
      </c>
      <c r="D19" s="26" t="s">
        <v>189</v>
      </c>
      <c r="E19" s="26"/>
      <c r="F19" s="26" t="s">
        <v>4990</v>
      </c>
      <c r="G19" s="26" t="s">
        <v>4991</v>
      </c>
      <c r="H19" s="26"/>
      <c r="I19" s="26"/>
      <c r="J19" s="26"/>
      <c r="K19" s="26"/>
    </row>
    <row r="20" spans="1:12" ht="45">
      <c r="A20" s="26">
        <v>18</v>
      </c>
      <c r="B20" s="26" t="s">
        <v>1182</v>
      </c>
      <c r="C20" s="26">
        <v>12</v>
      </c>
      <c r="D20" s="26" t="s">
        <v>189</v>
      </c>
      <c r="E20" s="26" t="s">
        <v>5576</v>
      </c>
      <c r="F20" s="26" t="s">
        <v>1688</v>
      </c>
      <c r="G20" s="26" t="s">
        <v>1689</v>
      </c>
      <c r="H20" s="26"/>
      <c r="I20" s="26"/>
      <c r="J20" s="26"/>
      <c r="K20" s="26"/>
    </row>
    <row r="21" spans="1:12" ht="45">
      <c r="A21" s="26">
        <v>19</v>
      </c>
      <c r="B21" s="26" t="s">
        <v>1183</v>
      </c>
      <c r="C21" s="26">
        <v>30</v>
      </c>
      <c r="D21" s="26" t="s">
        <v>242</v>
      </c>
      <c r="E21" s="26" t="s">
        <v>5576</v>
      </c>
      <c r="F21" s="26" t="s">
        <v>1690</v>
      </c>
      <c r="G21" s="26" t="s">
        <v>1691</v>
      </c>
      <c r="H21" s="26"/>
      <c r="I21" s="26"/>
      <c r="J21" s="26"/>
      <c r="K21" s="26"/>
    </row>
    <row r="34" spans="2:11">
      <c r="J34" s="7"/>
      <c r="K34" s="8"/>
    </row>
    <row r="35" spans="2:11">
      <c r="J35" s="5"/>
      <c r="K35" s="6"/>
    </row>
    <row r="44" spans="2:11">
      <c r="B44" s="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D53FE-95B0-4590-ADF9-D1B562AF3F43}">
  <sheetPr codeName="Sheet17"/>
  <dimension ref="A1:K45"/>
  <sheetViews>
    <sheetView topLeftCell="A4"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10">
      <c r="A1" s="3" t="s">
        <v>238</v>
      </c>
      <c r="B1" s="3"/>
      <c r="C1" s="3"/>
      <c r="D1" s="3"/>
      <c r="E1" s="3"/>
      <c r="F1" s="3"/>
      <c r="G1" s="3"/>
      <c r="H1" s="89" t="s">
        <v>5363</v>
      </c>
      <c r="I1" s="91"/>
      <c r="J1" s="90"/>
    </row>
    <row r="2" spans="1:10">
      <c r="A2" s="10" t="s">
        <v>350</v>
      </c>
      <c r="B2" s="10" t="s">
        <v>156</v>
      </c>
      <c r="C2" s="10" t="s">
        <v>157</v>
      </c>
      <c r="D2" s="10" t="s">
        <v>239</v>
      </c>
      <c r="E2" s="10" t="s">
        <v>159</v>
      </c>
      <c r="F2" s="10" t="s">
        <v>1684</v>
      </c>
      <c r="G2" s="14" t="s">
        <v>1685</v>
      </c>
      <c r="H2" s="10" t="s">
        <v>5371</v>
      </c>
      <c r="I2" s="10" t="s">
        <v>5372</v>
      </c>
      <c r="J2" s="10" t="s">
        <v>5373</v>
      </c>
    </row>
    <row r="3" spans="1:10">
      <c r="A3" s="11">
        <v>1</v>
      </c>
      <c r="B3" s="11" t="s">
        <v>724</v>
      </c>
      <c r="C3" s="11">
        <v>8</v>
      </c>
      <c r="D3" s="11" t="s">
        <v>160</v>
      </c>
      <c r="E3" s="11" t="s">
        <v>177</v>
      </c>
      <c r="F3" s="11" t="s">
        <v>1686</v>
      </c>
      <c r="G3" s="15" t="s">
        <v>1687</v>
      </c>
      <c r="H3" s="11" t="s">
        <v>5382</v>
      </c>
      <c r="I3" s="11" t="s">
        <v>5395</v>
      </c>
      <c r="J3" s="11" t="s">
        <v>5383</v>
      </c>
    </row>
    <row r="4" spans="1:10" ht="30">
      <c r="A4" s="11">
        <v>2</v>
      </c>
      <c r="B4" s="11" t="s">
        <v>78</v>
      </c>
      <c r="C4" s="11">
        <v>4</v>
      </c>
      <c r="D4" s="11" t="s">
        <v>242</v>
      </c>
      <c r="E4" s="11"/>
      <c r="F4" s="11" t="s">
        <v>1707</v>
      </c>
      <c r="G4" s="15" t="s">
        <v>5427</v>
      </c>
      <c r="H4" s="11" t="s">
        <v>5384</v>
      </c>
      <c r="I4" s="11" t="s">
        <v>5386</v>
      </c>
      <c r="J4" s="11"/>
    </row>
    <row r="5" spans="1:10" ht="30">
      <c r="A5" s="11">
        <v>3</v>
      </c>
      <c r="B5" s="11" t="s">
        <v>550</v>
      </c>
      <c r="C5" s="11">
        <v>2</v>
      </c>
      <c r="D5" s="11" t="s">
        <v>242</v>
      </c>
      <c r="E5" s="11"/>
      <c r="F5" s="11" t="s">
        <v>2083</v>
      </c>
      <c r="G5" s="15" t="s">
        <v>5002</v>
      </c>
      <c r="H5" s="11" t="s">
        <v>5385</v>
      </c>
      <c r="I5" s="11" t="s">
        <v>5387</v>
      </c>
      <c r="J5" s="11" t="s">
        <v>5388</v>
      </c>
    </row>
    <row r="6" spans="1:10" ht="30">
      <c r="A6" s="11">
        <v>4</v>
      </c>
      <c r="B6" s="11" t="s">
        <v>623</v>
      </c>
      <c r="C6" s="11">
        <v>3</v>
      </c>
      <c r="D6" s="11" t="s">
        <v>242</v>
      </c>
      <c r="E6" s="11"/>
      <c r="F6" s="11" t="s">
        <v>1980</v>
      </c>
      <c r="G6" s="15" t="s">
        <v>5003</v>
      </c>
      <c r="H6" s="11" t="s">
        <v>5402</v>
      </c>
      <c r="I6" s="11"/>
      <c r="J6" s="11" t="s">
        <v>5396</v>
      </c>
    </row>
    <row r="7" spans="1:10" ht="30">
      <c r="A7" s="11">
        <v>5</v>
      </c>
      <c r="B7" s="11" t="s">
        <v>1012</v>
      </c>
      <c r="C7" s="11">
        <v>16</v>
      </c>
      <c r="D7" s="11" t="s">
        <v>189</v>
      </c>
      <c r="E7" s="11"/>
      <c r="F7" s="11" t="s">
        <v>5004</v>
      </c>
      <c r="G7" s="15" t="s">
        <v>5005</v>
      </c>
      <c r="H7" s="11"/>
      <c r="I7" s="11"/>
      <c r="J7" s="11"/>
    </row>
    <row r="8" spans="1:10" ht="30">
      <c r="A8" s="11">
        <v>6</v>
      </c>
      <c r="B8" s="11" t="s">
        <v>1013</v>
      </c>
      <c r="C8" s="11">
        <v>16</v>
      </c>
      <c r="D8" s="11" t="s">
        <v>189</v>
      </c>
      <c r="E8" s="11"/>
      <c r="F8" s="11" t="s">
        <v>5006</v>
      </c>
      <c r="G8" s="15" t="s">
        <v>5007</v>
      </c>
      <c r="H8" s="11"/>
      <c r="I8" s="11"/>
      <c r="J8" s="11"/>
    </row>
    <row r="9" spans="1:10" ht="30">
      <c r="A9" s="11">
        <v>7</v>
      </c>
      <c r="B9" s="11" t="s">
        <v>1014</v>
      </c>
      <c r="C9" s="11">
        <v>16</v>
      </c>
      <c r="D9" s="11" t="s">
        <v>189</v>
      </c>
      <c r="E9" s="11"/>
      <c r="F9" s="11" t="s">
        <v>5008</v>
      </c>
      <c r="G9" s="15" t="s">
        <v>5009</v>
      </c>
      <c r="H9" s="11"/>
      <c r="I9" s="11"/>
      <c r="J9" s="11"/>
    </row>
    <row r="10" spans="1:10" ht="30">
      <c r="A10" s="11">
        <v>8</v>
      </c>
      <c r="B10" s="11" t="s">
        <v>1015</v>
      </c>
      <c r="C10" s="11">
        <v>16</v>
      </c>
      <c r="D10" s="11" t="s">
        <v>189</v>
      </c>
      <c r="E10" s="11"/>
      <c r="F10" s="11" t="s">
        <v>5010</v>
      </c>
      <c r="G10" s="15" t="s">
        <v>5011</v>
      </c>
      <c r="H10" s="11"/>
      <c r="I10" s="11"/>
      <c r="J10" s="11"/>
    </row>
    <row r="11" spans="1:10" ht="30">
      <c r="A11" s="11">
        <v>9</v>
      </c>
      <c r="B11" s="11" t="s">
        <v>1016</v>
      </c>
      <c r="C11" s="11">
        <v>6</v>
      </c>
      <c r="D11" s="11" t="s">
        <v>189</v>
      </c>
      <c r="E11" s="11"/>
      <c r="F11" s="11" t="s">
        <v>5012</v>
      </c>
      <c r="G11" s="15" t="s">
        <v>5428</v>
      </c>
      <c r="H11" s="11"/>
      <c r="I11" s="11"/>
      <c r="J11" s="11"/>
    </row>
    <row r="12" spans="1:10" ht="30">
      <c r="A12" s="11">
        <v>10</v>
      </c>
      <c r="B12" s="11" t="s">
        <v>1017</v>
      </c>
      <c r="C12" s="11">
        <v>16</v>
      </c>
      <c r="D12" s="11" t="s">
        <v>189</v>
      </c>
      <c r="E12" s="11"/>
      <c r="F12" s="11" t="s">
        <v>5013</v>
      </c>
      <c r="G12" s="15" t="s">
        <v>5014</v>
      </c>
      <c r="H12" s="11"/>
      <c r="I12" s="11"/>
      <c r="J12" s="11"/>
    </row>
    <row r="13" spans="1:10" ht="30">
      <c r="A13" s="11">
        <v>11</v>
      </c>
      <c r="B13" s="11" t="s">
        <v>1018</v>
      </c>
      <c r="C13" s="11">
        <v>16</v>
      </c>
      <c r="D13" s="11" t="s">
        <v>189</v>
      </c>
      <c r="E13" s="11"/>
      <c r="F13" s="11" t="s">
        <v>5015</v>
      </c>
      <c r="G13" s="15" t="s">
        <v>5016</v>
      </c>
      <c r="H13" s="11"/>
      <c r="I13" s="11"/>
      <c r="J13" s="11"/>
    </row>
    <row r="14" spans="1:10" ht="30">
      <c r="A14" s="11">
        <v>12</v>
      </c>
      <c r="B14" s="11" t="s">
        <v>1019</v>
      </c>
      <c r="C14" s="11">
        <v>16</v>
      </c>
      <c r="D14" s="11" t="s">
        <v>189</v>
      </c>
      <c r="E14" s="11"/>
      <c r="F14" s="11" t="s">
        <v>5017</v>
      </c>
      <c r="G14" s="15" t="s">
        <v>5018</v>
      </c>
      <c r="H14" s="11"/>
      <c r="I14" s="11"/>
      <c r="J14" s="11"/>
    </row>
    <row r="15" spans="1:10" ht="30">
      <c r="A15" s="11">
        <v>13</v>
      </c>
      <c r="B15" s="11" t="s">
        <v>1020</v>
      </c>
      <c r="C15" s="11">
        <v>16</v>
      </c>
      <c r="D15" s="11" t="s">
        <v>189</v>
      </c>
      <c r="E15" s="11"/>
      <c r="F15" s="11" t="s">
        <v>5019</v>
      </c>
      <c r="G15" s="15" t="s">
        <v>5020</v>
      </c>
      <c r="H15" s="11"/>
      <c r="I15" s="11"/>
      <c r="J15" s="11"/>
    </row>
    <row r="16" spans="1:10" ht="45">
      <c r="A16" s="11">
        <v>14</v>
      </c>
      <c r="B16" s="11" t="s">
        <v>1182</v>
      </c>
      <c r="C16" s="11">
        <v>12</v>
      </c>
      <c r="D16" s="11" t="s">
        <v>189</v>
      </c>
      <c r="E16" s="11" t="s">
        <v>5576</v>
      </c>
      <c r="F16" s="11" t="s">
        <v>1688</v>
      </c>
      <c r="G16" s="15" t="s">
        <v>1689</v>
      </c>
      <c r="H16" s="11"/>
      <c r="I16" s="11"/>
      <c r="J16" s="11"/>
    </row>
    <row r="17" spans="1:10" ht="45">
      <c r="A17" s="11">
        <v>15</v>
      </c>
      <c r="B17" s="11" t="s">
        <v>1183</v>
      </c>
      <c r="C17" s="11">
        <v>30</v>
      </c>
      <c r="D17" s="11" t="s">
        <v>242</v>
      </c>
      <c r="E17" s="11" t="s">
        <v>5576</v>
      </c>
      <c r="F17" s="11" t="s">
        <v>1690</v>
      </c>
      <c r="G17" s="15" t="s">
        <v>1691</v>
      </c>
      <c r="H17" s="11"/>
      <c r="I17" s="11"/>
      <c r="J17" s="11"/>
    </row>
    <row r="21" spans="1:10" ht="45">
      <c r="B21" s="1" t="s">
        <v>5426</v>
      </c>
    </row>
    <row r="35" spans="2:11">
      <c r="J35" s="7"/>
      <c r="K35" s="8"/>
    </row>
    <row r="36" spans="2:11">
      <c r="J36" s="5"/>
      <c r="K36" s="6"/>
    </row>
    <row r="45" spans="2:11">
      <c r="B45" s="9"/>
    </row>
  </sheetData>
  <mergeCells count="1">
    <mergeCell ref="H1:J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B380D-910C-40F1-943F-C185835A39BD}">
  <sheetPr codeName="Sheet21"/>
  <dimension ref="A1:K46"/>
  <sheetViews>
    <sheetView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8">
      <c r="A1" s="3" t="s">
        <v>238</v>
      </c>
      <c r="B1" s="3"/>
      <c r="C1" s="3"/>
      <c r="D1" s="3"/>
      <c r="E1" s="3"/>
      <c r="F1" s="3"/>
      <c r="G1" s="3"/>
      <c r="H1" s="3"/>
    </row>
    <row r="2" spans="1:8">
      <c r="A2" s="10" t="s">
        <v>350</v>
      </c>
      <c r="B2" s="10" t="s">
        <v>156</v>
      </c>
      <c r="C2" s="10" t="s">
        <v>157</v>
      </c>
      <c r="D2" s="10" t="s">
        <v>239</v>
      </c>
      <c r="E2" s="10" t="s">
        <v>159</v>
      </c>
      <c r="F2" s="10" t="s">
        <v>1684</v>
      </c>
      <c r="G2" s="10" t="s">
        <v>1685</v>
      </c>
      <c r="H2" s="10" t="s">
        <v>5363</v>
      </c>
    </row>
    <row r="3" spans="1:8">
      <c r="A3" s="11">
        <v>1</v>
      </c>
      <c r="B3" s="11" t="s">
        <v>240</v>
      </c>
      <c r="C3" s="11">
        <v>8</v>
      </c>
      <c r="D3" s="11" t="s">
        <v>160</v>
      </c>
      <c r="E3" s="11" t="s">
        <v>177</v>
      </c>
      <c r="F3" s="11" t="s">
        <v>1686</v>
      </c>
      <c r="G3" s="11" t="s">
        <v>1687</v>
      </c>
      <c r="H3" s="11" t="s">
        <v>5382</v>
      </c>
    </row>
    <row r="4" spans="1:8" ht="30">
      <c r="A4" s="11">
        <v>2</v>
      </c>
      <c r="B4" s="11" t="s">
        <v>685</v>
      </c>
      <c r="C4" s="11">
        <v>2</v>
      </c>
      <c r="D4" s="11" t="s">
        <v>242</v>
      </c>
      <c r="E4" s="11"/>
      <c r="F4" s="11" t="s">
        <v>4828</v>
      </c>
      <c r="G4" s="11" t="s">
        <v>4829</v>
      </c>
      <c r="H4" s="11" t="s">
        <v>5384</v>
      </c>
    </row>
    <row r="5" spans="1:8" ht="60">
      <c r="A5" s="11">
        <v>3</v>
      </c>
      <c r="B5" s="11" t="s">
        <v>78</v>
      </c>
      <c r="C5" s="11">
        <v>4</v>
      </c>
      <c r="D5" s="11" t="s">
        <v>242</v>
      </c>
      <c r="E5" s="11"/>
      <c r="F5" s="11" t="s">
        <v>1720</v>
      </c>
      <c r="G5" s="11" t="s">
        <v>4838</v>
      </c>
      <c r="H5" s="11"/>
    </row>
    <row r="6" spans="1:8" ht="45">
      <c r="A6" s="11">
        <v>4</v>
      </c>
      <c r="B6" s="11" t="s">
        <v>1182</v>
      </c>
      <c r="C6" s="11">
        <v>12</v>
      </c>
      <c r="D6" s="11" t="s">
        <v>189</v>
      </c>
      <c r="E6" s="11" t="s">
        <v>5576</v>
      </c>
      <c r="F6" s="11" t="s">
        <v>1688</v>
      </c>
      <c r="G6" s="11" t="s">
        <v>1689</v>
      </c>
      <c r="H6" s="11"/>
    </row>
    <row r="7" spans="1:8" ht="45">
      <c r="A7" s="11">
        <v>5</v>
      </c>
      <c r="B7" s="11" t="s">
        <v>1183</v>
      </c>
      <c r="C7" s="11">
        <v>30</v>
      </c>
      <c r="D7" s="11" t="s">
        <v>242</v>
      </c>
      <c r="E7" s="11" t="s">
        <v>5576</v>
      </c>
      <c r="F7" s="11" t="s">
        <v>1690</v>
      </c>
      <c r="G7" s="11" t="s">
        <v>1691</v>
      </c>
      <c r="H7" s="11"/>
    </row>
    <row r="36" spans="2:11">
      <c r="J36" s="7"/>
      <c r="K36" s="8"/>
    </row>
    <row r="37" spans="2:11">
      <c r="J37" s="5"/>
      <c r="K37" s="6"/>
    </row>
    <row r="46" spans="2:11">
      <c r="B46" s="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AFC4D-C1C1-4136-B35E-8F6FFE774F47}">
  <sheetPr codeName="Sheet19"/>
  <dimension ref="A1:K46"/>
  <sheetViews>
    <sheetView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9">
      <c r="A1" s="12" t="s">
        <v>238</v>
      </c>
      <c r="B1" s="12"/>
      <c r="C1" s="12"/>
      <c r="D1" s="12"/>
      <c r="E1" s="12"/>
      <c r="F1" s="12"/>
      <c r="G1" s="12"/>
      <c r="H1" s="12"/>
      <c r="I1" s="11"/>
    </row>
    <row r="2" spans="1:9">
      <c r="A2" s="10" t="s">
        <v>350</v>
      </c>
      <c r="B2" s="10" t="s">
        <v>156</v>
      </c>
      <c r="C2" s="10" t="s">
        <v>157</v>
      </c>
      <c r="D2" s="10" t="s">
        <v>239</v>
      </c>
      <c r="E2" s="10" t="s">
        <v>159</v>
      </c>
      <c r="F2" s="10" t="s">
        <v>1684</v>
      </c>
      <c r="G2" s="10" t="s">
        <v>1685</v>
      </c>
      <c r="H2" s="10" t="s">
        <v>5363</v>
      </c>
      <c r="I2" s="11"/>
    </row>
    <row r="3" spans="1:9">
      <c r="A3" s="11">
        <v>1</v>
      </c>
      <c r="B3" s="11" t="s">
        <v>724</v>
      </c>
      <c r="C3" s="11">
        <v>8</v>
      </c>
      <c r="D3" s="11" t="s">
        <v>160</v>
      </c>
      <c r="E3" s="11" t="s">
        <v>177</v>
      </c>
      <c r="F3" s="11" t="s">
        <v>1686</v>
      </c>
      <c r="G3" s="11" t="s">
        <v>1687</v>
      </c>
      <c r="H3" s="11" t="s">
        <v>5382</v>
      </c>
      <c r="I3" s="11" t="s">
        <v>5452</v>
      </c>
    </row>
    <row r="4" spans="1:9">
      <c r="A4" s="11">
        <v>2</v>
      </c>
      <c r="B4" s="11" t="s">
        <v>243</v>
      </c>
      <c r="C4" s="11">
        <v>2</v>
      </c>
      <c r="D4" s="11" t="s">
        <v>242</v>
      </c>
      <c r="E4" s="11"/>
      <c r="F4" s="11"/>
      <c r="G4" s="11" t="s">
        <v>5432</v>
      </c>
      <c r="H4" s="11" t="s">
        <v>5384</v>
      </c>
      <c r="I4" s="11" t="s">
        <v>5387</v>
      </c>
    </row>
    <row r="5" spans="1:9" ht="30">
      <c r="A5" s="11">
        <v>3</v>
      </c>
      <c r="B5" s="11" t="s">
        <v>78</v>
      </c>
      <c r="C5" s="11">
        <v>4</v>
      </c>
      <c r="D5" s="11" t="s">
        <v>242</v>
      </c>
      <c r="E5" s="11"/>
      <c r="F5" s="11" t="s">
        <v>1720</v>
      </c>
      <c r="G5" s="11" t="s">
        <v>5433</v>
      </c>
      <c r="H5" s="11" t="s">
        <v>5385</v>
      </c>
      <c r="I5" s="11"/>
    </row>
    <row r="6" spans="1:9" ht="30">
      <c r="A6" s="11">
        <v>4</v>
      </c>
      <c r="B6" s="11" t="s">
        <v>759</v>
      </c>
      <c r="C6" s="11">
        <v>5</v>
      </c>
      <c r="D6" s="11" t="s">
        <v>242</v>
      </c>
      <c r="E6" s="11"/>
      <c r="F6" s="11" t="s">
        <v>5434</v>
      </c>
      <c r="G6" s="11" t="s">
        <v>5435</v>
      </c>
      <c r="H6" s="11" t="s">
        <v>5402</v>
      </c>
      <c r="I6" s="11" t="s">
        <v>5386</v>
      </c>
    </row>
    <row r="7" spans="1:9">
      <c r="A7" s="11">
        <v>5</v>
      </c>
      <c r="B7" s="11" t="s">
        <v>760</v>
      </c>
      <c r="C7" s="11">
        <v>1</v>
      </c>
      <c r="D7" s="11" t="s">
        <v>242</v>
      </c>
      <c r="E7" s="11"/>
      <c r="F7" s="11" t="s">
        <v>5436</v>
      </c>
      <c r="G7" s="11" t="s">
        <v>5437</v>
      </c>
      <c r="H7" s="11" t="s">
        <v>5451</v>
      </c>
      <c r="I7" s="11" t="s">
        <v>5395</v>
      </c>
    </row>
    <row r="8" spans="1:9" ht="30">
      <c r="A8" s="11">
        <v>6</v>
      </c>
      <c r="B8" s="11" t="s">
        <v>761</v>
      </c>
      <c r="C8" s="11">
        <v>16</v>
      </c>
      <c r="D8" s="11" t="s">
        <v>189</v>
      </c>
      <c r="E8" s="11"/>
      <c r="F8" s="11" t="s">
        <v>5438</v>
      </c>
      <c r="G8" s="11" t="s">
        <v>5440</v>
      </c>
      <c r="H8" s="11"/>
      <c r="I8" s="11"/>
    </row>
    <row r="9" spans="1:9" ht="30">
      <c r="A9" s="11">
        <v>7</v>
      </c>
      <c r="B9" s="11" t="s">
        <v>762</v>
      </c>
      <c r="C9" s="11">
        <v>16</v>
      </c>
      <c r="D9" s="11" t="s">
        <v>189</v>
      </c>
      <c r="E9" s="11"/>
      <c r="F9" s="11" t="s">
        <v>5439</v>
      </c>
      <c r="G9" s="11" t="s">
        <v>5450</v>
      </c>
      <c r="H9" s="11"/>
      <c r="I9" s="11"/>
    </row>
    <row r="10" spans="1:9" ht="30">
      <c r="A10" s="11">
        <v>8</v>
      </c>
      <c r="B10" s="11" t="s">
        <v>763</v>
      </c>
      <c r="C10" s="11">
        <v>8</v>
      </c>
      <c r="D10" s="11" t="s">
        <v>160</v>
      </c>
      <c r="E10" s="11" t="s">
        <v>177</v>
      </c>
      <c r="F10" s="11" t="s">
        <v>5441</v>
      </c>
      <c r="G10" s="11" t="s">
        <v>4842</v>
      </c>
      <c r="H10" s="11"/>
      <c r="I10" s="11"/>
    </row>
    <row r="11" spans="1:9" ht="30">
      <c r="A11" s="11">
        <v>9</v>
      </c>
      <c r="B11" s="11" t="s">
        <v>764</v>
      </c>
      <c r="C11" s="11">
        <v>16</v>
      </c>
      <c r="D11" s="11" t="s">
        <v>189</v>
      </c>
      <c r="E11" s="11"/>
      <c r="F11" s="11" t="s">
        <v>5442</v>
      </c>
      <c r="G11" s="11" t="s">
        <v>5446</v>
      </c>
      <c r="H11" s="11"/>
      <c r="I11" s="11"/>
    </row>
    <row r="12" spans="1:9" ht="30">
      <c r="A12" s="11">
        <v>10</v>
      </c>
      <c r="B12" s="11" t="s">
        <v>765</v>
      </c>
      <c r="C12" s="11">
        <v>16</v>
      </c>
      <c r="D12" s="11" t="s">
        <v>189</v>
      </c>
      <c r="E12" s="11"/>
      <c r="F12" s="11" t="s">
        <v>5443</v>
      </c>
      <c r="G12" s="11" t="s">
        <v>5447</v>
      </c>
      <c r="H12" s="11"/>
      <c r="I12" s="11"/>
    </row>
    <row r="13" spans="1:9" ht="30">
      <c r="A13" s="11">
        <v>11</v>
      </c>
      <c r="B13" s="11" t="s">
        <v>766</v>
      </c>
      <c r="C13" s="11">
        <v>8</v>
      </c>
      <c r="D13" s="11" t="s">
        <v>160</v>
      </c>
      <c r="E13" s="11" t="s">
        <v>177</v>
      </c>
      <c r="F13" s="11" t="s">
        <v>4843</v>
      </c>
      <c r="G13" s="11" t="s">
        <v>4844</v>
      </c>
      <c r="H13" s="11"/>
      <c r="I13" s="11"/>
    </row>
    <row r="14" spans="1:9" ht="30">
      <c r="A14" s="11">
        <v>12</v>
      </c>
      <c r="B14" s="11" t="s">
        <v>767</v>
      </c>
      <c r="C14" s="11">
        <v>16</v>
      </c>
      <c r="D14" s="11" t="s">
        <v>189</v>
      </c>
      <c r="E14" s="11"/>
      <c r="F14" s="11" t="s">
        <v>5444</v>
      </c>
      <c r="G14" s="11" t="s">
        <v>5448</v>
      </c>
      <c r="H14" s="11"/>
      <c r="I14" s="11"/>
    </row>
    <row r="15" spans="1:9" ht="30">
      <c r="A15" s="11">
        <v>13</v>
      </c>
      <c r="B15" s="11" t="s">
        <v>768</v>
      </c>
      <c r="C15" s="11">
        <v>16</v>
      </c>
      <c r="D15" s="11" t="s">
        <v>189</v>
      </c>
      <c r="E15" s="11"/>
      <c r="F15" s="11" t="s">
        <v>5445</v>
      </c>
      <c r="G15" s="11" t="s">
        <v>5449</v>
      </c>
      <c r="H15" s="11"/>
      <c r="I15" s="11"/>
    </row>
    <row r="16" spans="1:9" ht="30">
      <c r="A16" s="11">
        <v>14</v>
      </c>
      <c r="B16" s="11" t="s">
        <v>769</v>
      </c>
      <c r="C16" s="11">
        <v>8</v>
      </c>
      <c r="D16" s="11" t="s">
        <v>160</v>
      </c>
      <c r="E16" s="11" t="s">
        <v>177</v>
      </c>
      <c r="F16" s="11" t="s">
        <v>4845</v>
      </c>
      <c r="G16" s="11" t="s">
        <v>4846</v>
      </c>
      <c r="H16" s="11"/>
      <c r="I16" s="11"/>
    </row>
    <row r="17" spans="1:9" ht="45">
      <c r="A17" s="11">
        <v>15</v>
      </c>
      <c r="B17" s="11" t="s">
        <v>1182</v>
      </c>
      <c r="C17" s="11">
        <v>12</v>
      </c>
      <c r="D17" s="11" t="s">
        <v>189</v>
      </c>
      <c r="E17" s="11" t="s">
        <v>5576</v>
      </c>
      <c r="F17" s="11" t="s">
        <v>1688</v>
      </c>
      <c r="G17" s="11" t="s">
        <v>1689</v>
      </c>
      <c r="H17" s="11"/>
      <c r="I17" s="11"/>
    </row>
    <row r="18" spans="1:9" ht="45">
      <c r="A18" s="11">
        <v>16</v>
      </c>
      <c r="B18" s="11" t="s">
        <v>1183</v>
      </c>
      <c r="C18" s="11">
        <v>30</v>
      </c>
      <c r="D18" s="11" t="s">
        <v>242</v>
      </c>
      <c r="E18" s="11" t="s">
        <v>5576</v>
      </c>
      <c r="F18" s="11" t="s">
        <v>1690</v>
      </c>
      <c r="G18" s="11" t="s">
        <v>1691</v>
      </c>
      <c r="H18" s="11"/>
      <c r="I18" s="11"/>
    </row>
    <row r="36" spans="2:11">
      <c r="J36" s="7"/>
      <c r="K36" s="8"/>
    </row>
    <row r="37" spans="2:11">
      <c r="J37" s="5"/>
      <c r="K37" s="6"/>
    </row>
    <row r="46" spans="2:11">
      <c r="B46" s="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97FEE-126A-48B6-B64B-0B02DFE5045F}">
  <sheetPr codeName="Sheet110"/>
  <dimension ref="A1:J46"/>
  <sheetViews>
    <sheetView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10">
      <c r="A1" s="12" t="s">
        <v>238</v>
      </c>
      <c r="B1" s="12"/>
      <c r="C1" s="12"/>
      <c r="D1" s="12"/>
      <c r="E1" s="12"/>
      <c r="F1" s="12"/>
      <c r="G1" s="12"/>
      <c r="H1" s="12"/>
      <c r="I1" s="12"/>
      <c r="J1" s="12"/>
    </row>
    <row r="2" spans="1:10">
      <c r="A2" s="10" t="s">
        <v>350</v>
      </c>
      <c r="B2" s="10" t="s">
        <v>156</v>
      </c>
      <c r="C2" s="10" t="s">
        <v>157</v>
      </c>
      <c r="D2" s="10" t="s">
        <v>239</v>
      </c>
      <c r="E2" s="10" t="s">
        <v>159</v>
      </c>
      <c r="F2" s="10" t="s">
        <v>1684</v>
      </c>
      <c r="G2" s="10" t="s">
        <v>1685</v>
      </c>
      <c r="H2" s="10" t="s">
        <v>5363</v>
      </c>
      <c r="I2" s="10" t="s">
        <v>5372</v>
      </c>
      <c r="J2" s="10" t="s">
        <v>5373</v>
      </c>
    </row>
    <row r="3" spans="1:10">
      <c r="A3" s="11">
        <v>1</v>
      </c>
      <c r="B3" s="11" t="s">
        <v>240</v>
      </c>
      <c r="C3" s="11">
        <v>8</v>
      </c>
      <c r="D3" s="11" t="s">
        <v>160</v>
      </c>
      <c r="E3" s="11" t="s">
        <v>177</v>
      </c>
      <c r="F3" s="11" t="s">
        <v>1686</v>
      </c>
      <c r="G3" s="11" t="s">
        <v>1687</v>
      </c>
      <c r="H3" s="11" t="s">
        <v>5382</v>
      </c>
      <c r="I3" s="11" t="s">
        <v>5386</v>
      </c>
      <c r="J3" s="11" t="s">
        <v>5396</v>
      </c>
    </row>
    <row r="4" spans="1:10">
      <c r="A4" s="11">
        <v>2</v>
      </c>
      <c r="B4" s="11" t="s">
        <v>78</v>
      </c>
      <c r="C4" s="11">
        <v>4</v>
      </c>
      <c r="D4" s="11" t="s">
        <v>242</v>
      </c>
      <c r="E4" s="11"/>
      <c r="F4" s="11" t="s">
        <v>1707</v>
      </c>
      <c r="G4" s="11" t="s">
        <v>5453</v>
      </c>
      <c r="H4" s="11" t="s">
        <v>5384</v>
      </c>
      <c r="I4" s="11"/>
      <c r="J4" s="11"/>
    </row>
    <row r="5" spans="1:10" ht="30">
      <c r="A5" s="11">
        <v>3</v>
      </c>
      <c r="B5" s="11" t="s">
        <v>89</v>
      </c>
      <c r="C5" s="11">
        <v>10</v>
      </c>
      <c r="D5" s="11" t="s">
        <v>242</v>
      </c>
      <c r="E5" s="11"/>
      <c r="F5" s="11" t="s">
        <v>5199</v>
      </c>
      <c r="G5" s="11" t="s">
        <v>5454</v>
      </c>
      <c r="H5" s="11" t="s">
        <v>5385</v>
      </c>
      <c r="I5" s="11"/>
      <c r="J5" s="11"/>
    </row>
    <row r="6" spans="1:10" ht="30">
      <c r="A6" s="11">
        <v>4</v>
      </c>
      <c r="B6" s="11" t="s">
        <v>87</v>
      </c>
      <c r="C6" s="11">
        <v>14</v>
      </c>
      <c r="D6" s="11" t="s">
        <v>242</v>
      </c>
      <c r="E6" s="11" t="s">
        <v>1033</v>
      </c>
      <c r="F6" s="11" t="s">
        <v>5200</v>
      </c>
      <c r="G6" s="11" t="s">
        <v>5201</v>
      </c>
      <c r="H6" s="11" t="s">
        <v>5402</v>
      </c>
      <c r="I6" s="11"/>
      <c r="J6" s="11"/>
    </row>
    <row r="7" spans="1:10" ht="90">
      <c r="A7" s="11">
        <v>5</v>
      </c>
      <c r="B7" s="11" t="s">
        <v>1566</v>
      </c>
      <c r="C7" s="11">
        <v>1</v>
      </c>
      <c r="D7" s="11" t="s">
        <v>242</v>
      </c>
      <c r="E7" s="11"/>
      <c r="F7" s="11" t="s">
        <v>5202</v>
      </c>
      <c r="G7" s="11" t="s">
        <v>5457</v>
      </c>
      <c r="H7" s="11"/>
      <c r="I7" s="11"/>
      <c r="J7" s="11"/>
    </row>
    <row r="8" spans="1:10" ht="30">
      <c r="A8" s="11">
        <v>6</v>
      </c>
      <c r="B8" s="11" t="s">
        <v>90</v>
      </c>
      <c r="C8" s="11">
        <v>10</v>
      </c>
      <c r="D8" s="11" t="s">
        <v>242</v>
      </c>
      <c r="E8" s="11"/>
      <c r="F8" s="11" t="s">
        <v>5203</v>
      </c>
      <c r="G8" s="11" t="s">
        <v>5204</v>
      </c>
      <c r="H8" s="11"/>
      <c r="I8" s="11"/>
      <c r="J8" s="11"/>
    </row>
    <row r="9" spans="1:10">
      <c r="A9" s="11">
        <v>7</v>
      </c>
      <c r="B9" s="11" t="s">
        <v>1436</v>
      </c>
      <c r="C9" s="11">
        <v>16</v>
      </c>
      <c r="D9" s="11" t="s">
        <v>242</v>
      </c>
      <c r="E9" s="11"/>
      <c r="F9" s="11" t="s">
        <v>1762</v>
      </c>
      <c r="G9" s="11" t="s">
        <v>5455</v>
      </c>
      <c r="H9" s="11"/>
      <c r="I9" s="11" t="s">
        <v>5387</v>
      </c>
      <c r="J9" s="11"/>
    </row>
    <row r="10" spans="1:10" ht="30">
      <c r="A10" s="11">
        <v>8</v>
      </c>
      <c r="B10" s="11" t="s">
        <v>1428</v>
      </c>
      <c r="C10" s="11">
        <v>14</v>
      </c>
      <c r="D10" s="11" t="s">
        <v>242</v>
      </c>
      <c r="E10" s="11"/>
      <c r="F10" s="11" t="s">
        <v>5538</v>
      </c>
      <c r="G10" s="11" t="s">
        <v>5456</v>
      </c>
      <c r="H10" s="11"/>
      <c r="I10" s="11"/>
      <c r="J10" s="11" t="s">
        <v>5388</v>
      </c>
    </row>
    <row r="11" spans="1:10" ht="60">
      <c r="A11" s="11">
        <v>9</v>
      </c>
      <c r="B11" s="11" t="s">
        <v>1567</v>
      </c>
      <c r="C11" s="11">
        <v>1</v>
      </c>
      <c r="D11" s="11" t="s">
        <v>242</v>
      </c>
      <c r="E11" s="11"/>
      <c r="F11" s="11" t="s">
        <v>5205</v>
      </c>
      <c r="G11" s="16" t="s">
        <v>5458</v>
      </c>
      <c r="H11" s="11"/>
      <c r="I11" s="11"/>
      <c r="J11" s="11"/>
    </row>
    <row r="12" spans="1:10" ht="30">
      <c r="A12" s="11">
        <v>10</v>
      </c>
      <c r="B12" s="11" t="s">
        <v>706</v>
      </c>
      <c r="C12" s="11">
        <v>14</v>
      </c>
      <c r="D12" s="11" t="s">
        <v>189</v>
      </c>
      <c r="E12" s="11"/>
      <c r="F12" s="11" t="s">
        <v>1701</v>
      </c>
      <c r="G12" s="11" t="s">
        <v>5206</v>
      </c>
      <c r="H12" s="11"/>
      <c r="I12" s="11"/>
      <c r="J12" s="11"/>
    </row>
    <row r="13" spans="1:10" ht="30">
      <c r="A13" s="11">
        <v>11</v>
      </c>
      <c r="B13" s="11" t="s">
        <v>1568</v>
      </c>
      <c r="C13" s="11">
        <v>14</v>
      </c>
      <c r="D13" s="11" t="s">
        <v>189</v>
      </c>
      <c r="E13" s="11"/>
      <c r="F13" s="11" t="s">
        <v>5207</v>
      </c>
      <c r="G13" s="11" t="s">
        <v>5208</v>
      </c>
      <c r="H13" s="11"/>
      <c r="I13" s="11"/>
      <c r="J13" s="11"/>
    </row>
    <row r="14" spans="1:10" ht="30">
      <c r="A14" s="11">
        <v>12</v>
      </c>
      <c r="B14" s="11" t="s">
        <v>150</v>
      </c>
      <c r="C14" s="11">
        <v>200</v>
      </c>
      <c r="D14" s="11" t="s">
        <v>242</v>
      </c>
      <c r="E14" s="11"/>
      <c r="F14" s="11" t="s">
        <v>1803</v>
      </c>
      <c r="G14" s="11" t="s">
        <v>5209</v>
      </c>
      <c r="H14" s="11"/>
      <c r="I14" s="11"/>
      <c r="J14" s="11"/>
    </row>
    <row r="15" spans="1:10" ht="30">
      <c r="A15" s="11">
        <v>13</v>
      </c>
      <c r="B15" s="11" t="s">
        <v>1443</v>
      </c>
      <c r="C15" s="11">
        <v>26</v>
      </c>
      <c r="D15" s="11" t="s">
        <v>242</v>
      </c>
      <c r="E15" s="11"/>
      <c r="F15" s="11" t="s">
        <v>5210</v>
      </c>
      <c r="G15" s="11" t="s">
        <v>5211</v>
      </c>
      <c r="H15" s="11"/>
      <c r="I15" s="11"/>
      <c r="J15" s="11"/>
    </row>
    <row r="16" spans="1:10" ht="30">
      <c r="A16" s="11">
        <v>14</v>
      </c>
      <c r="B16" s="11" t="s">
        <v>1569</v>
      </c>
      <c r="C16" s="11">
        <v>1</v>
      </c>
      <c r="D16" s="11" t="s">
        <v>242</v>
      </c>
      <c r="E16" s="11"/>
      <c r="F16" s="11" t="s">
        <v>5212</v>
      </c>
      <c r="G16" s="11" t="s">
        <v>5465</v>
      </c>
      <c r="H16" s="11"/>
      <c r="I16" s="11"/>
      <c r="J16" s="11"/>
    </row>
    <row r="17" spans="1:10" ht="30">
      <c r="A17" s="11">
        <v>15</v>
      </c>
      <c r="B17" s="11" t="s">
        <v>1570</v>
      </c>
      <c r="C17" s="11">
        <v>1</v>
      </c>
      <c r="D17" s="11" t="s">
        <v>242</v>
      </c>
      <c r="E17" s="11"/>
      <c r="F17" s="11" t="s">
        <v>5213</v>
      </c>
      <c r="G17" s="11" t="s">
        <v>5466</v>
      </c>
      <c r="H17" s="11"/>
      <c r="I17" s="11"/>
      <c r="J17" s="11"/>
    </row>
    <row r="18" spans="1:10" ht="45">
      <c r="A18" s="11">
        <v>16</v>
      </c>
      <c r="B18" s="11" t="s">
        <v>1571</v>
      </c>
      <c r="C18" s="11">
        <v>1</v>
      </c>
      <c r="D18" s="11" t="s">
        <v>242</v>
      </c>
      <c r="E18" s="11"/>
      <c r="F18" s="11" t="s">
        <v>5214</v>
      </c>
      <c r="G18" s="11" t="s">
        <v>5459</v>
      </c>
      <c r="H18" s="11"/>
      <c r="I18" s="11"/>
      <c r="J18" s="11"/>
    </row>
    <row r="19" spans="1:10" ht="30">
      <c r="A19" s="11">
        <v>17</v>
      </c>
      <c r="B19" s="11" t="s">
        <v>105</v>
      </c>
      <c r="C19" s="11">
        <v>10</v>
      </c>
      <c r="D19" s="11" t="s">
        <v>242</v>
      </c>
      <c r="E19" s="11"/>
      <c r="F19" s="11" t="s">
        <v>5215</v>
      </c>
      <c r="G19" s="11" t="s">
        <v>5216</v>
      </c>
      <c r="H19" s="11"/>
      <c r="I19" s="11"/>
      <c r="J19" s="11"/>
    </row>
    <row r="20" spans="1:10" ht="30">
      <c r="A20" s="11">
        <v>18</v>
      </c>
      <c r="B20" s="11" t="s">
        <v>163</v>
      </c>
      <c r="C20" s="11">
        <v>14</v>
      </c>
      <c r="D20" s="11" t="s">
        <v>161</v>
      </c>
      <c r="E20" s="11" t="s">
        <v>1033</v>
      </c>
      <c r="F20" s="11" t="s">
        <v>5217</v>
      </c>
      <c r="G20" s="11" t="s">
        <v>5218</v>
      </c>
      <c r="H20" s="11"/>
      <c r="I20" s="11"/>
      <c r="J20" s="11"/>
    </row>
    <row r="21" spans="1:10" ht="45">
      <c r="A21" s="11">
        <v>19</v>
      </c>
      <c r="B21" s="11" t="s">
        <v>1182</v>
      </c>
      <c r="C21" s="11">
        <v>12</v>
      </c>
      <c r="D21" s="11" t="s">
        <v>189</v>
      </c>
      <c r="E21" s="11" t="s">
        <v>5576</v>
      </c>
      <c r="F21" s="11" t="s">
        <v>1688</v>
      </c>
      <c r="G21" s="11" t="s">
        <v>1689</v>
      </c>
      <c r="H21" s="11"/>
      <c r="I21" s="11"/>
      <c r="J21" s="11"/>
    </row>
    <row r="22" spans="1:10" ht="45">
      <c r="A22" s="11">
        <v>20</v>
      </c>
      <c r="B22" s="11" t="s">
        <v>1183</v>
      </c>
      <c r="C22" s="11">
        <v>30</v>
      </c>
      <c r="D22" s="11" t="s">
        <v>242</v>
      </c>
      <c r="E22" s="11" t="s">
        <v>5576</v>
      </c>
      <c r="F22" s="11" t="s">
        <v>1690</v>
      </c>
      <c r="G22" s="11" t="s">
        <v>1691</v>
      </c>
      <c r="H22" s="11"/>
      <c r="I22" s="11"/>
      <c r="J22" s="11"/>
    </row>
    <row r="36" spans="2:10">
      <c r="J36" s="7"/>
    </row>
    <row r="37" spans="2:10">
      <c r="J37" s="5"/>
    </row>
    <row r="46" spans="2:10">
      <c r="B46" s="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31F76-8355-4CF3-8AC3-5ED38436FFE2}">
  <sheetPr codeName="Sheet26"/>
  <dimension ref="A1:I45"/>
  <sheetViews>
    <sheetView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9">
      <c r="A1" s="12" t="s">
        <v>238</v>
      </c>
      <c r="B1" s="12"/>
      <c r="C1" s="12"/>
      <c r="D1" s="12"/>
      <c r="E1" s="12"/>
      <c r="F1" s="12"/>
      <c r="G1" s="12"/>
      <c r="H1" s="89" t="s">
        <v>5365</v>
      </c>
      <c r="I1" s="91"/>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8</v>
      </c>
      <c r="D3" s="11" t="s">
        <v>160</v>
      </c>
      <c r="E3" s="11" t="s">
        <v>177</v>
      </c>
      <c r="F3" s="11" t="s">
        <v>1686</v>
      </c>
      <c r="G3" s="11" t="s">
        <v>1687</v>
      </c>
      <c r="H3" s="11" t="s">
        <v>5382</v>
      </c>
      <c r="I3" s="11" t="s">
        <v>5387</v>
      </c>
    </row>
    <row r="4" spans="1:9">
      <c r="A4" s="11">
        <v>2</v>
      </c>
      <c r="B4" s="11" t="s">
        <v>87</v>
      </c>
      <c r="C4" s="11">
        <v>14</v>
      </c>
      <c r="D4" s="11" t="s">
        <v>242</v>
      </c>
      <c r="E4" s="11"/>
      <c r="F4" s="11" t="s">
        <v>5369</v>
      </c>
      <c r="G4" s="11" t="s">
        <v>5370</v>
      </c>
      <c r="H4" s="11"/>
      <c r="I4" s="11"/>
    </row>
    <row r="5" spans="1:9">
      <c r="A5" s="11">
        <v>3</v>
      </c>
      <c r="B5" s="11" t="s">
        <v>708</v>
      </c>
      <c r="C5" s="11">
        <v>8</v>
      </c>
      <c r="D5" s="11" t="s">
        <v>242</v>
      </c>
      <c r="E5" s="11"/>
      <c r="F5" s="11" t="s">
        <v>5368</v>
      </c>
      <c r="G5" s="11" t="s">
        <v>5467</v>
      </c>
      <c r="H5" s="11"/>
      <c r="I5" s="11"/>
    </row>
    <row r="6" spans="1:9" ht="105">
      <c r="A6" s="11">
        <v>4</v>
      </c>
      <c r="B6" s="11" t="s">
        <v>709</v>
      </c>
      <c r="C6" s="11">
        <v>14</v>
      </c>
      <c r="D6" s="11" t="s">
        <v>242</v>
      </c>
      <c r="E6" s="11"/>
      <c r="F6" s="11" t="s">
        <v>2389</v>
      </c>
      <c r="G6" s="11" t="s">
        <v>5381</v>
      </c>
      <c r="H6" s="11"/>
      <c r="I6" s="11" t="s">
        <v>5386</v>
      </c>
    </row>
    <row r="7" spans="1:9" ht="30">
      <c r="A7" s="11">
        <v>5</v>
      </c>
      <c r="B7" s="11" t="s">
        <v>710</v>
      </c>
      <c r="C7" s="11">
        <v>16</v>
      </c>
      <c r="D7" s="11" t="s">
        <v>242</v>
      </c>
      <c r="E7" s="11"/>
      <c r="F7" s="11" t="s">
        <v>1762</v>
      </c>
      <c r="G7" s="11" t="s">
        <v>4992</v>
      </c>
      <c r="H7" s="11" t="s">
        <v>5384</v>
      </c>
      <c r="I7" s="11" t="s">
        <v>1291</v>
      </c>
    </row>
    <row r="8" spans="1:9" ht="30">
      <c r="A8" s="67">
        <v>6</v>
      </c>
      <c r="B8" s="11" t="s">
        <v>711</v>
      </c>
      <c r="C8" s="11">
        <v>10</v>
      </c>
      <c r="D8" s="11" t="s">
        <v>242</v>
      </c>
      <c r="E8" s="11"/>
      <c r="F8" s="11" t="s">
        <v>5469</v>
      </c>
      <c r="G8" s="11" t="s">
        <v>5468</v>
      </c>
      <c r="H8" s="11"/>
      <c r="I8" s="11" t="s">
        <v>1291</v>
      </c>
    </row>
    <row r="9" spans="1:9" ht="30">
      <c r="A9" s="67">
        <v>7</v>
      </c>
      <c r="B9" s="11" t="s">
        <v>712</v>
      </c>
      <c r="C9" s="11">
        <v>14</v>
      </c>
      <c r="D9" s="11" t="s">
        <v>189</v>
      </c>
      <c r="E9" s="11"/>
      <c r="F9" s="11" t="s">
        <v>2607</v>
      </c>
      <c r="G9" s="11" t="s">
        <v>4993</v>
      </c>
      <c r="H9" s="11"/>
      <c r="I9" s="11" t="s">
        <v>1291</v>
      </c>
    </row>
    <row r="10" spans="1:9" ht="30">
      <c r="A10" s="67">
        <v>8</v>
      </c>
      <c r="B10" s="11" t="s">
        <v>713</v>
      </c>
      <c r="C10" s="11">
        <v>8</v>
      </c>
      <c r="D10" s="11" t="s">
        <v>160</v>
      </c>
      <c r="E10" s="11" t="s">
        <v>177</v>
      </c>
      <c r="F10" s="11" t="s">
        <v>2359</v>
      </c>
      <c r="G10" s="11" t="s">
        <v>4994</v>
      </c>
      <c r="H10" s="11"/>
      <c r="I10" s="11"/>
    </row>
    <row r="11" spans="1:9" ht="30">
      <c r="A11" s="67">
        <v>9</v>
      </c>
      <c r="B11" s="11" t="s">
        <v>714</v>
      </c>
      <c r="C11" s="11">
        <v>8</v>
      </c>
      <c r="D11" s="11" t="s">
        <v>160</v>
      </c>
      <c r="E11" s="11" t="s">
        <v>177</v>
      </c>
      <c r="F11" s="11" t="s">
        <v>4997</v>
      </c>
      <c r="G11" s="11" t="s">
        <v>5594</v>
      </c>
      <c r="H11" s="11"/>
      <c r="I11" s="11"/>
    </row>
    <row r="12" spans="1:9" ht="30">
      <c r="A12" s="67">
        <v>10</v>
      </c>
      <c r="B12" s="11" t="s">
        <v>816</v>
      </c>
      <c r="C12" s="11">
        <v>8</v>
      </c>
      <c r="D12" s="11" t="s">
        <v>160</v>
      </c>
      <c r="E12" s="11" t="s">
        <v>177</v>
      </c>
      <c r="F12" s="11" t="s">
        <v>5470</v>
      </c>
      <c r="G12" s="11" t="s">
        <v>5001</v>
      </c>
      <c r="H12" s="11"/>
      <c r="I12" s="11"/>
    </row>
    <row r="13" spans="1:9" ht="30">
      <c r="A13" s="67">
        <v>11</v>
      </c>
      <c r="B13" s="11" t="s">
        <v>715</v>
      </c>
      <c r="C13" s="11">
        <v>1</v>
      </c>
      <c r="D13" s="11" t="s">
        <v>242</v>
      </c>
      <c r="E13" s="11"/>
      <c r="F13" s="11" t="s">
        <v>4998</v>
      </c>
      <c r="G13" s="11" t="s">
        <v>4995</v>
      </c>
      <c r="H13" s="11" t="s">
        <v>1291</v>
      </c>
      <c r="I13" s="11"/>
    </row>
    <row r="14" spans="1:9" ht="30">
      <c r="A14" s="67">
        <v>12</v>
      </c>
      <c r="B14" s="11" t="s">
        <v>817</v>
      </c>
      <c r="C14" s="11">
        <v>1</v>
      </c>
      <c r="D14" s="11" t="s">
        <v>242</v>
      </c>
      <c r="E14" s="11"/>
      <c r="F14" s="11" t="s">
        <v>4999</v>
      </c>
      <c r="G14" s="11" t="s">
        <v>5471</v>
      </c>
      <c r="H14" s="11"/>
      <c r="I14" s="11"/>
    </row>
    <row r="15" spans="1:9" ht="30">
      <c r="A15" s="67">
        <v>13</v>
      </c>
      <c r="B15" s="11" t="s">
        <v>716</v>
      </c>
      <c r="C15" s="11">
        <v>4</v>
      </c>
      <c r="D15" s="11" t="s">
        <v>242</v>
      </c>
      <c r="E15" s="11"/>
      <c r="F15" s="11" t="s">
        <v>5000</v>
      </c>
      <c r="G15" s="11" t="s">
        <v>4996</v>
      </c>
      <c r="H15" s="11"/>
      <c r="I15" s="11"/>
    </row>
    <row r="16" spans="1:9" ht="45">
      <c r="A16" s="67">
        <v>14</v>
      </c>
      <c r="B16" s="11" t="s">
        <v>1182</v>
      </c>
      <c r="C16" s="11">
        <v>12</v>
      </c>
      <c r="D16" s="11" t="s">
        <v>189</v>
      </c>
      <c r="E16" s="11" t="s">
        <v>5576</v>
      </c>
      <c r="F16" s="11" t="s">
        <v>1688</v>
      </c>
      <c r="G16" s="11" t="s">
        <v>1689</v>
      </c>
      <c r="H16" s="11"/>
      <c r="I16" s="11"/>
    </row>
    <row r="17" spans="1:9" ht="45">
      <c r="A17" s="67">
        <v>15</v>
      </c>
      <c r="B17" s="11" t="s">
        <v>1183</v>
      </c>
      <c r="C17" s="11">
        <v>30</v>
      </c>
      <c r="D17" s="11" t="s">
        <v>242</v>
      </c>
      <c r="E17" s="11" t="s">
        <v>5576</v>
      </c>
      <c r="F17" s="11" t="s">
        <v>1690</v>
      </c>
      <c r="G17" s="11" t="s">
        <v>1691</v>
      </c>
      <c r="H17" s="11"/>
      <c r="I17" s="11"/>
    </row>
    <row r="45" spans="2:2">
      <c r="B45" s="9"/>
    </row>
  </sheetData>
  <mergeCells count="1">
    <mergeCell ref="H1:I1"/>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24C26-342A-416B-91CA-4AA7D5211098}">
  <sheetPr codeName="Sheet30"/>
  <dimension ref="A1:M65"/>
  <sheetViews>
    <sheetView topLeftCell="A28" workbookViewId="0">
      <selection activeCell="C22" sqref="C22"/>
    </sheetView>
  </sheetViews>
  <sheetFormatPr defaultRowHeight="15"/>
  <cols>
    <col min="1" max="1" width="9.140625" style="44"/>
    <col min="2" max="2" width="18.85546875" style="44" bestFit="1" customWidth="1"/>
    <col min="3" max="4" width="9.140625" style="44"/>
    <col min="5" max="5" width="11" style="44" bestFit="1" customWidth="1"/>
    <col min="6" max="6" width="31.5703125" style="44" customWidth="1"/>
    <col min="7" max="7" width="57.42578125" style="44" customWidth="1"/>
    <col min="8" max="9" width="9.140625" style="44"/>
    <col min="10" max="10" width="30.85546875" style="44" bestFit="1" customWidth="1"/>
    <col min="11" max="11" width="36.85546875" style="44" bestFit="1" customWidth="1"/>
    <col min="12" max="12" width="25" style="44" customWidth="1"/>
    <col min="13" max="13" width="38.42578125" style="44" customWidth="1"/>
    <col min="14" max="16384" width="9.140625" style="44"/>
  </cols>
  <sheetData>
    <row r="1" spans="1:13">
      <c r="A1" s="41" t="s">
        <v>238</v>
      </c>
      <c r="B1" s="41"/>
      <c r="C1" s="41"/>
      <c r="D1" s="41"/>
      <c r="E1" s="41"/>
      <c r="F1" s="41"/>
      <c r="G1" s="41"/>
      <c r="H1" s="92" t="s">
        <v>5363</v>
      </c>
      <c r="I1" s="93"/>
    </row>
    <row r="2" spans="1:13">
      <c r="A2" s="10" t="s">
        <v>350</v>
      </c>
      <c r="B2" s="10" t="s">
        <v>156</v>
      </c>
      <c r="C2" s="10" t="s">
        <v>157</v>
      </c>
      <c r="D2" s="10" t="s">
        <v>239</v>
      </c>
      <c r="E2" s="10" t="s">
        <v>159</v>
      </c>
      <c r="F2" s="10" t="s">
        <v>1684</v>
      </c>
      <c r="G2" s="10" t="s">
        <v>1685</v>
      </c>
      <c r="H2" s="10" t="s">
        <v>5371</v>
      </c>
      <c r="I2" s="10" t="s">
        <v>5372</v>
      </c>
    </row>
    <row r="3" spans="1:13">
      <c r="A3" s="42">
        <v>1</v>
      </c>
      <c r="B3" s="42" t="s">
        <v>240</v>
      </c>
      <c r="C3" s="42">
        <v>8</v>
      </c>
      <c r="D3" s="42" t="s">
        <v>160</v>
      </c>
      <c r="E3" s="42" t="s">
        <v>177</v>
      </c>
      <c r="F3" s="42" t="s">
        <v>1686</v>
      </c>
      <c r="G3" s="42" t="s">
        <v>1687</v>
      </c>
      <c r="H3" s="42" t="s">
        <v>5382</v>
      </c>
      <c r="I3" s="42" t="s">
        <v>5386</v>
      </c>
    </row>
    <row r="4" spans="1:13">
      <c r="A4" s="42">
        <v>2</v>
      </c>
      <c r="B4" s="42" t="s">
        <v>540</v>
      </c>
      <c r="C4" s="42">
        <v>2</v>
      </c>
      <c r="D4" s="42" t="s">
        <v>242</v>
      </c>
      <c r="E4" s="42"/>
      <c r="F4" s="42" t="s">
        <v>5161</v>
      </c>
      <c r="G4" s="42" t="s">
        <v>5472</v>
      </c>
      <c r="H4" s="42" t="s">
        <v>5384</v>
      </c>
      <c r="I4" s="42" t="s">
        <v>5387</v>
      </c>
    </row>
    <row r="5" spans="1:13" ht="30">
      <c r="A5" s="42">
        <v>3</v>
      </c>
      <c r="B5" s="42" t="s">
        <v>541</v>
      </c>
      <c r="C5" s="42">
        <v>30</v>
      </c>
      <c r="D5" s="42" t="s">
        <v>242</v>
      </c>
      <c r="E5" s="42"/>
      <c r="F5" s="42" t="s">
        <v>5162</v>
      </c>
      <c r="G5" s="42" t="s">
        <v>5163</v>
      </c>
      <c r="H5" s="42"/>
      <c r="I5" s="42"/>
    </row>
    <row r="6" spans="1:13" ht="30">
      <c r="A6" s="42">
        <v>4</v>
      </c>
      <c r="B6" s="42" t="s">
        <v>542</v>
      </c>
      <c r="C6" s="42">
        <v>2</v>
      </c>
      <c r="D6" s="42" t="s">
        <v>242</v>
      </c>
      <c r="E6" s="42"/>
      <c r="F6" s="42" t="s">
        <v>5164</v>
      </c>
      <c r="G6" s="42" t="s">
        <v>5165</v>
      </c>
      <c r="H6" s="42"/>
      <c r="I6" s="42"/>
    </row>
    <row r="7" spans="1:13" ht="30">
      <c r="A7" s="42">
        <v>5</v>
      </c>
      <c r="B7" s="42" t="s">
        <v>543</v>
      </c>
      <c r="C7" s="42">
        <v>1</v>
      </c>
      <c r="D7" s="42" t="s">
        <v>242</v>
      </c>
      <c r="E7" s="42"/>
      <c r="F7" s="42" t="s">
        <v>5166</v>
      </c>
      <c r="G7" s="42" t="s">
        <v>5167</v>
      </c>
      <c r="H7" s="42"/>
      <c r="I7" s="42"/>
    </row>
    <row r="8" spans="1:13" ht="18">
      <c r="A8" s="59">
        <v>6</v>
      </c>
      <c r="B8" s="59" t="s">
        <v>6073</v>
      </c>
      <c r="C8" s="59">
        <v>1</v>
      </c>
      <c r="D8" s="59" t="s">
        <v>242</v>
      </c>
      <c r="E8" s="59"/>
      <c r="F8" s="75" t="s">
        <v>6074</v>
      </c>
      <c r="G8" s="75" t="s">
        <v>6075</v>
      </c>
      <c r="H8" s="59"/>
      <c r="I8" s="59"/>
      <c r="J8" s="72" t="s">
        <v>5974</v>
      </c>
      <c r="K8" s="50"/>
      <c r="L8"/>
      <c r="M8"/>
    </row>
    <row r="9" spans="1:13">
      <c r="A9" s="59">
        <v>7</v>
      </c>
      <c r="B9" s="59" t="s">
        <v>6076</v>
      </c>
      <c r="C9" s="59">
        <v>1</v>
      </c>
      <c r="D9" s="59" t="s">
        <v>242</v>
      </c>
      <c r="E9" s="59"/>
      <c r="F9" s="75" t="s">
        <v>6077</v>
      </c>
      <c r="G9" s="75" t="s">
        <v>6078</v>
      </c>
      <c r="H9" s="59"/>
      <c r="I9" s="59"/>
      <c r="J9" s="72" t="s">
        <v>5974</v>
      </c>
      <c r="K9"/>
      <c r="L9"/>
      <c r="M9"/>
    </row>
    <row r="10" spans="1:13">
      <c r="A10" s="59">
        <v>8</v>
      </c>
      <c r="B10" s="59" t="s">
        <v>6079</v>
      </c>
      <c r="C10" s="59">
        <v>2</v>
      </c>
      <c r="D10" s="59" t="s">
        <v>242</v>
      </c>
      <c r="E10" s="59"/>
      <c r="F10" s="75" t="s">
        <v>6080</v>
      </c>
      <c r="G10" s="75" t="s">
        <v>6081</v>
      </c>
      <c r="H10" s="59"/>
      <c r="I10" s="59"/>
      <c r="J10" s="72" t="s">
        <v>5974</v>
      </c>
      <c r="K10" s="23"/>
      <c r="L10" s="23"/>
      <c r="M10" s="23"/>
    </row>
    <row r="11" spans="1:13">
      <c r="A11" s="59">
        <v>9</v>
      </c>
      <c r="B11" s="59" t="s">
        <v>6082</v>
      </c>
      <c r="C11" s="59">
        <v>1</v>
      </c>
      <c r="D11" s="59" t="s">
        <v>242</v>
      </c>
      <c r="E11" s="59"/>
      <c r="F11" s="75" t="s">
        <v>6083</v>
      </c>
      <c r="G11" s="75" t="s">
        <v>6084</v>
      </c>
      <c r="H11" s="59"/>
      <c r="I11" s="59"/>
      <c r="J11" s="72" t="s">
        <v>5974</v>
      </c>
      <c r="K11" s="49"/>
      <c r="L11" s="24"/>
      <c r="M11" s="24"/>
    </row>
    <row r="12" spans="1:13">
      <c r="A12" s="59">
        <v>10</v>
      </c>
      <c r="B12" s="59" t="s">
        <v>6085</v>
      </c>
      <c r="C12" s="59">
        <v>2</v>
      </c>
      <c r="D12" s="59" t="s">
        <v>242</v>
      </c>
      <c r="E12" s="59"/>
      <c r="F12" s="75" t="s">
        <v>6086</v>
      </c>
      <c r="G12" s="75" t="s">
        <v>6087</v>
      </c>
      <c r="H12" s="59"/>
      <c r="I12" s="59"/>
      <c r="J12" s="72" t="s">
        <v>5974</v>
      </c>
      <c r="K12" s="49"/>
    </row>
    <row r="13" spans="1:13">
      <c r="A13" s="59">
        <v>11</v>
      </c>
      <c r="B13" s="59" t="s">
        <v>6088</v>
      </c>
      <c r="C13" s="59">
        <v>2</v>
      </c>
      <c r="D13" s="59" t="s">
        <v>242</v>
      </c>
      <c r="E13" s="59"/>
      <c r="F13" s="75" t="s">
        <v>6089</v>
      </c>
      <c r="G13" s="75" t="s">
        <v>6090</v>
      </c>
      <c r="H13" s="59"/>
      <c r="I13" s="59"/>
      <c r="J13" s="72" t="s">
        <v>5974</v>
      </c>
      <c r="K13" s="49"/>
    </row>
    <row r="14" spans="1:13">
      <c r="A14" s="59">
        <v>12</v>
      </c>
      <c r="B14" s="59" t="s">
        <v>6091</v>
      </c>
      <c r="C14" s="59">
        <v>1</v>
      </c>
      <c r="D14" s="59" t="s">
        <v>242</v>
      </c>
      <c r="E14" s="59"/>
      <c r="F14" s="75" t="s">
        <v>6092</v>
      </c>
      <c r="G14" s="75" t="s">
        <v>6093</v>
      </c>
      <c r="H14" s="59"/>
      <c r="I14" s="59"/>
      <c r="J14" s="72" t="s">
        <v>5974</v>
      </c>
      <c r="K14" s="49"/>
    </row>
    <row r="15" spans="1:13">
      <c r="A15" s="59">
        <v>13</v>
      </c>
      <c r="B15" s="59" t="s">
        <v>6094</v>
      </c>
      <c r="C15" s="59">
        <v>1</v>
      </c>
      <c r="D15" s="59" t="s">
        <v>242</v>
      </c>
      <c r="E15" s="59"/>
      <c r="F15" s="75" t="s">
        <v>6095</v>
      </c>
      <c r="G15" s="75" t="s">
        <v>6096</v>
      </c>
      <c r="H15" s="59"/>
      <c r="I15" s="59"/>
      <c r="J15" s="72" t="s">
        <v>5974</v>
      </c>
      <c r="K15" s="49"/>
    </row>
    <row r="16" spans="1:13">
      <c r="A16" s="59">
        <v>14</v>
      </c>
      <c r="B16" s="59" t="s">
        <v>6097</v>
      </c>
      <c r="C16" s="59">
        <v>1</v>
      </c>
      <c r="D16" s="59" t="s">
        <v>242</v>
      </c>
      <c r="E16" s="59"/>
      <c r="F16" s="75" t="s">
        <v>6098</v>
      </c>
      <c r="G16" s="75" t="s">
        <v>6099</v>
      </c>
      <c r="H16" s="59"/>
      <c r="I16" s="59"/>
      <c r="J16" s="72" t="s">
        <v>5974</v>
      </c>
      <c r="K16" s="49"/>
    </row>
    <row r="17" spans="1:13">
      <c r="A17" s="59">
        <v>15</v>
      </c>
      <c r="B17" s="59" t="s">
        <v>6100</v>
      </c>
      <c r="C17" s="59">
        <v>2</v>
      </c>
      <c r="D17" s="59" t="s">
        <v>242</v>
      </c>
      <c r="E17" s="59"/>
      <c r="F17" s="75" t="s">
        <v>6101</v>
      </c>
      <c r="G17" s="75" t="s">
        <v>6102</v>
      </c>
      <c r="H17" s="59"/>
      <c r="I17" s="59"/>
      <c r="J17" s="72" t="s">
        <v>5974</v>
      </c>
      <c r="K17" s="49"/>
    </row>
    <row r="18" spans="1:13">
      <c r="A18" s="59">
        <v>16</v>
      </c>
      <c r="B18" s="59" t="s">
        <v>6103</v>
      </c>
      <c r="C18" s="59">
        <v>2</v>
      </c>
      <c r="D18" s="59" t="s">
        <v>242</v>
      </c>
      <c r="E18" s="59"/>
      <c r="F18" s="75" t="s">
        <v>6104</v>
      </c>
      <c r="G18" s="75" t="s">
        <v>6105</v>
      </c>
      <c r="H18" s="59"/>
      <c r="I18" s="59"/>
      <c r="J18" s="72" t="s">
        <v>5974</v>
      </c>
      <c r="K18" s="49"/>
    </row>
    <row r="19" spans="1:13">
      <c r="A19" s="59">
        <v>17</v>
      </c>
      <c r="B19" s="59" t="s">
        <v>6106</v>
      </c>
      <c r="C19" s="59">
        <v>2</v>
      </c>
      <c r="D19" s="59" t="s">
        <v>242</v>
      </c>
      <c r="E19" s="59"/>
      <c r="F19" s="75" t="s">
        <v>6104</v>
      </c>
      <c r="G19" s="75" t="s">
        <v>6105</v>
      </c>
      <c r="H19" s="59"/>
      <c r="I19" s="59"/>
      <c r="J19" s="72" t="s">
        <v>5974</v>
      </c>
      <c r="K19" s="49"/>
    </row>
    <row r="20" spans="1:13">
      <c r="A20" s="59">
        <v>18</v>
      </c>
      <c r="B20" s="59" t="s">
        <v>6107</v>
      </c>
      <c r="C20" s="59">
        <v>2</v>
      </c>
      <c r="D20" s="59" t="s">
        <v>242</v>
      </c>
      <c r="E20" s="59"/>
      <c r="F20" s="75" t="s">
        <v>6104</v>
      </c>
      <c r="G20" s="75" t="s">
        <v>6105</v>
      </c>
      <c r="H20" s="59"/>
      <c r="I20" s="59"/>
      <c r="J20" s="72" t="s">
        <v>5974</v>
      </c>
      <c r="K20"/>
      <c r="L20"/>
      <c r="M20"/>
    </row>
    <row r="21" spans="1:13" ht="18">
      <c r="A21" s="59">
        <v>19</v>
      </c>
      <c r="B21" s="59" t="s">
        <v>6108</v>
      </c>
      <c r="C21" s="59">
        <v>2</v>
      </c>
      <c r="D21" s="59" t="s">
        <v>242</v>
      </c>
      <c r="E21" s="59"/>
      <c r="F21" s="75" t="s">
        <v>6104</v>
      </c>
      <c r="G21" s="75" t="s">
        <v>6105</v>
      </c>
      <c r="H21" s="59"/>
      <c r="I21" s="59"/>
      <c r="J21" s="72" t="s">
        <v>5974</v>
      </c>
      <c r="K21" s="50"/>
      <c r="L21"/>
      <c r="M21"/>
    </row>
    <row r="22" spans="1:13">
      <c r="A22" s="59">
        <v>20</v>
      </c>
      <c r="B22" s="59" t="s">
        <v>6109</v>
      </c>
      <c r="C22" s="59">
        <v>2</v>
      </c>
      <c r="D22" s="59" t="s">
        <v>242</v>
      </c>
      <c r="E22" s="59"/>
      <c r="F22" s="75" t="s">
        <v>6104</v>
      </c>
      <c r="G22" s="75" t="s">
        <v>6105</v>
      </c>
      <c r="H22" s="59"/>
      <c r="I22" s="59"/>
      <c r="J22" s="72" t="s">
        <v>5974</v>
      </c>
      <c r="K22"/>
      <c r="L22"/>
      <c r="M22"/>
    </row>
    <row r="23" spans="1:13">
      <c r="A23" s="59">
        <v>21</v>
      </c>
      <c r="B23" s="59" t="s">
        <v>6110</v>
      </c>
      <c r="C23" s="59">
        <v>2</v>
      </c>
      <c r="D23" s="59" t="s">
        <v>242</v>
      </c>
      <c r="E23" s="59"/>
      <c r="F23" s="75" t="s">
        <v>6104</v>
      </c>
      <c r="G23" s="75" t="s">
        <v>6105</v>
      </c>
      <c r="H23" s="59"/>
      <c r="I23" s="59"/>
      <c r="J23" s="72" t="s">
        <v>5974</v>
      </c>
      <c r="K23" s="23"/>
      <c r="L23" s="23"/>
      <c r="M23" s="23"/>
    </row>
    <row r="24" spans="1:13">
      <c r="A24" s="59">
        <v>22</v>
      </c>
      <c r="B24" s="59" t="s">
        <v>6111</v>
      </c>
      <c r="C24" s="59">
        <v>2</v>
      </c>
      <c r="D24" s="59" t="s">
        <v>242</v>
      </c>
      <c r="E24" s="59"/>
      <c r="F24" s="75" t="s">
        <v>6104</v>
      </c>
      <c r="G24" s="75" t="s">
        <v>6105</v>
      </c>
      <c r="H24" s="59"/>
      <c r="I24" s="59"/>
      <c r="J24" s="72" t="s">
        <v>5974</v>
      </c>
      <c r="K24" s="49"/>
      <c r="L24" s="24"/>
      <c r="M24" s="24"/>
    </row>
    <row r="25" spans="1:13">
      <c r="A25" s="59">
        <v>23</v>
      </c>
      <c r="B25" s="59" t="s">
        <v>6112</v>
      </c>
      <c r="C25" s="59">
        <v>2</v>
      </c>
      <c r="D25" s="59" t="s">
        <v>242</v>
      </c>
      <c r="E25" s="59"/>
      <c r="F25" s="75" t="s">
        <v>6104</v>
      </c>
      <c r="G25" s="75" t="s">
        <v>6105</v>
      </c>
      <c r="H25" s="59"/>
      <c r="I25" s="59"/>
      <c r="J25" s="72" t="s">
        <v>5974</v>
      </c>
      <c r="K25" s="49"/>
      <c r="L25" s="24"/>
      <c r="M25" s="24"/>
    </row>
    <row r="26" spans="1:13">
      <c r="A26" s="59">
        <v>24</v>
      </c>
      <c r="B26" s="59" t="s">
        <v>6113</v>
      </c>
      <c r="C26" s="59">
        <v>2</v>
      </c>
      <c r="D26" s="59" t="s">
        <v>242</v>
      </c>
      <c r="E26" s="59"/>
      <c r="F26" s="75" t="s">
        <v>6104</v>
      </c>
      <c r="G26" s="75" t="s">
        <v>6105</v>
      </c>
      <c r="H26" s="59"/>
      <c r="I26" s="59"/>
      <c r="J26" s="72" t="s">
        <v>5974</v>
      </c>
      <c r="K26" s="49"/>
    </row>
    <row r="27" spans="1:13">
      <c r="A27" s="59">
        <v>25</v>
      </c>
      <c r="B27" s="59" t="s">
        <v>6114</v>
      </c>
      <c r="C27" s="59">
        <v>1</v>
      </c>
      <c r="D27" s="59" t="s">
        <v>242</v>
      </c>
      <c r="E27" s="59"/>
      <c r="F27" s="75" t="s">
        <v>6115</v>
      </c>
      <c r="G27" s="75" t="s">
        <v>6116</v>
      </c>
      <c r="H27" s="59"/>
      <c r="I27" s="59"/>
      <c r="J27" s="72" t="s">
        <v>5974</v>
      </c>
      <c r="K27" s="49"/>
    </row>
    <row r="28" spans="1:13">
      <c r="A28" s="59">
        <v>26</v>
      </c>
      <c r="B28" s="59" t="s">
        <v>6117</v>
      </c>
      <c r="C28" s="59">
        <v>1</v>
      </c>
      <c r="D28" s="59" t="s">
        <v>242</v>
      </c>
      <c r="E28" s="59"/>
      <c r="F28" s="75" t="s">
        <v>6118</v>
      </c>
      <c r="G28" s="75" t="s">
        <v>6119</v>
      </c>
      <c r="H28" s="59"/>
      <c r="I28" s="59"/>
      <c r="J28" s="72" t="s">
        <v>5974</v>
      </c>
      <c r="K28"/>
      <c r="L28"/>
      <c r="M28"/>
    </row>
    <row r="29" spans="1:13" ht="18">
      <c r="A29" s="59">
        <v>27</v>
      </c>
      <c r="B29" s="59" t="s">
        <v>6120</v>
      </c>
      <c r="C29" s="59">
        <v>1</v>
      </c>
      <c r="D29" s="59" t="s">
        <v>242</v>
      </c>
      <c r="E29" s="59"/>
      <c r="F29" s="75" t="s">
        <v>6121</v>
      </c>
      <c r="G29" s="75" t="s">
        <v>6122</v>
      </c>
      <c r="H29" s="59"/>
      <c r="I29" s="59"/>
      <c r="J29" s="72" t="s">
        <v>5974</v>
      </c>
      <c r="K29" s="50"/>
      <c r="L29"/>
      <c r="M29"/>
    </row>
    <row r="30" spans="1:13">
      <c r="A30" s="59">
        <v>28</v>
      </c>
      <c r="B30" s="59" t="s">
        <v>6123</v>
      </c>
      <c r="C30" s="59">
        <v>1</v>
      </c>
      <c r="D30" s="59" t="s">
        <v>242</v>
      </c>
      <c r="E30" s="59"/>
      <c r="F30" s="75" t="s">
        <v>6124</v>
      </c>
      <c r="G30" s="75" t="s">
        <v>6125</v>
      </c>
      <c r="H30" s="59"/>
      <c r="I30" s="59"/>
      <c r="J30" s="72" t="s">
        <v>5974</v>
      </c>
      <c r="K30"/>
      <c r="L30"/>
      <c r="M30"/>
    </row>
    <row r="31" spans="1:13">
      <c r="A31" s="59">
        <v>29</v>
      </c>
      <c r="B31" s="59" t="s">
        <v>6126</v>
      </c>
      <c r="C31" s="59">
        <v>1</v>
      </c>
      <c r="D31" s="59" t="s">
        <v>242</v>
      </c>
      <c r="E31" s="59"/>
      <c r="F31" s="75" t="s">
        <v>6127</v>
      </c>
      <c r="G31" s="75" t="s">
        <v>6128</v>
      </c>
      <c r="H31" s="59"/>
      <c r="I31" s="59"/>
      <c r="J31" s="72" t="s">
        <v>5974</v>
      </c>
      <c r="K31" s="23"/>
      <c r="L31" s="23"/>
      <c r="M31" s="23"/>
    </row>
    <row r="32" spans="1:13">
      <c r="A32" s="59">
        <v>30</v>
      </c>
      <c r="B32" s="59" t="s">
        <v>6129</v>
      </c>
      <c r="C32" s="59">
        <v>1</v>
      </c>
      <c r="D32" s="59" t="s">
        <v>242</v>
      </c>
      <c r="E32" s="59"/>
      <c r="F32" s="75" t="s">
        <v>6130</v>
      </c>
      <c r="G32" s="75" t="s">
        <v>6131</v>
      </c>
      <c r="H32" s="59"/>
      <c r="I32" s="59"/>
      <c r="J32" s="72" t="s">
        <v>5974</v>
      </c>
      <c r="K32" s="49"/>
    </row>
    <row r="33" spans="1:13">
      <c r="A33" s="59">
        <v>31</v>
      </c>
      <c r="B33" s="59" t="s">
        <v>6132</v>
      </c>
      <c r="C33" s="59">
        <v>1</v>
      </c>
      <c r="D33" s="59" t="s">
        <v>242</v>
      </c>
      <c r="E33" s="59"/>
      <c r="F33" s="75" t="s">
        <v>6133</v>
      </c>
      <c r="G33" s="75" t="s">
        <v>6134</v>
      </c>
      <c r="H33" s="59"/>
      <c r="I33" s="59"/>
      <c r="J33" s="72" t="s">
        <v>5974</v>
      </c>
      <c r="K33" s="49"/>
    </row>
    <row r="34" spans="1:13">
      <c r="A34" s="59">
        <v>32</v>
      </c>
      <c r="B34" s="59" t="s">
        <v>6135</v>
      </c>
      <c r="C34" s="59">
        <v>2</v>
      </c>
      <c r="D34" s="59" t="s">
        <v>242</v>
      </c>
      <c r="E34" s="59"/>
      <c r="F34" s="75" t="s">
        <v>6136</v>
      </c>
      <c r="G34" s="75" t="s">
        <v>6137</v>
      </c>
      <c r="H34" s="59"/>
      <c r="I34" s="59"/>
      <c r="J34" s="72" t="s">
        <v>5974</v>
      </c>
      <c r="K34" s="49"/>
    </row>
    <row r="35" spans="1:13">
      <c r="A35" s="59">
        <v>33</v>
      </c>
      <c r="B35" s="59" t="s">
        <v>6138</v>
      </c>
      <c r="C35" s="59">
        <v>1</v>
      </c>
      <c r="D35" s="59" t="s">
        <v>242</v>
      </c>
      <c r="E35" s="59"/>
      <c r="F35" s="75" t="s">
        <v>6139</v>
      </c>
      <c r="G35" s="75" t="s">
        <v>6140</v>
      </c>
      <c r="H35" s="59"/>
      <c r="I35" s="59"/>
      <c r="J35" s="72" t="s">
        <v>5974</v>
      </c>
      <c r="K35" s="49"/>
    </row>
    <row r="36" spans="1:13">
      <c r="A36" s="59">
        <v>34</v>
      </c>
      <c r="B36" s="76" t="s">
        <v>6141</v>
      </c>
      <c r="C36" s="59">
        <v>1</v>
      </c>
      <c r="D36" s="59" t="s">
        <v>242</v>
      </c>
      <c r="E36" s="59"/>
      <c r="F36" s="75" t="s">
        <v>6142</v>
      </c>
      <c r="G36" s="75" t="s">
        <v>6143</v>
      </c>
      <c r="H36" s="59"/>
      <c r="I36" s="59"/>
      <c r="J36" s="72" t="s">
        <v>5974</v>
      </c>
      <c r="K36" s="49"/>
    </row>
    <row r="37" spans="1:13">
      <c r="A37" s="59">
        <v>35</v>
      </c>
      <c r="B37" s="59" t="s">
        <v>6144</v>
      </c>
      <c r="C37" s="59">
        <v>1</v>
      </c>
      <c r="D37" s="59" t="s">
        <v>242</v>
      </c>
      <c r="E37" s="59"/>
      <c r="F37" s="75" t="s">
        <v>6145</v>
      </c>
      <c r="G37" s="75" t="s">
        <v>6146</v>
      </c>
      <c r="H37" s="59"/>
      <c r="I37" s="59"/>
      <c r="J37" s="72" t="s">
        <v>5974</v>
      </c>
      <c r="K37" s="49"/>
    </row>
    <row r="38" spans="1:13">
      <c r="A38" s="42">
        <v>36</v>
      </c>
      <c r="B38" s="42" t="s">
        <v>545</v>
      </c>
      <c r="C38" s="42">
        <v>2</v>
      </c>
      <c r="D38" s="42" t="s">
        <v>242</v>
      </c>
      <c r="E38" s="42"/>
      <c r="F38" s="42" t="s">
        <v>5473</v>
      </c>
      <c r="G38" s="42" t="s">
        <v>5478</v>
      </c>
      <c r="H38" s="42"/>
      <c r="I38" s="42"/>
      <c r="J38"/>
      <c r="K38" s="49"/>
    </row>
    <row r="39" spans="1:13">
      <c r="A39" s="42">
        <v>37</v>
      </c>
      <c r="B39" s="42" t="s">
        <v>546</v>
      </c>
      <c r="C39" s="42">
        <v>2</v>
      </c>
      <c r="D39" s="42" t="s">
        <v>242</v>
      </c>
      <c r="E39" s="42"/>
      <c r="F39" s="42" t="s">
        <v>5474</v>
      </c>
      <c r="G39" s="42" t="s">
        <v>5479</v>
      </c>
      <c r="H39" s="42"/>
      <c r="I39" s="42"/>
      <c r="K39" s="49"/>
    </row>
    <row r="40" spans="1:13">
      <c r="A40" s="42">
        <v>38</v>
      </c>
      <c r="B40" s="42" t="s">
        <v>547</v>
      </c>
      <c r="C40" s="42">
        <v>2</v>
      </c>
      <c r="D40" s="42" t="s">
        <v>242</v>
      </c>
      <c r="E40" s="42"/>
      <c r="F40" s="42" t="s">
        <v>5475</v>
      </c>
      <c r="G40" s="42" t="s">
        <v>5480</v>
      </c>
      <c r="H40" s="42"/>
      <c r="I40" s="42"/>
      <c r="K40" s="49"/>
    </row>
    <row r="41" spans="1:13">
      <c r="A41" s="42">
        <v>39</v>
      </c>
      <c r="B41" s="42" t="s">
        <v>548</v>
      </c>
      <c r="C41" s="42">
        <v>2</v>
      </c>
      <c r="D41" s="42" t="s">
        <v>242</v>
      </c>
      <c r="E41" s="42"/>
      <c r="F41" s="42" t="s">
        <v>5476</v>
      </c>
      <c r="G41" s="42" t="s">
        <v>5481</v>
      </c>
      <c r="H41" s="42"/>
      <c r="I41" s="42"/>
      <c r="K41"/>
      <c r="L41"/>
      <c r="M41"/>
    </row>
    <row r="42" spans="1:13" ht="18">
      <c r="A42" s="42">
        <v>40</v>
      </c>
      <c r="B42" s="42" t="s">
        <v>549</v>
      </c>
      <c r="C42" s="42">
        <v>2</v>
      </c>
      <c r="D42" s="42" t="s">
        <v>242</v>
      </c>
      <c r="E42" s="42"/>
      <c r="F42" s="42" t="s">
        <v>5477</v>
      </c>
      <c r="G42" s="42" t="s">
        <v>5482</v>
      </c>
      <c r="H42" s="42"/>
      <c r="I42" s="42"/>
      <c r="K42" s="50"/>
      <c r="L42"/>
      <c r="M42"/>
    </row>
    <row r="43" spans="1:13">
      <c r="A43" s="59">
        <v>41</v>
      </c>
      <c r="B43" s="59" t="s">
        <v>6147</v>
      </c>
      <c r="C43" s="59">
        <v>1</v>
      </c>
      <c r="D43" s="59" t="s">
        <v>242</v>
      </c>
      <c r="E43" s="59"/>
      <c r="F43" s="75" t="s">
        <v>6148</v>
      </c>
      <c r="G43" s="75" t="s">
        <v>6149</v>
      </c>
      <c r="H43" s="59"/>
      <c r="I43" s="59"/>
      <c r="J43" s="72" t="s">
        <v>7014</v>
      </c>
      <c r="K43"/>
      <c r="L43"/>
      <c r="M43"/>
    </row>
    <row r="44" spans="1:13">
      <c r="A44" s="59">
        <v>42</v>
      </c>
      <c r="B44" s="59" t="s">
        <v>6150</v>
      </c>
      <c r="C44" s="59">
        <v>1</v>
      </c>
      <c r="D44" s="59" t="s">
        <v>242</v>
      </c>
      <c r="E44" s="59"/>
      <c r="F44" s="75" t="s">
        <v>6151</v>
      </c>
      <c r="G44" s="75" t="s">
        <v>6152</v>
      </c>
      <c r="H44" s="59"/>
      <c r="I44" s="59"/>
      <c r="J44" s="72" t="s">
        <v>7014</v>
      </c>
      <c r="K44" s="23"/>
      <c r="L44" s="23"/>
      <c r="M44" s="23"/>
    </row>
    <row r="45" spans="1:13">
      <c r="A45" s="59">
        <v>43</v>
      </c>
      <c r="B45" s="59" t="s">
        <v>6153</v>
      </c>
      <c r="C45" s="59">
        <v>1</v>
      </c>
      <c r="D45" s="59" t="s">
        <v>242</v>
      </c>
      <c r="E45" s="59"/>
      <c r="F45" s="75" t="s">
        <v>6154</v>
      </c>
      <c r="G45" s="75" t="s">
        <v>6155</v>
      </c>
      <c r="H45" s="59"/>
      <c r="I45" s="59"/>
      <c r="J45" s="72" t="s">
        <v>7014</v>
      </c>
      <c r="K45" s="49"/>
      <c r="L45" s="24"/>
      <c r="M45" s="24"/>
    </row>
    <row r="46" spans="1:13">
      <c r="A46" s="59">
        <v>44</v>
      </c>
      <c r="B46" s="59" t="s">
        <v>6156</v>
      </c>
      <c r="C46" s="59">
        <v>1</v>
      </c>
      <c r="D46" s="59" t="s">
        <v>242</v>
      </c>
      <c r="E46" s="59"/>
      <c r="F46" s="75" t="s">
        <v>6157</v>
      </c>
      <c r="G46" s="75" t="s">
        <v>6158</v>
      </c>
      <c r="H46" s="59"/>
      <c r="I46" s="59"/>
      <c r="J46" s="72" t="s">
        <v>7014</v>
      </c>
      <c r="K46" s="49"/>
    </row>
    <row r="47" spans="1:13">
      <c r="A47" s="59">
        <v>45</v>
      </c>
      <c r="B47" s="59" t="s">
        <v>6159</v>
      </c>
      <c r="C47" s="59">
        <v>1</v>
      </c>
      <c r="D47" s="59" t="s">
        <v>242</v>
      </c>
      <c r="E47" s="59"/>
      <c r="F47" s="75" t="s">
        <v>6160</v>
      </c>
      <c r="G47" s="75" t="s">
        <v>6161</v>
      </c>
      <c r="H47" s="59"/>
      <c r="I47" s="59"/>
      <c r="J47" s="72" t="s">
        <v>7014</v>
      </c>
      <c r="K47" s="49"/>
    </row>
    <row r="48" spans="1:13">
      <c r="A48" s="59">
        <v>46</v>
      </c>
      <c r="B48" s="59" t="s">
        <v>6162</v>
      </c>
      <c r="C48" s="59">
        <v>1</v>
      </c>
      <c r="D48" s="59" t="s">
        <v>242</v>
      </c>
      <c r="E48" s="59"/>
      <c r="F48" s="75" t="s">
        <v>6163</v>
      </c>
      <c r="G48" s="75" t="s">
        <v>6164</v>
      </c>
      <c r="H48" s="59"/>
      <c r="I48" s="59"/>
      <c r="J48" s="72" t="s">
        <v>7014</v>
      </c>
      <c r="K48" s="49"/>
    </row>
    <row r="49" spans="1:11">
      <c r="A49" s="59">
        <v>47</v>
      </c>
      <c r="B49" s="59" t="s">
        <v>6165</v>
      </c>
      <c r="C49" s="59">
        <v>1</v>
      </c>
      <c r="D49" s="59" t="s">
        <v>242</v>
      </c>
      <c r="E49" s="59"/>
      <c r="F49" s="75" t="s">
        <v>6166</v>
      </c>
      <c r="G49" s="75" t="s">
        <v>6167</v>
      </c>
      <c r="H49" s="59"/>
      <c r="I49" s="59"/>
      <c r="J49" s="72" t="s">
        <v>7014</v>
      </c>
      <c r="K49" s="49"/>
    </row>
    <row r="50" spans="1:11">
      <c r="A50" s="59">
        <v>48</v>
      </c>
      <c r="B50" s="59" t="s">
        <v>6168</v>
      </c>
      <c r="C50" s="59">
        <v>1</v>
      </c>
      <c r="D50" s="59" t="s">
        <v>242</v>
      </c>
      <c r="E50" s="59"/>
      <c r="F50" s="75" t="s">
        <v>6169</v>
      </c>
      <c r="G50" s="75" t="s">
        <v>6170</v>
      </c>
      <c r="H50" s="59"/>
      <c r="I50" s="59"/>
      <c r="J50" s="72" t="s">
        <v>7014</v>
      </c>
      <c r="K50" s="49"/>
    </row>
    <row r="51" spans="1:11">
      <c r="A51" s="59">
        <v>49</v>
      </c>
      <c r="B51" s="59" t="s">
        <v>6171</v>
      </c>
      <c r="C51" s="59">
        <v>1</v>
      </c>
      <c r="D51" s="59" t="s">
        <v>242</v>
      </c>
      <c r="E51" s="59"/>
      <c r="F51" s="75" t="s">
        <v>6172</v>
      </c>
      <c r="G51" s="75" t="s">
        <v>6173</v>
      </c>
      <c r="H51" s="59"/>
      <c r="I51" s="59"/>
      <c r="J51" s="72" t="s">
        <v>7014</v>
      </c>
      <c r="K51" s="49"/>
    </row>
    <row r="52" spans="1:11">
      <c r="A52" s="59">
        <v>50</v>
      </c>
      <c r="B52" s="59" t="s">
        <v>6174</v>
      </c>
      <c r="C52" s="59">
        <v>1</v>
      </c>
      <c r="D52" s="59" t="s">
        <v>242</v>
      </c>
      <c r="E52" s="59"/>
      <c r="F52" s="75" t="s">
        <v>6175</v>
      </c>
      <c r="G52" s="75" t="s">
        <v>6176</v>
      </c>
      <c r="H52" s="59"/>
      <c r="I52" s="59"/>
      <c r="J52" s="72" t="s">
        <v>7014</v>
      </c>
      <c r="K52" s="49"/>
    </row>
    <row r="53" spans="1:11">
      <c r="A53" s="59">
        <v>51</v>
      </c>
      <c r="B53" s="59" t="s">
        <v>6177</v>
      </c>
      <c r="C53" s="59">
        <v>1</v>
      </c>
      <c r="D53" s="59" t="s">
        <v>242</v>
      </c>
      <c r="E53" s="59"/>
      <c r="F53" s="75" t="s">
        <v>6178</v>
      </c>
      <c r="G53" s="75" t="s">
        <v>6179</v>
      </c>
      <c r="H53" s="59"/>
      <c r="I53" s="59"/>
      <c r="J53" s="72" t="s">
        <v>7014</v>
      </c>
      <c r="K53" s="49"/>
    </row>
    <row r="54" spans="1:11">
      <c r="A54" s="59">
        <v>52</v>
      </c>
      <c r="B54" s="59" t="s">
        <v>6180</v>
      </c>
      <c r="C54" s="59">
        <v>1</v>
      </c>
      <c r="D54" s="59" t="s">
        <v>242</v>
      </c>
      <c r="E54" s="59"/>
      <c r="F54" s="75" t="s">
        <v>6181</v>
      </c>
      <c r="G54" s="75" t="s">
        <v>6182</v>
      </c>
      <c r="H54" s="59"/>
      <c r="I54" s="59"/>
      <c r="J54" s="72" t="s">
        <v>7014</v>
      </c>
      <c r="K54" s="49"/>
    </row>
    <row r="55" spans="1:11">
      <c r="A55" s="59">
        <v>53</v>
      </c>
      <c r="B55" s="59" t="s">
        <v>6183</v>
      </c>
      <c r="C55" s="59">
        <v>1</v>
      </c>
      <c r="D55" s="59" t="s">
        <v>242</v>
      </c>
      <c r="E55" s="59"/>
      <c r="F55" s="75" t="s">
        <v>6184</v>
      </c>
      <c r="G55" s="75" t="s">
        <v>6185</v>
      </c>
      <c r="H55" s="59"/>
      <c r="I55" s="59"/>
      <c r="J55" s="72" t="s">
        <v>7014</v>
      </c>
      <c r="K55" s="49"/>
    </row>
    <row r="56" spans="1:11">
      <c r="A56" s="59">
        <v>54</v>
      </c>
      <c r="B56" s="59" t="s">
        <v>6186</v>
      </c>
      <c r="C56" s="59">
        <v>1</v>
      </c>
      <c r="D56" s="59" t="s">
        <v>242</v>
      </c>
      <c r="E56" s="59"/>
      <c r="F56" s="75" t="s">
        <v>6187</v>
      </c>
      <c r="G56" s="75" t="s">
        <v>6188</v>
      </c>
      <c r="H56" s="59"/>
      <c r="I56" s="59"/>
      <c r="J56" s="72" t="s">
        <v>7014</v>
      </c>
      <c r="K56" s="49"/>
    </row>
    <row r="57" spans="1:11">
      <c r="A57" s="59">
        <v>55</v>
      </c>
      <c r="B57" s="59" t="s">
        <v>6189</v>
      </c>
      <c r="C57" s="59">
        <v>1</v>
      </c>
      <c r="D57" s="59" t="s">
        <v>242</v>
      </c>
      <c r="E57" s="59"/>
      <c r="F57" s="75" t="s">
        <v>6190</v>
      </c>
      <c r="G57" s="75" t="s">
        <v>6191</v>
      </c>
      <c r="H57" s="59"/>
      <c r="I57" s="59"/>
      <c r="J57" s="72" t="s">
        <v>7014</v>
      </c>
      <c r="K57" s="49"/>
    </row>
    <row r="58" spans="1:11">
      <c r="A58" s="59">
        <v>56</v>
      </c>
      <c r="B58" s="59" t="s">
        <v>6192</v>
      </c>
      <c r="C58" s="59">
        <v>1</v>
      </c>
      <c r="D58" s="59" t="s">
        <v>242</v>
      </c>
      <c r="E58" s="59"/>
      <c r="F58" s="75" t="s">
        <v>6193</v>
      </c>
      <c r="G58" s="75" t="s">
        <v>6194</v>
      </c>
      <c r="H58" s="59"/>
      <c r="I58" s="59"/>
      <c r="J58" s="72" t="s">
        <v>7014</v>
      </c>
      <c r="K58" s="49"/>
    </row>
    <row r="59" spans="1:11">
      <c r="A59" s="59">
        <v>57</v>
      </c>
      <c r="B59" s="59" t="s">
        <v>6195</v>
      </c>
      <c r="C59" s="59">
        <v>2</v>
      </c>
      <c r="D59" s="59" t="s">
        <v>242</v>
      </c>
      <c r="E59" s="59"/>
      <c r="F59" s="75" t="s">
        <v>6196</v>
      </c>
      <c r="G59" s="75" t="s">
        <v>6197</v>
      </c>
      <c r="H59" s="59"/>
      <c r="I59" s="59"/>
      <c r="J59" s="72" t="s">
        <v>7014</v>
      </c>
      <c r="K59" s="49"/>
    </row>
    <row r="60" spans="1:11">
      <c r="A60" s="59">
        <v>58</v>
      </c>
      <c r="B60" s="59" t="s">
        <v>6198</v>
      </c>
      <c r="C60" s="59">
        <v>1</v>
      </c>
      <c r="D60" s="59" t="s">
        <v>242</v>
      </c>
      <c r="E60" s="59"/>
      <c r="F60" s="75" t="s">
        <v>6199</v>
      </c>
      <c r="G60" s="75" t="s">
        <v>6200</v>
      </c>
      <c r="H60" s="59"/>
      <c r="I60" s="59"/>
      <c r="J60" s="72" t="s">
        <v>7014</v>
      </c>
      <c r="K60" s="49"/>
    </row>
    <row r="61" spans="1:11">
      <c r="A61" s="59">
        <v>59</v>
      </c>
      <c r="B61" s="59" t="s">
        <v>6201</v>
      </c>
      <c r="C61" s="59">
        <v>1</v>
      </c>
      <c r="D61" s="59" t="s">
        <v>242</v>
      </c>
      <c r="E61" s="59"/>
      <c r="F61" s="75" t="s">
        <v>6202</v>
      </c>
      <c r="G61" s="75" t="s">
        <v>6203</v>
      </c>
      <c r="H61" s="59"/>
      <c r="I61" s="59"/>
      <c r="J61" s="72" t="s">
        <v>7014</v>
      </c>
      <c r="K61" s="49"/>
    </row>
    <row r="62" spans="1:11">
      <c r="A62" s="59">
        <v>60</v>
      </c>
      <c r="B62" s="59" t="s">
        <v>6204</v>
      </c>
      <c r="C62" s="59">
        <v>1</v>
      </c>
      <c r="D62" s="59" t="s">
        <v>242</v>
      </c>
      <c r="E62" s="59"/>
      <c r="F62" s="75" t="s">
        <v>6205</v>
      </c>
      <c r="G62" s="75" t="s">
        <v>6206</v>
      </c>
      <c r="H62" s="59"/>
      <c r="I62" s="59"/>
      <c r="J62" s="72" t="s">
        <v>7014</v>
      </c>
      <c r="K62" s="49"/>
    </row>
    <row r="63" spans="1:11" ht="45">
      <c r="A63" s="42">
        <v>61</v>
      </c>
      <c r="B63" s="42" t="s">
        <v>544</v>
      </c>
      <c r="C63" s="42">
        <v>1</v>
      </c>
      <c r="D63" s="42" t="s">
        <v>242</v>
      </c>
      <c r="E63" s="42"/>
      <c r="F63" s="42" t="s">
        <v>5168</v>
      </c>
      <c r="G63" s="42" t="s">
        <v>6207</v>
      </c>
      <c r="H63" s="42"/>
      <c r="I63" s="42"/>
      <c r="K63" s="49"/>
    </row>
    <row r="64" spans="1:11" ht="45">
      <c r="A64" s="42">
        <v>62</v>
      </c>
      <c r="B64" s="42" t="s">
        <v>1182</v>
      </c>
      <c r="C64" s="42">
        <v>12</v>
      </c>
      <c r="D64" s="42" t="s">
        <v>189</v>
      </c>
      <c r="E64" s="42" t="s">
        <v>5576</v>
      </c>
      <c r="F64" s="42" t="s">
        <v>1688</v>
      </c>
      <c r="G64" s="42" t="s">
        <v>1689</v>
      </c>
      <c r="H64" s="42"/>
      <c r="I64" s="42"/>
      <c r="K64" s="49"/>
    </row>
    <row r="65" spans="1:11" ht="45">
      <c r="A65" s="42">
        <v>63</v>
      </c>
      <c r="B65" s="42" t="s">
        <v>1183</v>
      </c>
      <c r="C65" s="42">
        <v>30</v>
      </c>
      <c r="D65" s="42" t="s">
        <v>242</v>
      </c>
      <c r="E65" s="42" t="s">
        <v>5576</v>
      </c>
      <c r="F65" s="42" t="s">
        <v>1690</v>
      </c>
      <c r="G65" s="42" t="s">
        <v>1691</v>
      </c>
      <c r="H65" s="42"/>
      <c r="I65" s="42"/>
      <c r="K65" s="49"/>
    </row>
  </sheetData>
  <mergeCells count="1">
    <mergeCell ref="H1:I1"/>
  </mergeCells>
  <phoneticPr fontId="2"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5A8E0-C050-4963-8F26-49B108BA949C}">
  <sheetPr codeName="Sheet60"/>
  <dimension ref="A1:K46"/>
  <sheetViews>
    <sheetView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9">
      <c r="A1" s="12" t="s">
        <v>238</v>
      </c>
      <c r="B1" s="12"/>
      <c r="C1" s="12"/>
      <c r="D1" s="12"/>
      <c r="E1" s="12"/>
      <c r="F1" s="12"/>
      <c r="G1" s="12"/>
      <c r="H1" s="89" t="s">
        <v>5363</v>
      </c>
      <c r="I1" s="90"/>
    </row>
    <row r="2" spans="1:9">
      <c r="A2" s="10" t="s">
        <v>350</v>
      </c>
      <c r="B2" s="10" t="s">
        <v>156</v>
      </c>
      <c r="C2" s="10" t="s">
        <v>157</v>
      </c>
      <c r="D2" s="10" t="s">
        <v>239</v>
      </c>
      <c r="E2" s="10" t="s">
        <v>159</v>
      </c>
      <c r="F2" s="10" t="s">
        <v>1684</v>
      </c>
      <c r="G2" s="10" t="s">
        <v>1685</v>
      </c>
      <c r="H2" s="10" t="s">
        <v>5371</v>
      </c>
      <c r="I2" s="10" t="s">
        <v>5372</v>
      </c>
    </row>
    <row r="3" spans="1:9">
      <c r="A3" s="11">
        <v>1</v>
      </c>
      <c r="B3" s="11" t="s">
        <v>240</v>
      </c>
      <c r="C3" s="11">
        <v>8</v>
      </c>
      <c r="D3" s="11" t="s">
        <v>160</v>
      </c>
      <c r="E3" s="11" t="s">
        <v>177</v>
      </c>
      <c r="F3" s="11" t="s">
        <v>1686</v>
      </c>
      <c r="G3" s="11" t="s">
        <v>1687</v>
      </c>
      <c r="H3" s="11" t="s">
        <v>5382</v>
      </c>
      <c r="I3" s="11" t="s">
        <v>5386</v>
      </c>
    </row>
    <row r="4" spans="1:9" ht="30">
      <c r="A4" s="11">
        <v>2</v>
      </c>
      <c r="B4" s="11" t="s">
        <v>5540</v>
      </c>
      <c r="C4" s="11">
        <v>4</v>
      </c>
      <c r="D4" s="11" t="s">
        <v>242</v>
      </c>
      <c r="E4" s="11"/>
      <c r="F4" s="11" t="s">
        <v>1707</v>
      </c>
      <c r="G4" s="15" t="s">
        <v>5427</v>
      </c>
      <c r="H4" s="11" t="s">
        <v>5384</v>
      </c>
      <c r="I4" s="11" t="s">
        <v>5387</v>
      </c>
    </row>
    <row r="5" spans="1:9" ht="30">
      <c r="A5" s="11">
        <v>3</v>
      </c>
      <c r="B5" s="11" t="s">
        <v>1249</v>
      </c>
      <c r="C5" s="11">
        <v>30</v>
      </c>
      <c r="D5" s="11" t="s">
        <v>242</v>
      </c>
      <c r="E5" s="11"/>
      <c r="F5" s="11" t="s">
        <v>5169</v>
      </c>
      <c r="G5" s="11" t="s">
        <v>5597</v>
      </c>
      <c r="H5" s="11"/>
      <c r="I5" s="11"/>
    </row>
    <row r="6" spans="1:9" ht="30">
      <c r="A6" s="11">
        <v>4</v>
      </c>
      <c r="B6" s="11" t="s">
        <v>1250</v>
      </c>
      <c r="C6" s="11">
        <v>28</v>
      </c>
      <c r="D6" s="11" t="s">
        <v>242</v>
      </c>
      <c r="E6" s="11"/>
      <c r="F6" s="11" t="s">
        <v>5170</v>
      </c>
      <c r="G6" s="11" t="s">
        <v>5171</v>
      </c>
      <c r="H6" s="11"/>
      <c r="I6" s="11"/>
    </row>
    <row r="7" spans="1:9" ht="30">
      <c r="A7" s="11">
        <v>5</v>
      </c>
      <c r="B7" s="11" t="s">
        <v>1251</v>
      </c>
      <c r="C7" s="11">
        <v>2</v>
      </c>
      <c r="D7" s="11" t="s">
        <v>242</v>
      </c>
      <c r="E7" s="11"/>
      <c r="F7" s="11" t="s">
        <v>5172</v>
      </c>
      <c r="G7" s="11" t="s">
        <v>5173</v>
      </c>
      <c r="H7" s="11"/>
      <c r="I7" s="11"/>
    </row>
    <row r="8" spans="1:9" ht="30">
      <c r="A8" s="11">
        <v>6</v>
      </c>
      <c r="B8" s="11" t="s">
        <v>1252</v>
      </c>
      <c r="C8" s="11">
        <v>30</v>
      </c>
      <c r="D8" s="11" t="s">
        <v>242</v>
      </c>
      <c r="E8" s="11"/>
      <c r="F8" s="11" t="s">
        <v>5174</v>
      </c>
      <c r="G8" s="11" t="s">
        <v>5598</v>
      </c>
      <c r="H8" s="11"/>
      <c r="I8" s="11"/>
    </row>
    <row r="9" spans="1:9" ht="30">
      <c r="A9" s="11">
        <v>7</v>
      </c>
      <c r="B9" s="11" t="s">
        <v>1253</v>
      </c>
      <c r="C9" s="11">
        <v>30</v>
      </c>
      <c r="D9" s="11" t="s">
        <v>242</v>
      </c>
      <c r="E9" s="11"/>
      <c r="F9" s="11" t="s">
        <v>5175</v>
      </c>
      <c r="G9" s="11" t="s">
        <v>5176</v>
      </c>
      <c r="H9" s="11"/>
      <c r="I9" s="11"/>
    </row>
    <row r="10" spans="1:9" ht="30">
      <c r="A10" s="11">
        <v>8</v>
      </c>
      <c r="B10" s="11" t="s">
        <v>1254</v>
      </c>
      <c r="C10" s="11">
        <v>1</v>
      </c>
      <c r="D10" s="11" t="s">
        <v>242</v>
      </c>
      <c r="E10" s="11"/>
      <c r="F10" s="11" t="s">
        <v>5177</v>
      </c>
      <c r="G10" s="11" t="s">
        <v>5178</v>
      </c>
      <c r="H10" s="11"/>
      <c r="I10" s="11"/>
    </row>
    <row r="11" spans="1:9" ht="30">
      <c r="A11" s="11">
        <v>9</v>
      </c>
      <c r="B11" s="11" t="s">
        <v>1255</v>
      </c>
      <c r="C11" s="11">
        <v>2</v>
      </c>
      <c r="D11" s="11" t="s">
        <v>242</v>
      </c>
      <c r="E11" s="11"/>
      <c r="F11" s="11" t="s">
        <v>5179</v>
      </c>
      <c r="G11" s="11" t="s">
        <v>5180</v>
      </c>
      <c r="H11" s="11"/>
      <c r="I11" s="11"/>
    </row>
    <row r="12" spans="1:9" ht="30">
      <c r="A12" s="11">
        <v>10</v>
      </c>
      <c r="B12" s="11" t="s">
        <v>1256</v>
      </c>
      <c r="C12" s="11">
        <v>2</v>
      </c>
      <c r="D12" s="11" t="s">
        <v>242</v>
      </c>
      <c r="E12" s="11"/>
      <c r="F12" s="11" t="s">
        <v>5181</v>
      </c>
      <c r="G12" s="11" t="s">
        <v>5182</v>
      </c>
      <c r="H12" s="11"/>
      <c r="I12" s="11"/>
    </row>
    <row r="13" spans="1:9" ht="30">
      <c r="A13" s="11">
        <v>11</v>
      </c>
      <c r="B13" s="11" t="s">
        <v>1257</v>
      </c>
      <c r="C13" s="11">
        <v>2</v>
      </c>
      <c r="D13" s="11" t="s">
        <v>242</v>
      </c>
      <c r="E13" s="11"/>
      <c r="F13" s="11" t="s">
        <v>5183</v>
      </c>
      <c r="G13" s="11" t="s">
        <v>5184</v>
      </c>
      <c r="H13" s="11"/>
      <c r="I13" s="11"/>
    </row>
    <row r="14" spans="1:9" ht="30">
      <c r="A14" s="11">
        <v>12</v>
      </c>
      <c r="B14" s="11" t="s">
        <v>1258</v>
      </c>
      <c r="C14" s="11">
        <v>2</v>
      </c>
      <c r="D14" s="11" t="s">
        <v>242</v>
      </c>
      <c r="E14" s="11"/>
      <c r="F14" s="11" t="s">
        <v>5185</v>
      </c>
      <c r="G14" s="11" t="s">
        <v>5186</v>
      </c>
      <c r="H14" s="11"/>
      <c r="I14" s="11"/>
    </row>
    <row r="15" spans="1:9" ht="30">
      <c r="A15" s="11">
        <v>13</v>
      </c>
      <c r="B15" s="11" t="s">
        <v>1259</v>
      </c>
      <c r="C15" s="11">
        <v>2</v>
      </c>
      <c r="D15" s="11" t="s">
        <v>242</v>
      </c>
      <c r="E15" s="11"/>
      <c r="F15" s="11" t="s">
        <v>5187</v>
      </c>
      <c r="G15" s="11" t="s">
        <v>5188</v>
      </c>
      <c r="H15" s="11"/>
      <c r="I15" s="11"/>
    </row>
    <row r="16" spans="1:9" ht="30">
      <c r="A16" s="11">
        <v>14</v>
      </c>
      <c r="B16" s="11" t="s">
        <v>1260</v>
      </c>
      <c r="C16" s="11">
        <v>2</v>
      </c>
      <c r="D16" s="11" t="s">
        <v>242</v>
      </c>
      <c r="E16" s="11"/>
      <c r="F16" s="11" t="s">
        <v>5189</v>
      </c>
      <c r="G16" s="11" t="s">
        <v>5190</v>
      </c>
      <c r="H16" s="11"/>
      <c r="I16" s="11"/>
    </row>
    <row r="17" spans="1:9" ht="30">
      <c r="A17" s="11">
        <v>15</v>
      </c>
      <c r="B17" s="11" t="s">
        <v>1261</v>
      </c>
      <c r="C17" s="11">
        <v>2</v>
      </c>
      <c r="D17" s="11" t="s">
        <v>242</v>
      </c>
      <c r="E17" s="11"/>
      <c r="F17" s="11" t="s">
        <v>5191</v>
      </c>
      <c r="G17" s="11" t="s">
        <v>5192</v>
      </c>
      <c r="H17" s="11"/>
      <c r="I17" s="11"/>
    </row>
    <row r="18" spans="1:9" ht="30">
      <c r="A18" s="11">
        <v>16</v>
      </c>
      <c r="B18" s="11" t="s">
        <v>1262</v>
      </c>
      <c r="C18" s="11">
        <v>2</v>
      </c>
      <c r="D18" s="11" t="s">
        <v>242</v>
      </c>
      <c r="E18" s="11"/>
      <c r="F18" s="11" t="s">
        <v>5193</v>
      </c>
      <c r="G18" s="11" t="s">
        <v>5194</v>
      </c>
      <c r="H18" s="11"/>
      <c r="I18" s="11"/>
    </row>
    <row r="19" spans="1:9" ht="30">
      <c r="A19" s="11">
        <v>17</v>
      </c>
      <c r="B19" s="11" t="s">
        <v>1263</v>
      </c>
      <c r="C19" s="11">
        <v>2</v>
      </c>
      <c r="D19" s="11" t="s">
        <v>242</v>
      </c>
      <c r="E19" s="11"/>
      <c r="F19" s="11" t="s">
        <v>5195</v>
      </c>
      <c r="G19" s="11" t="s">
        <v>5196</v>
      </c>
      <c r="H19" s="11"/>
      <c r="I19" s="11"/>
    </row>
    <row r="20" spans="1:9" ht="30">
      <c r="A20" s="11">
        <v>18</v>
      </c>
      <c r="B20" s="11" t="s">
        <v>1264</v>
      </c>
      <c r="C20" s="11">
        <v>52</v>
      </c>
      <c r="D20" s="11" t="s">
        <v>242</v>
      </c>
      <c r="E20" s="11"/>
      <c r="F20" s="11" t="s">
        <v>5197</v>
      </c>
      <c r="G20" s="11" t="s">
        <v>5198</v>
      </c>
      <c r="H20" s="11"/>
      <c r="I20" s="11"/>
    </row>
    <row r="21" spans="1:9" ht="45">
      <c r="A21" s="11">
        <v>19</v>
      </c>
      <c r="B21" s="11" t="s">
        <v>1182</v>
      </c>
      <c r="C21" s="11">
        <v>12</v>
      </c>
      <c r="D21" s="11" t="s">
        <v>189</v>
      </c>
      <c r="E21" s="11" t="s">
        <v>5576</v>
      </c>
      <c r="F21" s="11" t="s">
        <v>1688</v>
      </c>
      <c r="G21" s="11" t="s">
        <v>1689</v>
      </c>
      <c r="H21" s="11"/>
      <c r="I21" s="11"/>
    </row>
    <row r="22" spans="1:9" ht="45">
      <c r="A22" s="11">
        <v>20</v>
      </c>
      <c r="B22" s="11" t="s">
        <v>1183</v>
      </c>
      <c r="C22" s="11">
        <v>30</v>
      </c>
      <c r="D22" s="11" t="s">
        <v>242</v>
      </c>
      <c r="E22" s="11" t="s">
        <v>5576</v>
      </c>
      <c r="F22" s="11" t="s">
        <v>1690</v>
      </c>
      <c r="G22" s="11" t="s">
        <v>1691</v>
      </c>
      <c r="H22" s="11"/>
      <c r="I22" s="11"/>
    </row>
    <row r="36" spans="2:11">
      <c r="J36" s="7"/>
      <c r="K36" s="8"/>
    </row>
    <row r="37" spans="2:11">
      <c r="J37" s="5"/>
      <c r="K37" s="6"/>
    </row>
    <row r="46" spans="2:11">
      <c r="B46" s="9"/>
    </row>
  </sheetData>
  <mergeCells count="1">
    <mergeCell ref="H1:I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7B2E-EE7C-4FB2-98CF-5321AD0C0516}">
  <sheetPr codeName="Sheet31"/>
  <dimension ref="A1:K40"/>
  <sheetViews>
    <sheetView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9">
      <c r="A1" s="12" t="s">
        <v>238</v>
      </c>
      <c r="B1" s="12"/>
      <c r="C1" s="12"/>
      <c r="D1" s="12"/>
      <c r="E1" s="12"/>
      <c r="F1" s="12"/>
      <c r="G1" s="12"/>
      <c r="H1" s="89" t="s">
        <v>5363</v>
      </c>
      <c r="I1" s="90"/>
    </row>
    <row r="2" spans="1:9">
      <c r="A2" s="10" t="s">
        <v>350</v>
      </c>
      <c r="B2" s="10" t="s">
        <v>156</v>
      </c>
      <c r="C2" s="10" t="s">
        <v>157</v>
      </c>
      <c r="D2" s="10" t="s">
        <v>239</v>
      </c>
      <c r="E2" s="10" t="s">
        <v>159</v>
      </c>
      <c r="F2" s="10" t="s">
        <v>1684</v>
      </c>
      <c r="G2" s="10" t="s">
        <v>1685</v>
      </c>
      <c r="H2" s="10" t="s">
        <v>5371</v>
      </c>
      <c r="I2" s="10" t="s">
        <v>5372</v>
      </c>
    </row>
    <row r="3" spans="1:9">
      <c r="A3" s="11">
        <v>1</v>
      </c>
      <c r="B3" s="11" t="s">
        <v>240</v>
      </c>
      <c r="C3" s="11">
        <v>8</v>
      </c>
      <c r="D3" s="11" t="s">
        <v>160</v>
      </c>
      <c r="E3" s="11" t="s">
        <v>177</v>
      </c>
      <c r="F3" s="11" t="s">
        <v>1686</v>
      </c>
      <c r="G3" s="11" t="s">
        <v>1687</v>
      </c>
      <c r="H3" s="11" t="s">
        <v>5382</v>
      </c>
      <c r="I3" s="11" t="s">
        <v>5395</v>
      </c>
    </row>
    <row r="4" spans="1:9" ht="45">
      <c r="A4" s="11">
        <v>2</v>
      </c>
      <c r="B4" s="11" t="s">
        <v>550</v>
      </c>
      <c r="C4" s="11">
        <v>2</v>
      </c>
      <c r="D4" s="11" t="s">
        <v>242</v>
      </c>
      <c r="E4" s="11"/>
      <c r="F4" s="11" t="s">
        <v>4672</v>
      </c>
      <c r="G4" s="11" t="s">
        <v>4686</v>
      </c>
      <c r="H4" s="11" t="s">
        <v>5384</v>
      </c>
      <c r="I4" s="11" t="s">
        <v>5387</v>
      </c>
    </row>
    <row r="5" spans="1:9">
      <c r="A5" s="11">
        <v>3</v>
      </c>
      <c r="B5" s="11" t="s">
        <v>551</v>
      </c>
      <c r="C5" s="11">
        <v>2</v>
      </c>
      <c r="D5" s="11" t="s">
        <v>242</v>
      </c>
      <c r="E5" s="11"/>
      <c r="F5" s="11" t="s">
        <v>5035</v>
      </c>
      <c r="G5" s="11" t="s">
        <v>5040</v>
      </c>
      <c r="H5" s="11" t="s">
        <v>5385</v>
      </c>
      <c r="I5" s="11" t="s">
        <v>5386</v>
      </c>
    </row>
    <row r="6" spans="1:9" ht="30">
      <c r="A6" s="11">
        <v>4</v>
      </c>
      <c r="B6" s="11" t="s">
        <v>552</v>
      </c>
      <c r="C6" s="11">
        <v>9</v>
      </c>
      <c r="D6" s="11" t="s">
        <v>189</v>
      </c>
      <c r="E6" s="11" t="s">
        <v>1268</v>
      </c>
      <c r="F6" s="11" t="s">
        <v>4702</v>
      </c>
      <c r="G6" s="11" t="s">
        <v>4703</v>
      </c>
      <c r="H6" s="11"/>
      <c r="I6" s="11"/>
    </row>
    <row r="7" spans="1:9">
      <c r="A7" s="11">
        <v>5</v>
      </c>
      <c r="B7" s="11" t="s">
        <v>553</v>
      </c>
      <c r="C7" s="11">
        <v>1</v>
      </c>
      <c r="D7" s="11" t="s">
        <v>242</v>
      </c>
      <c r="E7" s="11"/>
      <c r="F7" s="11" t="s">
        <v>5041</v>
      </c>
      <c r="G7" s="11" t="s">
        <v>5484</v>
      </c>
      <c r="H7" s="11"/>
      <c r="I7" s="11"/>
    </row>
    <row r="8" spans="1:9">
      <c r="A8" s="11">
        <v>6</v>
      </c>
      <c r="B8" s="11" t="s">
        <v>554</v>
      </c>
      <c r="C8" s="11">
        <v>1</v>
      </c>
      <c r="D8" s="11" t="s">
        <v>242</v>
      </c>
      <c r="E8" s="11"/>
      <c r="F8" s="11" t="s">
        <v>5486</v>
      </c>
      <c r="G8" s="11" t="s">
        <v>5485</v>
      </c>
      <c r="H8" s="11"/>
      <c r="I8" s="11"/>
    </row>
    <row r="9" spans="1:9">
      <c r="A9" s="11">
        <v>7</v>
      </c>
      <c r="B9" s="11" t="s">
        <v>555</v>
      </c>
      <c r="C9" s="11">
        <v>1</v>
      </c>
      <c r="D9" s="11" t="s">
        <v>242</v>
      </c>
      <c r="E9" s="11"/>
      <c r="F9" s="11" t="s">
        <v>5042</v>
      </c>
      <c r="G9" s="11" t="s">
        <v>5487</v>
      </c>
      <c r="H9" s="11"/>
      <c r="I9" s="11"/>
    </row>
    <row r="10" spans="1:9">
      <c r="A10" s="11">
        <v>8</v>
      </c>
      <c r="B10" s="11" t="s">
        <v>556</v>
      </c>
      <c r="C10" s="11">
        <v>9</v>
      </c>
      <c r="D10" s="11" t="s">
        <v>242</v>
      </c>
      <c r="E10" s="11" t="s">
        <v>1268</v>
      </c>
      <c r="F10" s="11" t="s">
        <v>5036</v>
      </c>
      <c r="G10" s="11" t="s">
        <v>5488</v>
      </c>
      <c r="H10" s="11"/>
      <c r="I10" s="11"/>
    </row>
    <row r="11" spans="1:9">
      <c r="A11" s="11">
        <v>9</v>
      </c>
      <c r="B11" s="11" t="s">
        <v>557</v>
      </c>
      <c r="C11" s="11">
        <v>12</v>
      </c>
      <c r="D11" s="11" t="s">
        <v>189</v>
      </c>
      <c r="E11" s="11" t="s">
        <v>5483</v>
      </c>
      <c r="F11" s="11" t="s">
        <v>5043</v>
      </c>
      <c r="G11" s="11" t="s">
        <v>5492</v>
      </c>
      <c r="H11" s="11"/>
      <c r="I11" s="11"/>
    </row>
    <row r="12" spans="1:9">
      <c r="A12" s="11">
        <v>10</v>
      </c>
      <c r="B12" s="11" t="s">
        <v>558</v>
      </c>
      <c r="C12" s="11">
        <v>9</v>
      </c>
      <c r="D12" s="11" t="s">
        <v>189</v>
      </c>
      <c r="E12" s="11" t="s">
        <v>1268</v>
      </c>
      <c r="F12" s="11" t="s">
        <v>5037</v>
      </c>
      <c r="G12" s="11" t="s">
        <v>5489</v>
      </c>
      <c r="H12" s="11"/>
      <c r="I12" s="11"/>
    </row>
    <row r="13" spans="1:9">
      <c r="A13" s="11">
        <v>11</v>
      </c>
      <c r="B13" s="11" t="s">
        <v>559</v>
      </c>
      <c r="C13" s="11">
        <v>12</v>
      </c>
      <c r="D13" s="11" t="s">
        <v>189</v>
      </c>
      <c r="E13" s="11" t="s">
        <v>5483</v>
      </c>
      <c r="F13" s="11" t="s">
        <v>5044</v>
      </c>
      <c r="G13" s="11" t="s">
        <v>5493</v>
      </c>
      <c r="H13" s="11"/>
      <c r="I13" s="11"/>
    </row>
    <row r="14" spans="1:9">
      <c r="A14" s="11">
        <v>12</v>
      </c>
      <c r="B14" s="11" t="s">
        <v>560</v>
      </c>
      <c r="C14" s="11">
        <v>9</v>
      </c>
      <c r="D14" s="11" t="s">
        <v>189</v>
      </c>
      <c r="E14" s="11" t="s">
        <v>1268</v>
      </c>
      <c r="F14" s="11" t="s">
        <v>5038</v>
      </c>
      <c r="G14" s="11" t="s">
        <v>5490</v>
      </c>
      <c r="H14" s="11"/>
      <c r="I14" s="11"/>
    </row>
    <row r="15" spans="1:9">
      <c r="A15" s="11">
        <v>13</v>
      </c>
      <c r="B15" s="11" t="s">
        <v>561</v>
      </c>
      <c r="C15" s="11">
        <v>12</v>
      </c>
      <c r="D15" s="11" t="s">
        <v>189</v>
      </c>
      <c r="E15" s="11" t="s">
        <v>5483</v>
      </c>
      <c r="F15" s="11" t="s">
        <v>5045</v>
      </c>
      <c r="G15" s="11" t="s">
        <v>5494</v>
      </c>
      <c r="H15" s="11"/>
      <c r="I15" s="11"/>
    </row>
    <row r="16" spans="1:9">
      <c r="A16" s="11">
        <v>14</v>
      </c>
      <c r="B16" s="11" t="s">
        <v>562</v>
      </c>
      <c r="C16" s="11">
        <v>9</v>
      </c>
      <c r="D16" s="11" t="s">
        <v>189</v>
      </c>
      <c r="E16" s="11" t="s">
        <v>1268</v>
      </c>
      <c r="F16" s="11" t="s">
        <v>5039</v>
      </c>
      <c r="G16" s="11" t="s">
        <v>5491</v>
      </c>
      <c r="H16" s="11"/>
      <c r="I16" s="11"/>
    </row>
    <row r="17" spans="1:11">
      <c r="A17" s="11">
        <v>15</v>
      </c>
      <c r="B17" s="11" t="s">
        <v>563</v>
      </c>
      <c r="C17" s="11">
        <v>12</v>
      </c>
      <c r="D17" s="11" t="s">
        <v>189</v>
      </c>
      <c r="E17" s="11" t="s">
        <v>5483</v>
      </c>
      <c r="F17" s="11" t="s">
        <v>5046</v>
      </c>
      <c r="G17" s="11" t="s">
        <v>5495</v>
      </c>
      <c r="H17" s="11"/>
      <c r="I17" s="11"/>
    </row>
    <row r="18" spans="1:11" ht="45">
      <c r="A18" s="11">
        <v>16</v>
      </c>
      <c r="B18" s="11" t="s">
        <v>1182</v>
      </c>
      <c r="C18" s="11">
        <v>12</v>
      </c>
      <c r="D18" s="11" t="s">
        <v>189</v>
      </c>
      <c r="E18" s="11" t="s">
        <v>5576</v>
      </c>
      <c r="F18" s="11" t="s">
        <v>1688</v>
      </c>
      <c r="G18" s="11" t="s">
        <v>1689</v>
      </c>
      <c r="H18" s="11"/>
      <c r="I18" s="11"/>
    </row>
    <row r="19" spans="1:11" ht="45">
      <c r="A19" s="11">
        <v>17</v>
      </c>
      <c r="B19" s="11" t="s">
        <v>1183</v>
      </c>
      <c r="C19" s="11">
        <v>30</v>
      </c>
      <c r="D19" s="11" t="s">
        <v>242</v>
      </c>
      <c r="E19" s="11" t="s">
        <v>5576</v>
      </c>
      <c r="F19" s="11" t="s">
        <v>1690</v>
      </c>
      <c r="G19" s="11" t="s">
        <v>1691</v>
      </c>
      <c r="H19" s="11"/>
      <c r="I19" s="11"/>
    </row>
    <row r="30" spans="1:11">
      <c r="J30" s="7"/>
      <c r="K30" s="8"/>
    </row>
    <row r="31" spans="1:11">
      <c r="J31" s="5"/>
      <c r="K31" s="6"/>
    </row>
    <row r="40" spans="2:2">
      <c r="B40" s="9"/>
    </row>
  </sheetData>
  <mergeCells count="1">
    <mergeCell ref="H1:I1"/>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812A0-41F4-4EF0-84D0-6274DAC0739D}">
  <sheetPr codeName="Sheet117"/>
  <dimension ref="A1:J36"/>
  <sheetViews>
    <sheetView topLeftCell="A2" workbookViewId="0">
      <selection activeCell="C22" sqref="C22"/>
    </sheetView>
  </sheetViews>
  <sheetFormatPr defaultRowHeight="15"/>
  <cols>
    <col min="1" max="1" width="9.140625" style="38"/>
    <col min="2" max="2" width="18.85546875" style="38" bestFit="1" customWidth="1"/>
    <col min="3" max="4" width="9.140625" style="38"/>
    <col min="5" max="5" width="11" style="38" bestFit="1" customWidth="1"/>
    <col min="6" max="6" width="27.28515625" style="38" customWidth="1"/>
    <col min="7" max="7" width="55.140625" style="38" customWidth="1"/>
    <col min="8" max="16384" width="9.140625" style="38"/>
  </cols>
  <sheetData>
    <row r="1" spans="1:9">
      <c r="A1" s="36" t="s">
        <v>238</v>
      </c>
      <c r="B1" s="36"/>
      <c r="C1" s="36"/>
      <c r="D1" s="36"/>
      <c r="E1" s="36"/>
      <c r="F1" s="36"/>
      <c r="G1" s="36"/>
      <c r="H1" s="89" t="s">
        <v>5363</v>
      </c>
      <c r="I1" s="90"/>
    </row>
    <row r="2" spans="1:9">
      <c r="A2" s="10" t="s">
        <v>350</v>
      </c>
      <c r="B2" s="10" t="s">
        <v>156</v>
      </c>
      <c r="C2" s="10" t="s">
        <v>157</v>
      </c>
      <c r="D2" s="10" t="s">
        <v>239</v>
      </c>
      <c r="E2" s="10" t="s">
        <v>159</v>
      </c>
      <c r="F2" s="10" t="s">
        <v>1684</v>
      </c>
      <c r="G2" s="10" t="s">
        <v>1685</v>
      </c>
      <c r="H2" s="10" t="s">
        <v>5371</v>
      </c>
      <c r="I2" s="10" t="s">
        <v>5372</v>
      </c>
    </row>
    <row r="3" spans="1:9">
      <c r="A3" s="37">
        <v>1</v>
      </c>
      <c r="B3" s="37" t="s">
        <v>240</v>
      </c>
      <c r="C3" s="37">
        <v>8</v>
      </c>
      <c r="D3" s="37" t="s">
        <v>160</v>
      </c>
      <c r="E3" s="37" t="s">
        <v>177</v>
      </c>
      <c r="F3" s="37" t="s">
        <v>5939</v>
      </c>
      <c r="G3" s="37" t="s">
        <v>1687</v>
      </c>
      <c r="H3" s="37" t="s">
        <v>5382</v>
      </c>
      <c r="I3" s="37" t="s">
        <v>5395</v>
      </c>
    </row>
    <row r="4" spans="1:9" ht="45">
      <c r="A4" s="37">
        <v>2</v>
      </c>
      <c r="B4" s="37" t="s">
        <v>5940</v>
      </c>
      <c r="C4" s="37">
        <v>2</v>
      </c>
      <c r="D4" s="37" t="s">
        <v>242</v>
      </c>
      <c r="E4" s="37"/>
      <c r="F4" s="37" t="s">
        <v>5941</v>
      </c>
      <c r="G4" s="37" t="s">
        <v>5942</v>
      </c>
      <c r="H4" s="37" t="s">
        <v>5384</v>
      </c>
      <c r="I4" s="37" t="s">
        <v>5387</v>
      </c>
    </row>
    <row r="5" spans="1:9" ht="30">
      <c r="A5" s="37">
        <v>3</v>
      </c>
      <c r="B5" s="37" t="s">
        <v>280</v>
      </c>
      <c r="C5" s="37">
        <v>2</v>
      </c>
      <c r="D5" s="37" t="s">
        <v>242</v>
      </c>
      <c r="E5" s="37"/>
      <c r="F5" s="37" t="s">
        <v>5943</v>
      </c>
      <c r="G5" s="37" t="s">
        <v>5944</v>
      </c>
      <c r="H5" s="37"/>
      <c r="I5" s="37"/>
    </row>
    <row r="6" spans="1:9" ht="30">
      <c r="A6" s="37">
        <v>4</v>
      </c>
      <c r="B6" s="37" t="s">
        <v>5945</v>
      </c>
      <c r="C6" s="37">
        <v>9</v>
      </c>
      <c r="D6" s="37" t="s">
        <v>189</v>
      </c>
      <c r="E6" s="37" t="s">
        <v>1268</v>
      </c>
      <c r="F6" s="37" t="s">
        <v>5946</v>
      </c>
      <c r="G6" s="37" t="s">
        <v>5947</v>
      </c>
      <c r="H6" s="37"/>
      <c r="I6" s="37"/>
    </row>
    <row r="7" spans="1:9" ht="30">
      <c r="A7" s="37">
        <v>5</v>
      </c>
      <c r="B7" s="37" t="s">
        <v>5948</v>
      </c>
      <c r="C7" s="37">
        <v>1</v>
      </c>
      <c r="D7" s="37" t="s">
        <v>242</v>
      </c>
      <c r="E7" s="37"/>
      <c r="F7" s="37" t="s">
        <v>5949</v>
      </c>
      <c r="G7" s="37" t="s">
        <v>5950</v>
      </c>
      <c r="H7" s="37"/>
      <c r="I7" s="37"/>
    </row>
    <row r="8" spans="1:9" ht="30">
      <c r="A8" s="37">
        <v>6</v>
      </c>
      <c r="B8" s="37" t="s">
        <v>5951</v>
      </c>
      <c r="C8" s="37">
        <v>1</v>
      </c>
      <c r="D8" s="37" t="s">
        <v>242</v>
      </c>
      <c r="E8" s="37"/>
      <c r="F8" s="37" t="s">
        <v>5952</v>
      </c>
      <c r="G8" s="37" t="s">
        <v>5953</v>
      </c>
      <c r="H8" s="37"/>
      <c r="I8" s="37"/>
    </row>
    <row r="9" spans="1:9" ht="30">
      <c r="A9" s="37">
        <v>7</v>
      </c>
      <c r="B9" s="37" t="s">
        <v>5954</v>
      </c>
      <c r="C9" s="37">
        <v>1</v>
      </c>
      <c r="D9" s="37" t="s">
        <v>242</v>
      </c>
      <c r="E9" s="37"/>
      <c r="F9" s="37" t="s">
        <v>5955</v>
      </c>
      <c r="G9" s="37" t="s">
        <v>5956</v>
      </c>
      <c r="H9" s="37"/>
      <c r="I9" s="37"/>
    </row>
    <row r="10" spans="1:9">
      <c r="A10" s="37">
        <v>8</v>
      </c>
      <c r="B10" s="37" t="s">
        <v>5957</v>
      </c>
      <c r="C10" s="37">
        <v>9</v>
      </c>
      <c r="D10" s="37" t="s">
        <v>242</v>
      </c>
      <c r="E10" s="37" t="s">
        <v>1268</v>
      </c>
      <c r="F10" s="37" t="s">
        <v>5958</v>
      </c>
      <c r="G10" s="37"/>
      <c r="H10" s="37"/>
      <c r="I10" s="37"/>
    </row>
    <row r="11" spans="1:9" ht="30">
      <c r="A11" s="37">
        <v>9</v>
      </c>
      <c r="B11" s="37" t="s">
        <v>5959</v>
      </c>
      <c r="C11" s="37">
        <v>12</v>
      </c>
      <c r="D11" s="37" t="s">
        <v>189</v>
      </c>
      <c r="E11" s="37" t="s">
        <v>5483</v>
      </c>
      <c r="F11" s="37" t="s">
        <v>5960</v>
      </c>
      <c r="G11" s="37" t="s">
        <v>5961</v>
      </c>
      <c r="H11" s="37"/>
      <c r="I11" s="37"/>
    </row>
    <row r="12" spans="1:9" ht="30">
      <c r="A12" s="37">
        <v>10</v>
      </c>
      <c r="B12" s="37" t="s">
        <v>5962</v>
      </c>
      <c r="C12" s="37">
        <v>9</v>
      </c>
      <c r="D12" s="37" t="s">
        <v>189</v>
      </c>
      <c r="E12" s="37" t="s">
        <v>1268</v>
      </c>
      <c r="F12" s="37" t="s">
        <v>5963</v>
      </c>
      <c r="G12" s="37" t="s">
        <v>5964</v>
      </c>
      <c r="H12" s="37"/>
      <c r="I12" s="37"/>
    </row>
    <row r="13" spans="1:9" ht="30">
      <c r="A13" s="37">
        <v>11</v>
      </c>
      <c r="B13" s="37" t="s">
        <v>5965</v>
      </c>
      <c r="C13" s="37">
        <v>12</v>
      </c>
      <c r="D13" s="37" t="s">
        <v>189</v>
      </c>
      <c r="E13" s="37" t="s">
        <v>5483</v>
      </c>
      <c r="F13" s="37" t="s">
        <v>5966</v>
      </c>
      <c r="G13" s="37" t="s">
        <v>5967</v>
      </c>
      <c r="H13" s="37"/>
      <c r="I13" s="37"/>
    </row>
    <row r="14" spans="1:9" ht="45">
      <c r="A14" s="37">
        <v>16</v>
      </c>
      <c r="B14" s="37" t="s">
        <v>1182</v>
      </c>
      <c r="C14" s="37">
        <v>12</v>
      </c>
      <c r="D14" s="37" t="s">
        <v>189</v>
      </c>
      <c r="E14" s="37" t="s">
        <v>5576</v>
      </c>
      <c r="F14" s="37" t="s">
        <v>1688</v>
      </c>
      <c r="G14" s="37" t="s">
        <v>1689</v>
      </c>
      <c r="H14" s="37"/>
      <c r="I14" s="37"/>
    </row>
    <row r="15" spans="1:9" ht="45">
      <c r="A15" s="37">
        <v>17</v>
      </c>
      <c r="B15" s="37" t="s">
        <v>1183</v>
      </c>
      <c r="C15" s="37">
        <v>30</v>
      </c>
      <c r="D15" s="37" t="s">
        <v>242</v>
      </c>
      <c r="E15" s="37" t="s">
        <v>5576</v>
      </c>
      <c r="F15" s="37" t="s">
        <v>1690</v>
      </c>
      <c r="G15" s="37" t="s">
        <v>1691</v>
      </c>
      <c r="H15" s="37"/>
      <c r="I15" s="37"/>
    </row>
    <row r="26" spans="10:10">
      <c r="J26" s="7"/>
    </row>
    <row r="27" spans="10:10">
      <c r="J27" s="5"/>
    </row>
    <row r="36" spans="2:2">
      <c r="B36" s="9"/>
    </row>
  </sheetData>
  <mergeCells count="1">
    <mergeCell ref="H1:I1"/>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276E4-60E1-4E19-ABB9-38D599D17E25}">
  <sheetPr codeName="Sheet23"/>
  <dimension ref="A1:I47"/>
  <sheetViews>
    <sheetView topLeftCell="A23" workbookViewId="0">
      <selection activeCell="C22" sqref="C22"/>
    </sheetView>
  </sheetViews>
  <sheetFormatPr defaultRowHeight="15"/>
  <cols>
    <col min="1" max="1" width="9.140625" style="44"/>
    <col min="2" max="2" width="18.85546875" style="44" bestFit="1" customWidth="1"/>
    <col min="3" max="4" width="9.140625" style="44"/>
    <col min="5" max="5" width="11" style="44" bestFit="1" customWidth="1"/>
    <col min="6" max="6" width="27.28515625" style="44" customWidth="1"/>
    <col min="7" max="7" width="55.140625" style="44" customWidth="1"/>
    <col min="8" max="8" width="9.140625" style="44"/>
    <col min="9" max="9" width="35.5703125" style="44" bestFit="1" customWidth="1"/>
    <col min="10" max="10" width="9.140625" style="44"/>
    <col min="11" max="11" width="46.85546875" style="44" customWidth="1"/>
    <col min="12" max="16384" width="9.140625" style="44"/>
  </cols>
  <sheetData>
    <row r="1" spans="1:8">
      <c r="A1" s="41" t="s">
        <v>238</v>
      </c>
      <c r="B1" s="41"/>
      <c r="C1" s="41"/>
      <c r="D1" s="41"/>
      <c r="E1" s="41"/>
      <c r="F1" s="41"/>
      <c r="G1" s="41"/>
      <c r="H1" s="41" t="s">
        <v>5363</v>
      </c>
    </row>
    <row r="2" spans="1:8">
      <c r="A2" s="10" t="s">
        <v>350</v>
      </c>
      <c r="B2" s="10" t="s">
        <v>156</v>
      </c>
      <c r="C2" s="10" t="s">
        <v>157</v>
      </c>
      <c r="D2" s="10" t="s">
        <v>239</v>
      </c>
      <c r="E2" s="10" t="s">
        <v>159</v>
      </c>
      <c r="F2" s="10" t="s">
        <v>1684</v>
      </c>
      <c r="G2" s="10" t="s">
        <v>1685</v>
      </c>
      <c r="H2" s="10" t="s">
        <v>5363</v>
      </c>
    </row>
    <row r="3" spans="1:8">
      <c r="A3" s="42">
        <v>1</v>
      </c>
      <c r="B3" s="42" t="s">
        <v>240</v>
      </c>
      <c r="C3" s="42">
        <v>8</v>
      </c>
      <c r="D3" s="42" t="s">
        <v>160</v>
      </c>
      <c r="E3" s="42" t="s">
        <v>177</v>
      </c>
      <c r="F3" s="42" t="s">
        <v>1686</v>
      </c>
      <c r="G3" s="42" t="s">
        <v>1687</v>
      </c>
      <c r="H3" s="42" t="s">
        <v>5382</v>
      </c>
    </row>
    <row r="4" spans="1:8">
      <c r="A4" s="42">
        <v>2</v>
      </c>
      <c r="B4" s="42" t="s">
        <v>5496</v>
      </c>
      <c r="C4" s="42">
        <v>6</v>
      </c>
      <c r="D4" s="42" t="s">
        <v>242</v>
      </c>
      <c r="E4" s="42"/>
      <c r="F4" s="42" t="s">
        <v>5496</v>
      </c>
      <c r="G4" s="42" t="s">
        <v>5497</v>
      </c>
      <c r="H4" s="42" t="s">
        <v>5384</v>
      </c>
    </row>
    <row r="5" spans="1:8" ht="30">
      <c r="A5" s="42">
        <v>3</v>
      </c>
      <c r="B5" s="42" t="s">
        <v>593</v>
      </c>
      <c r="C5" s="42">
        <v>2</v>
      </c>
      <c r="D5" s="42" t="s">
        <v>242</v>
      </c>
      <c r="E5" s="42"/>
      <c r="F5" s="42" t="s">
        <v>5142</v>
      </c>
      <c r="G5" s="42" t="s">
        <v>5150</v>
      </c>
      <c r="H5" s="42"/>
    </row>
    <row r="6" spans="1:8" ht="30">
      <c r="A6" s="42">
        <v>4</v>
      </c>
      <c r="B6" s="42" t="s">
        <v>594</v>
      </c>
      <c r="C6" s="42">
        <v>2</v>
      </c>
      <c r="D6" s="42" t="s">
        <v>242</v>
      </c>
      <c r="E6" s="42"/>
      <c r="F6" s="42" t="s">
        <v>5143</v>
      </c>
      <c r="G6" s="42" t="s">
        <v>5150</v>
      </c>
      <c r="H6" s="42"/>
    </row>
    <row r="7" spans="1:8" ht="30">
      <c r="A7" s="42">
        <v>5</v>
      </c>
      <c r="B7" s="42" t="s">
        <v>595</v>
      </c>
      <c r="C7" s="42">
        <v>2</v>
      </c>
      <c r="D7" s="42" t="s">
        <v>242</v>
      </c>
      <c r="E7" s="42"/>
      <c r="F7" s="42" t="s">
        <v>5144</v>
      </c>
      <c r="G7" s="42" t="s">
        <v>5150</v>
      </c>
      <c r="H7" s="42"/>
    </row>
    <row r="8" spans="1:8" ht="30">
      <c r="A8" s="42">
        <v>6</v>
      </c>
      <c r="B8" s="42" t="s">
        <v>596</v>
      </c>
      <c r="C8" s="42">
        <v>2</v>
      </c>
      <c r="D8" s="42" t="s">
        <v>242</v>
      </c>
      <c r="E8" s="42"/>
      <c r="F8" s="42" t="s">
        <v>5145</v>
      </c>
      <c r="G8" s="42" t="s">
        <v>5150</v>
      </c>
      <c r="H8" s="42"/>
    </row>
    <row r="9" spans="1:8" ht="30">
      <c r="A9" s="42">
        <v>7</v>
      </c>
      <c r="B9" s="42" t="s">
        <v>597</v>
      </c>
      <c r="C9" s="42">
        <v>2</v>
      </c>
      <c r="D9" s="42" t="s">
        <v>242</v>
      </c>
      <c r="E9" s="42"/>
      <c r="F9" s="42" t="s">
        <v>5146</v>
      </c>
      <c r="G9" s="42" t="s">
        <v>5150</v>
      </c>
      <c r="H9" s="42"/>
    </row>
    <row r="10" spans="1:8" ht="30">
      <c r="A10" s="42">
        <v>8</v>
      </c>
      <c r="B10" s="42" t="s">
        <v>598</v>
      </c>
      <c r="C10" s="42">
        <v>2</v>
      </c>
      <c r="D10" s="42" t="s">
        <v>242</v>
      </c>
      <c r="E10" s="42"/>
      <c r="F10" s="42" t="s">
        <v>5149</v>
      </c>
      <c r="G10" s="42" t="s">
        <v>5151</v>
      </c>
      <c r="H10" s="42"/>
    </row>
    <row r="11" spans="1:8" ht="30">
      <c r="A11" s="42">
        <v>9</v>
      </c>
      <c r="B11" s="42" t="s">
        <v>599</v>
      </c>
      <c r="C11" s="42">
        <v>2</v>
      </c>
      <c r="D11" s="42" t="s">
        <v>242</v>
      </c>
      <c r="E11" s="42"/>
      <c r="F11" s="42" t="s">
        <v>5153</v>
      </c>
      <c r="G11" s="42" t="s">
        <v>5151</v>
      </c>
      <c r="H11" s="42"/>
    </row>
    <row r="12" spans="1:8" ht="30">
      <c r="A12" s="42">
        <v>10</v>
      </c>
      <c r="B12" s="42" t="s">
        <v>600</v>
      </c>
      <c r="C12" s="42">
        <v>2</v>
      </c>
      <c r="D12" s="42" t="s">
        <v>242</v>
      </c>
      <c r="E12" s="42"/>
      <c r="F12" s="42" t="s">
        <v>5154</v>
      </c>
      <c r="G12" s="42" t="s">
        <v>5151</v>
      </c>
      <c r="H12" s="42"/>
    </row>
    <row r="13" spans="1:8" ht="30">
      <c r="A13" s="42">
        <v>11</v>
      </c>
      <c r="B13" s="42" t="s">
        <v>601</v>
      </c>
      <c r="C13" s="42">
        <v>2</v>
      </c>
      <c r="D13" s="42" t="s">
        <v>242</v>
      </c>
      <c r="E13" s="42"/>
      <c r="F13" s="42" t="s">
        <v>5155</v>
      </c>
      <c r="G13" s="42" t="s">
        <v>5151</v>
      </c>
      <c r="H13" s="42"/>
    </row>
    <row r="14" spans="1:8" ht="30">
      <c r="A14" s="42">
        <v>12</v>
      </c>
      <c r="B14" s="42" t="s">
        <v>602</v>
      </c>
      <c r="C14" s="42">
        <v>2</v>
      </c>
      <c r="D14" s="42" t="s">
        <v>242</v>
      </c>
      <c r="E14" s="42"/>
      <c r="F14" s="42" t="s">
        <v>5156</v>
      </c>
      <c r="G14" s="42" t="s">
        <v>5151</v>
      </c>
      <c r="H14" s="42"/>
    </row>
    <row r="15" spans="1:8" ht="30">
      <c r="A15" s="42">
        <v>13</v>
      </c>
      <c r="B15" s="42" t="s">
        <v>604</v>
      </c>
      <c r="C15" s="42">
        <v>2</v>
      </c>
      <c r="D15" s="42" t="s">
        <v>242</v>
      </c>
      <c r="E15" s="42"/>
      <c r="F15" s="42" t="s">
        <v>5147</v>
      </c>
      <c r="G15" s="42" t="s">
        <v>5150</v>
      </c>
      <c r="H15" s="42"/>
    </row>
    <row r="16" spans="1:8" ht="30">
      <c r="A16" s="42">
        <v>14</v>
      </c>
      <c r="B16" s="42" t="s">
        <v>605</v>
      </c>
      <c r="C16" s="42">
        <v>2</v>
      </c>
      <c r="D16" s="42" t="s">
        <v>242</v>
      </c>
      <c r="E16" s="42"/>
      <c r="F16" s="42" t="s">
        <v>5148</v>
      </c>
      <c r="G16" s="42" t="s">
        <v>5150</v>
      </c>
      <c r="H16" s="42"/>
    </row>
    <row r="17" spans="1:9" ht="30">
      <c r="A17" s="42">
        <v>15</v>
      </c>
      <c r="B17" s="42" t="s">
        <v>606</v>
      </c>
      <c r="C17" s="42">
        <v>2</v>
      </c>
      <c r="D17" s="42" t="s">
        <v>242</v>
      </c>
      <c r="E17" s="42"/>
      <c r="F17" s="42" t="s">
        <v>5144</v>
      </c>
      <c r="G17" s="42" t="s">
        <v>5150</v>
      </c>
      <c r="H17" s="42"/>
    </row>
    <row r="18" spans="1:9" ht="30">
      <c r="A18" s="42">
        <v>16</v>
      </c>
      <c r="B18" s="42" t="s">
        <v>607</v>
      </c>
      <c r="C18" s="42">
        <v>2</v>
      </c>
      <c r="D18" s="42" t="s">
        <v>242</v>
      </c>
      <c r="E18" s="42"/>
      <c r="F18" s="42" t="s">
        <v>5145</v>
      </c>
      <c r="G18" s="42" t="s">
        <v>5150</v>
      </c>
      <c r="H18" s="42"/>
    </row>
    <row r="19" spans="1:9" ht="30">
      <c r="A19" s="42">
        <v>17</v>
      </c>
      <c r="B19" s="42" t="s">
        <v>608</v>
      </c>
      <c r="C19" s="42">
        <v>2</v>
      </c>
      <c r="D19" s="42" t="s">
        <v>242</v>
      </c>
      <c r="E19" s="42"/>
      <c r="F19" s="42" t="s">
        <v>5146</v>
      </c>
      <c r="G19" s="42" t="s">
        <v>5150</v>
      </c>
      <c r="H19" s="42"/>
    </row>
    <row r="20" spans="1:9" ht="30">
      <c r="A20" s="42">
        <v>18</v>
      </c>
      <c r="B20" s="42" t="s">
        <v>609</v>
      </c>
      <c r="C20" s="42">
        <v>2</v>
      </c>
      <c r="D20" s="42" t="s">
        <v>242</v>
      </c>
      <c r="E20" s="42"/>
      <c r="F20" s="42" t="s">
        <v>5157</v>
      </c>
      <c r="G20" s="42" t="s">
        <v>5151</v>
      </c>
      <c r="H20" s="42"/>
    </row>
    <row r="21" spans="1:9" ht="30">
      <c r="A21" s="42">
        <v>19</v>
      </c>
      <c r="B21" s="42" t="s">
        <v>610</v>
      </c>
      <c r="C21" s="42">
        <v>2</v>
      </c>
      <c r="D21" s="42" t="s">
        <v>242</v>
      </c>
      <c r="E21" s="42"/>
      <c r="F21" s="42" t="s">
        <v>5158</v>
      </c>
      <c r="G21" s="42" t="s">
        <v>5151</v>
      </c>
      <c r="H21" s="42"/>
    </row>
    <row r="22" spans="1:9" ht="30">
      <c r="A22" s="42">
        <v>20</v>
      </c>
      <c r="B22" s="42" t="s">
        <v>611</v>
      </c>
      <c r="C22" s="42">
        <v>2</v>
      </c>
      <c r="D22" s="42" t="s">
        <v>242</v>
      </c>
      <c r="E22" s="42"/>
      <c r="F22" s="42" t="s">
        <v>5159</v>
      </c>
      <c r="G22" s="42" t="s">
        <v>5151</v>
      </c>
      <c r="H22" s="42"/>
    </row>
    <row r="23" spans="1:9" ht="30">
      <c r="A23" s="42">
        <v>21</v>
      </c>
      <c r="B23" s="42" t="s">
        <v>612</v>
      </c>
      <c r="C23" s="42">
        <v>2</v>
      </c>
      <c r="D23" s="42" t="s">
        <v>242</v>
      </c>
      <c r="E23" s="42"/>
      <c r="F23" s="42" t="s">
        <v>5160</v>
      </c>
      <c r="G23" s="42" t="s">
        <v>5151</v>
      </c>
      <c r="H23" s="42"/>
    </row>
    <row r="24" spans="1:9" ht="30">
      <c r="A24" s="42">
        <v>22</v>
      </c>
      <c r="B24" s="42" t="s">
        <v>613</v>
      </c>
      <c r="C24" s="42">
        <v>2</v>
      </c>
      <c r="D24" s="42" t="s">
        <v>242</v>
      </c>
      <c r="E24" s="42"/>
      <c r="F24" s="42" t="s">
        <v>5152</v>
      </c>
      <c r="G24" s="42" t="s">
        <v>5151</v>
      </c>
      <c r="H24" s="42"/>
    </row>
    <row r="25" spans="1:9">
      <c r="A25" s="59">
        <v>23</v>
      </c>
      <c r="B25" s="59" t="s">
        <v>6208</v>
      </c>
      <c r="C25" s="59">
        <v>1</v>
      </c>
      <c r="D25" s="59" t="s">
        <v>242</v>
      </c>
      <c r="E25" s="59"/>
      <c r="F25" s="69" t="s">
        <v>6209</v>
      </c>
      <c r="G25" s="69" t="s">
        <v>6210</v>
      </c>
      <c r="H25" s="59"/>
      <c r="I25" s="72" t="s">
        <v>7014</v>
      </c>
    </row>
    <row r="26" spans="1:9">
      <c r="A26" s="59">
        <v>24</v>
      </c>
      <c r="B26" s="59" t="s">
        <v>6211</v>
      </c>
      <c r="C26" s="59">
        <v>1</v>
      </c>
      <c r="D26" s="59" t="s">
        <v>242</v>
      </c>
      <c r="E26" s="59"/>
      <c r="F26" s="69" t="s">
        <v>6212</v>
      </c>
      <c r="G26" s="69" t="s">
        <v>6213</v>
      </c>
      <c r="H26" s="59"/>
      <c r="I26" s="72" t="s">
        <v>7014</v>
      </c>
    </row>
    <row r="27" spans="1:9">
      <c r="A27" s="59">
        <v>25</v>
      </c>
      <c r="B27" s="59" t="s">
        <v>6214</v>
      </c>
      <c r="C27" s="59">
        <v>1</v>
      </c>
      <c r="D27" s="59" t="s">
        <v>242</v>
      </c>
      <c r="E27" s="59"/>
      <c r="F27" s="69" t="s">
        <v>6215</v>
      </c>
      <c r="G27" s="69" t="s">
        <v>6216</v>
      </c>
      <c r="H27" s="59"/>
      <c r="I27" s="72" t="s">
        <v>7014</v>
      </c>
    </row>
    <row r="28" spans="1:9">
      <c r="A28" s="59">
        <v>26</v>
      </c>
      <c r="B28" s="59" t="s">
        <v>6217</v>
      </c>
      <c r="C28" s="59">
        <v>1</v>
      </c>
      <c r="D28" s="59" t="s">
        <v>242</v>
      </c>
      <c r="E28" s="59"/>
      <c r="F28" s="69" t="s">
        <v>6218</v>
      </c>
      <c r="G28" s="69" t="s">
        <v>6219</v>
      </c>
      <c r="H28" s="59"/>
      <c r="I28" s="72" t="s">
        <v>7014</v>
      </c>
    </row>
    <row r="29" spans="1:9">
      <c r="A29" s="59">
        <v>27</v>
      </c>
      <c r="B29" s="59" t="s">
        <v>6220</v>
      </c>
      <c r="C29" s="59">
        <v>1</v>
      </c>
      <c r="D29" s="59" t="s">
        <v>242</v>
      </c>
      <c r="E29" s="59"/>
      <c r="F29" s="69" t="s">
        <v>6221</v>
      </c>
      <c r="G29" s="69" t="s">
        <v>6222</v>
      </c>
      <c r="H29" s="59"/>
      <c r="I29" s="72" t="s">
        <v>7014</v>
      </c>
    </row>
    <row r="30" spans="1:9">
      <c r="A30" s="59">
        <v>28</v>
      </c>
      <c r="B30" s="59" t="s">
        <v>6223</v>
      </c>
      <c r="C30" s="59">
        <v>1</v>
      </c>
      <c r="D30" s="59" t="s">
        <v>242</v>
      </c>
      <c r="E30" s="59"/>
      <c r="F30" s="69" t="s">
        <v>6224</v>
      </c>
      <c r="G30" s="69" t="s">
        <v>6225</v>
      </c>
      <c r="H30" s="59"/>
      <c r="I30" s="72" t="s">
        <v>7014</v>
      </c>
    </row>
    <row r="31" spans="1:9">
      <c r="A31" s="59">
        <v>29</v>
      </c>
      <c r="B31" s="59" t="s">
        <v>6226</v>
      </c>
      <c r="C31" s="59">
        <v>1</v>
      </c>
      <c r="D31" s="59" t="s">
        <v>242</v>
      </c>
      <c r="E31" s="59"/>
      <c r="F31" s="69" t="s">
        <v>6227</v>
      </c>
      <c r="G31" s="69" t="s">
        <v>6228</v>
      </c>
      <c r="H31" s="59"/>
      <c r="I31" s="72" t="s">
        <v>7014</v>
      </c>
    </row>
    <row r="32" spans="1:9">
      <c r="A32" s="59">
        <v>30</v>
      </c>
      <c r="B32" s="59" t="s">
        <v>6229</v>
      </c>
      <c r="C32" s="59">
        <v>1</v>
      </c>
      <c r="D32" s="59" t="s">
        <v>242</v>
      </c>
      <c r="E32" s="59"/>
      <c r="F32" s="69" t="s">
        <v>6230</v>
      </c>
      <c r="G32" s="69" t="s">
        <v>6231</v>
      </c>
      <c r="H32" s="59"/>
      <c r="I32" s="72" t="s">
        <v>7014</v>
      </c>
    </row>
    <row r="33" spans="1:9">
      <c r="A33" s="59">
        <v>31</v>
      </c>
      <c r="B33" s="59" t="s">
        <v>6232</v>
      </c>
      <c r="C33" s="59">
        <v>1</v>
      </c>
      <c r="D33" s="59" t="s">
        <v>242</v>
      </c>
      <c r="E33" s="59"/>
      <c r="F33" s="69" t="s">
        <v>6233</v>
      </c>
      <c r="G33" s="69" t="s">
        <v>6234</v>
      </c>
      <c r="H33" s="59"/>
      <c r="I33" s="72" t="s">
        <v>7014</v>
      </c>
    </row>
    <row r="34" spans="1:9">
      <c r="A34" s="59">
        <v>32</v>
      </c>
      <c r="B34" s="59" t="s">
        <v>6235</v>
      </c>
      <c r="C34" s="59">
        <v>1</v>
      </c>
      <c r="D34" s="59" t="s">
        <v>242</v>
      </c>
      <c r="E34" s="59"/>
      <c r="F34" s="69" t="s">
        <v>6236</v>
      </c>
      <c r="G34" s="69" t="s">
        <v>6237</v>
      </c>
      <c r="H34" s="59"/>
      <c r="I34" s="72" t="s">
        <v>7014</v>
      </c>
    </row>
    <row r="35" spans="1:9" ht="30">
      <c r="A35" s="59">
        <v>33</v>
      </c>
      <c r="B35" s="59" t="s">
        <v>6238</v>
      </c>
      <c r="C35" s="59">
        <v>1</v>
      </c>
      <c r="D35" s="59" t="s">
        <v>242</v>
      </c>
      <c r="E35" s="59"/>
      <c r="F35" s="59" t="s">
        <v>6239</v>
      </c>
      <c r="G35" s="59" t="s">
        <v>6240</v>
      </c>
      <c r="H35" s="59"/>
      <c r="I35" s="72" t="s">
        <v>7014</v>
      </c>
    </row>
    <row r="36" spans="1:9">
      <c r="A36" s="59">
        <v>34</v>
      </c>
      <c r="B36" s="59" t="s">
        <v>6241</v>
      </c>
      <c r="C36" s="59">
        <v>3</v>
      </c>
      <c r="D36" s="59" t="s">
        <v>242</v>
      </c>
      <c r="E36" s="59"/>
      <c r="F36" s="59" t="s">
        <v>6242</v>
      </c>
      <c r="G36" s="59" t="s">
        <v>6243</v>
      </c>
      <c r="H36" s="59"/>
      <c r="I36" s="72" t="s">
        <v>7014</v>
      </c>
    </row>
    <row r="37" spans="1:9">
      <c r="A37" s="59">
        <v>35</v>
      </c>
      <c r="B37" s="59" t="s">
        <v>6244</v>
      </c>
      <c r="C37" s="59">
        <v>1</v>
      </c>
      <c r="D37" s="59" t="s">
        <v>242</v>
      </c>
      <c r="E37" s="59"/>
      <c r="F37" s="59" t="s">
        <v>6245</v>
      </c>
      <c r="G37" s="59" t="s">
        <v>6246</v>
      </c>
      <c r="H37" s="59"/>
      <c r="I37" s="72" t="s">
        <v>7014</v>
      </c>
    </row>
    <row r="38" spans="1:9">
      <c r="A38" s="59">
        <v>36</v>
      </c>
      <c r="B38" s="59" t="s">
        <v>6247</v>
      </c>
      <c r="C38" s="59">
        <v>1</v>
      </c>
      <c r="D38" s="59" t="s">
        <v>242</v>
      </c>
      <c r="E38" s="59"/>
      <c r="F38" s="59" t="s">
        <v>6248</v>
      </c>
      <c r="G38" s="59" t="s">
        <v>6246</v>
      </c>
      <c r="H38" s="59"/>
      <c r="I38" s="72" t="s">
        <v>7014</v>
      </c>
    </row>
    <row r="39" spans="1:9">
      <c r="A39" s="59">
        <v>37</v>
      </c>
      <c r="B39" s="59" t="s">
        <v>6249</v>
      </c>
      <c r="C39" s="59">
        <v>1</v>
      </c>
      <c r="D39" s="59" t="s">
        <v>242</v>
      </c>
      <c r="E39" s="59"/>
      <c r="F39" s="59" t="s">
        <v>6250</v>
      </c>
      <c r="G39" s="59" t="s">
        <v>6251</v>
      </c>
      <c r="H39" s="59"/>
      <c r="I39" s="72" t="s">
        <v>7014</v>
      </c>
    </row>
    <row r="40" spans="1:9" ht="30">
      <c r="A40" s="59">
        <v>38</v>
      </c>
      <c r="B40" s="59" t="s">
        <v>6252</v>
      </c>
      <c r="C40" s="59">
        <v>1</v>
      </c>
      <c r="D40" s="59" t="s">
        <v>242</v>
      </c>
      <c r="E40" s="59"/>
      <c r="F40" s="59" t="s">
        <v>6253</v>
      </c>
      <c r="G40" s="59" t="s">
        <v>6254</v>
      </c>
      <c r="H40" s="59"/>
      <c r="I40" s="72" t="s">
        <v>7014</v>
      </c>
    </row>
    <row r="41" spans="1:9">
      <c r="A41" s="59">
        <v>39</v>
      </c>
      <c r="B41" s="59" t="s">
        <v>6255</v>
      </c>
      <c r="C41" s="59">
        <v>2</v>
      </c>
      <c r="D41" s="59" t="s">
        <v>242</v>
      </c>
      <c r="E41" s="59"/>
      <c r="F41" s="59" t="s">
        <v>6256</v>
      </c>
      <c r="G41" s="59" t="s">
        <v>6257</v>
      </c>
      <c r="H41" s="59"/>
      <c r="I41" s="72" t="s">
        <v>7014</v>
      </c>
    </row>
    <row r="42" spans="1:9">
      <c r="A42" s="59">
        <v>40</v>
      </c>
      <c r="B42" s="59" t="s">
        <v>6258</v>
      </c>
      <c r="C42" s="59">
        <v>2</v>
      </c>
      <c r="D42" s="59" t="s">
        <v>242</v>
      </c>
      <c r="E42" s="59"/>
      <c r="F42" s="59" t="s">
        <v>6259</v>
      </c>
      <c r="G42" s="59" t="s">
        <v>6260</v>
      </c>
      <c r="H42" s="59"/>
      <c r="I42" s="72" t="s">
        <v>7014</v>
      </c>
    </row>
    <row r="43" spans="1:9">
      <c r="A43" s="59">
        <v>41</v>
      </c>
      <c r="B43" s="59" t="s">
        <v>6261</v>
      </c>
      <c r="C43" s="59">
        <v>2</v>
      </c>
      <c r="D43" s="59" t="s">
        <v>242</v>
      </c>
      <c r="E43" s="59"/>
      <c r="F43" s="59" t="s">
        <v>6262</v>
      </c>
      <c r="G43" s="59" t="s">
        <v>6263</v>
      </c>
      <c r="H43" s="59"/>
      <c r="I43" s="72" t="s">
        <v>7014</v>
      </c>
    </row>
    <row r="44" spans="1:9">
      <c r="A44" s="59">
        <v>42</v>
      </c>
      <c r="B44" s="59" t="s">
        <v>6264</v>
      </c>
      <c r="C44" s="59">
        <v>2</v>
      </c>
      <c r="D44" s="59" t="s">
        <v>242</v>
      </c>
      <c r="E44" s="59"/>
      <c r="F44" s="59" t="s">
        <v>6265</v>
      </c>
      <c r="G44" s="59" t="s">
        <v>6266</v>
      </c>
      <c r="H44" s="59"/>
      <c r="I44" s="72" t="s">
        <v>7014</v>
      </c>
    </row>
    <row r="45" spans="1:9">
      <c r="A45" s="59">
        <v>43</v>
      </c>
      <c r="B45" s="59" t="s">
        <v>6267</v>
      </c>
      <c r="C45" s="59">
        <v>2</v>
      </c>
      <c r="D45" s="59" t="s">
        <v>242</v>
      </c>
      <c r="E45" s="59"/>
      <c r="F45" s="59" t="s">
        <v>6268</v>
      </c>
      <c r="G45" s="59" t="s">
        <v>6269</v>
      </c>
      <c r="H45" s="59"/>
      <c r="I45" s="72" t="s">
        <v>7014</v>
      </c>
    </row>
    <row r="46" spans="1:9" ht="45">
      <c r="A46" s="42">
        <v>44</v>
      </c>
      <c r="B46" s="42" t="s">
        <v>1182</v>
      </c>
      <c r="C46" s="42">
        <v>12</v>
      </c>
      <c r="D46" s="42" t="s">
        <v>189</v>
      </c>
      <c r="E46" s="42" t="s">
        <v>5576</v>
      </c>
      <c r="F46" s="42" t="s">
        <v>1688</v>
      </c>
      <c r="G46" s="42" t="s">
        <v>1689</v>
      </c>
      <c r="H46" s="42"/>
    </row>
    <row r="47" spans="1:9" ht="45">
      <c r="A47" s="42">
        <v>45</v>
      </c>
      <c r="B47" s="42" t="s">
        <v>1183</v>
      </c>
      <c r="C47" s="42">
        <v>30</v>
      </c>
      <c r="D47" s="42" t="s">
        <v>242</v>
      </c>
      <c r="E47" s="42" t="s">
        <v>5576</v>
      </c>
      <c r="F47" s="42" t="s">
        <v>1690</v>
      </c>
      <c r="G47" s="42" t="s">
        <v>1691</v>
      </c>
      <c r="H47" s="4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161D9-5156-4C8B-A606-B1FB75C28515}">
  <sheetPr codeName="Sheet22"/>
  <dimension ref="A1:K45"/>
  <sheetViews>
    <sheetView workbookViewId="0">
      <selection activeCell="C22" sqref="C22"/>
    </sheetView>
  </sheetViews>
  <sheetFormatPr defaultRowHeight="15"/>
  <cols>
    <col min="1" max="1" width="9.140625" style="1"/>
    <col min="2" max="2" width="18.85546875" style="1" bestFit="1" customWidth="1"/>
    <col min="3" max="4" width="9.140625" style="1"/>
    <col min="5" max="5" width="20.42578125" style="1" customWidth="1"/>
    <col min="6" max="6" width="27.28515625" style="1" customWidth="1"/>
    <col min="7" max="7" width="55.140625" style="1" customWidth="1"/>
    <col min="8" max="16384" width="9.140625" style="1"/>
  </cols>
  <sheetData>
    <row r="1" spans="1:9" ht="30">
      <c r="A1" s="12" t="s">
        <v>587</v>
      </c>
      <c r="B1" s="12"/>
      <c r="C1" s="12"/>
      <c r="D1" s="12"/>
      <c r="E1" s="12"/>
      <c r="F1" s="12"/>
      <c r="G1" s="12"/>
      <c r="H1" s="89" t="s">
        <v>5363</v>
      </c>
      <c r="I1" s="90"/>
    </row>
    <row r="2" spans="1:9">
      <c r="A2" s="10" t="s">
        <v>350</v>
      </c>
      <c r="B2" s="10" t="s">
        <v>156</v>
      </c>
      <c r="C2" s="10" t="s">
        <v>157</v>
      </c>
      <c r="D2" s="10" t="s">
        <v>239</v>
      </c>
      <c r="E2" s="10" t="s">
        <v>159</v>
      </c>
      <c r="F2" s="10" t="s">
        <v>1684</v>
      </c>
      <c r="G2" s="10" t="s">
        <v>1685</v>
      </c>
      <c r="H2" s="10" t="s">
        <v>5371</v>
      </c>
      <c r="I2" s="10" t="s">
        <v>5372</v>
      </c>
    </row>
    <row r="3" spans="1:9">
      <c r="A3" s="11">
        <v>1</v>
      </c>
      <c r="B3" s="11" t="s">
        <v>240</v>
      </c>
      <c r="C3" s="11">
        <v>8</v>
      </c>
      <c r="D3" s="11" t="s">
        <v>160</v>
      </c>
      <c r="E3" s="11" t="s">
        <v>177</v>
      </c>
      <c r="F3" s="11" t="s">
        <v>1686</v>
      </c>
      <c r="G3" s="11" t="s">
        <v>1687</v>
      </c>
      <c r="H3" s="11" t="s">
        <v>5382</v>
      </c>
      <c r="I3" s="11" t="s">
        <v>5386</v>
      </c>
    </row>
    <row r="4" spans="1:9">
      <c r="A4" s="11">
        <v>2</v>
      </c>
      <c r="B4" s="11" t="s">
        <v>550</v>
      </c>
      <c r="C4" s="11">
        <v>2</v>
      </c>
      <c r="D4" s="11" t="s">
        <v>242</v>
      </c>
      <c r="E4" s="11"/>
      <c r="F4" s="11" t="s">
        <v>4267</v>
      </c>
      <c r="G4" s="11" t="s">
        <v>5498</v>
      </c>
      <c r="H4" s="11" t="s">
        <v>5384</v>
      </c>
      <c r="I4" s="11" t="s">
        <v>5387</v>
      </c>
    </row>
    <row r="5" spans="1:9">
      <c r="A5" s="11">
        <v>3</v>
      </c>
      <c r="B5" s="11" t="s">
        <v>588</v>
      </c>
      <c r="C5" s="11">
        <v>1</v>
      </c>
      <c r="D5" s="11" t="s">
        <v>242</v>
      </c>
      <c r="E5" s="11"/>
      <c r="F5" s="11" t="s">
        <v>4700</v>
      </c>
      <c r="G5" s="11" t="s">
        <v>4701</v>
      </c>
      <c r="H5" s="11" t="s">
        <v>5385</v>
      </c>
      <c r="I5" s="11"/>
    </row>
    <row r="6" spans="1:9" ht="30">
      <c r="A6" s="11">
        <v>4</v>
      </c>
      <c r="B6" s="11" t="s">
        <v>589</v>
      </c>
      <c r="C6" s="11">
        <v>14</v>
      </c>
      <c r="D6" s="11" t="s">
        <v>189</v>
      </c>
      <c r="E6" s="11" t="s">
        <v>5501</v>
      </c>
      <c r="F6" s="11" t="s">
        <v>2477</v>
      </c>
      <c r="G6" s="11" t="s">
        <v>5499</v>
      </c>
      <c r="H6" s="11"/>
      <c r="I6" s="11"/>
    </row>
    <row r="7" spans="1:9">
      <c r="A7" s="11">
        <v>5</v>
      </c>
      <c r="B7" s="11" t="s">
        <v>590</v>
      </c>
      <c r="C7" s="11">
        <v>9</v>
      </c>
      <c r="D7" s="11" t="s">
        <v>189</v>
      </c>
      <c r="E7" s="11" t="s">
        <v>1268</v>
      </c>
      <c r="F7" s="11" t="s">
        <v>4697</v>
      </c>
      <c r="G7" s="11" t="s">
        <v>5500</v>
      </c>
      <c r="H7" s="11"/>
      <c r="I7" s="11"/>
    </row>
    <row r="8" spans="1:9">
      <c r="A8" s="11">
        <v>6</v>
      </c>
      <c r="B8" s="11" t="s">
        <v>591</v>
      </c>
      <c r="C8" s="11">
        <v>9</v>
      </c>
      <c r="D8" s="11" t="s">
        <v>189</v>
      </c>
      <c r="E8" s="11" t="s">
        <v>1268</v>
      </c>
      <c r="F8" s="11" t="s">
        <v>4698</v>
      </c>
      <c r="G8" s="11" t="s">
        <v>5502</v>
      </c>
      <c r="H8" s="11"/>
      <c r="I8" s="11"/>
    </row>
    <row r="9" spans="1:9">
      <c r="A9" s="11">
        <v>7</v>
      </c>
      <c r="B9" s="11" t="s">
        <v>592</v>
      </c>
      <c r="C9" s="11">
        <v>9</v>
      </c>
      <c r="D9" s="11" t="s">
        <v>189</v>
      </c>
      <c r="E9" s="11" t="s">
        <v>1268</v>
      </c>
      <c r="F9" s="11" t="s">
        <v>4699</v>
      </c>
      <c r="G9" s="11" t="s">
        <v>5503</v>
      </c>
      <c r="H9" s="11"/>
      <c r="I9" s="11"/>
    </row>
    <row r="10" spans="1:9" ht="30">
      <c r="A10" s="11">
        <v>8</v>
      </c>
      <c r="B10" s="11" t="s">
        <v>1182</v>
      </c>
      <c r="C10" s="11">
        <v>12</v>
      </c>
      <c r="D10" s="11" t="s">
        <v>189</v>
      </c>
      <c r="E10" s="11" t="s">
        <v>5576</v>
      </c>
      <c r="F10" s="11" t="s">
        <v>1688</v>
      </c>
      <c r="G10" s="11" t="s">
        <v>1689</v>
      </c>
      <c r="H10" s="11"/>
      <c r="I10" s="11"/>
    </row>
    <row r="11" spans="1:9" ht="30">
      <c r="A11" s="11">
        <v>9</v>
      </c>
      <c r="B11" s="11" t="s">
        <v>1183</v>
      </c>
      <c r="C11" s="11">
        <v>30</v>
      </c>
      <c r="D11" s="11" t="s">
        <v>242</v>
      </c>
      <c r="E11" s="11" t="s">
        <v>5576</v>
      </c>
      <c r="F11" s="11" t="s">
        <v>1690</v>
      </c>
      <c r="G11" s="11" t="s">
        <v>1691</v>
      </c>
      <c r="H11" s="11"/>
      <c r="I11" s="11"/>
    </row>
    <row r="35" spans="2:11">
      <c r="J35" s="7"/>
      <c r="K35" s="8"/>
    </row>
    <row r="36" spans="2:11">
      <c r="J36" s="5"/>
      <c r="K36" s="6"/>
    </row>
    <row r="45" spans="2:11">
      <c r="B45" s="9"/>
    </row>
  </sheetData>
  <mergeCells count="1">
    <mergeCell ref="H1:I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E4D4F-EC4A-488F-98A9-3D0BA122A591}">
  <sheetPr codeName="Sheet35"/>
  <dimension ref="A1:K45"/>
  <sheetViews>
    <sheetView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9">
      <c r="A1" s="12" t="s">
        <v>238</v>
      </c>
      <c r="B1" s="12"/>
      <c r="C1" s="12"/>
      <c r="D1" s="12"/>
      <c r="E1" s="12"/>
      <c r="F1" s="12"/>
      <c r="G1" s="12"/>
      <c r="H1" s="92" t="s">
        <v>5363</v>
      </c>
      <c r="I1" s="93"/>
    </row>
    <row r="2" spans="1:9">
      <c r="A2" s="10" t="s">
        <v>350</v>
      </c>
      <c r="B2" s="10" t="s">
        <v>156</v>
      </c>
      <c r="C2" s="10" t="s">
        <v>157</v>
      </c>
      <c r="D2" s="10" t="s">
        <v>239</v>
      </c>
      <c r="E2" s="10" t="s">
        <v>159</v>
      </c>
      <c r="F2" s="10" t="s">
        <v>1684</v>
      </c>
      <c r="G2" s="10" t="s">
        <v>1685</v>
      </c>
      <c r="H2" s="10" t="s">
        <v>5371</v>
      </c>
      <c r="I2" s="10" t="s">
        <v>5372</v>
      </c>
    </row>
    <row r="3" spans="1:9">
      <c r="A3" s="11">
        <v>1</v>
      </c>
      <c r="B3" s="11" t="s">
        <v>240</v>
      </c>
      <c r="C3" s="11">
        <v>8</v>
      </c>
      <c r="D3" s="11" t="s">
        <v>160</v>
      </c>
      <c r="E3" s="11" t="s">
        <v>177</v>
      </c>
      <c r="F3" s="11" t="s">
        <v>1686</v>
      </c>
      <c r="G3" s="11" t="s">
        <v>1687</v>
      </c>
      <c r="H3" s="11" t="s">
        <v>5382</v>
      </c>
      <c r="I3" s="11" t="s">
        <v>5386</v>
      </c>
    </row>
    <row r="4" spans="1:9">
      <c r="A4" s="11">
        <v>2</v>
      </c>
      <c r="B4" s="11" t="s">
        <v>494</v>
      </c>
      <c r="C4" s="11">
        <v>4</v>
      </c>
      <c r="D4" s="11" t="s">
        <v>242</v>
      </c>
      <c r="E4" s="11"/>
      <c r="F4" s="11" t="s">
        <v>4691</v>
      </c>
      <c r="G4" s="11" t="s">
        <v>4692</v>
      </c>
      <c r="H4" s="11" t="s">
        <v>5384</v>
      </c>
      <c r="I4" s="11" t="s">
        <v>5387</v>
      </c>
    </row>
    <row r="5" spans="1:9">
      <c r="A5" s="11">
        <v>3</v>
      </c>
      <c r="B5" s="11" t="s">
        <v>585</v>
      </c>
      <c r="C5" s="11">
        <v>25</v>
      </c>
      <c r="D5" s="11" t="s">
        <v>242</v>
      </c>
      <c r="E5" s="11"/>
      <c r="F5" s="11" t="s">
        <v>4693</v>
      </c>
      <c r="G5" s="11" t="s">
        <v>4696</v>
      </c>
      <c r="H5" s="11"/>
      <c r="I5" s="11"/>
    </row>
    <row r="6" spans="1:9">
      <c r="A6" s="11">
        <v>4</v>
      </c>
      <c r="B6" s="11" t="s">
        <v>586</v>
      </c>
      <c r="C6" s="11">
        <v>25</v>
      </c>
      <c r="D6" s="11" t="s">
        <v>242</v>
      </c>
      <c r="E6" s="11"/>
      <c r="F6" s="11" t="s">
        <v>4694</v>
      </c>
      <c r="G6" s="11" t="s">
        <v>4695</v>
      </c>
      <c r="H6" s="11"/>
      <c r="I6" s="11"/>
    </row>
    <row r="7" spans="1:9" ht="45">
      <c r="A7" s="11">
        <v>5</v>
      </c>
      <c r="B7" s="11" t="s">
        <v>1182</v>
      </c>
      <c r="C7" s="11">
        <v>12</v>
      </c>
      <c r="D7" s="11" t="s">
        <v>189</v>
      </c>
      <c r="E7" s="11" t="s">
        <v>5576</v>
      </c>
      <c r="F7" s="11" t="s">
        <v>1688</v>
      </c>
      <c r="G7" s="11" t="s">
        <v>1689</v>
      </c>
      <c r="H7" s="11"/>
      <c r="I7" s="11"/>
    </row>
    <row r="8" spans="1:9" ht="45">
      <c r="A8" s="11">
        <v>6</v>
      </c>
      <c r="B8" s="11" t="s">
        <v>1183</v>
      </c>
      <c r="C8" s="11">
        <v>30</v>
      </c>
      <c r="D8" s="11" t="s">
        <v>242</v>
      </c>
      <c r="E8" s="11" t="s">
        <v>5576</v>
      </c>
      <c r="F8" s="11" t="s">
        <v>1690</v>
      </c>
      <c r="G8" s="11" t="s">
        <v>1691</v>
      </c>
      <c r="H8" s="11"/>
      <c r="I8" s="11"/>
    </row>
    <row r="35" spans="2:11">
      <c r="J35" s="7"/>
      <c r="K35" s="8"/>
    </row>
    <row r="36" spans="2:11">
      <c r="J36" s="5"/>
      <c r="K36" s="6"/>
    </row>
    <row r="45" spans="2:11">
      <c r="B45" s="9"/>
    </row>
  </sheetData>
  <mergeCells count="1">
    <mergeCell ref="H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9A6F0-C0B0-4C77-B701-4EF2F3D29683}">
  <sheetPr codeName="Sheet118"/>
  <dimension ref="A1:I54"/>
  <sheetViews>
    <sheetView topLeftCell="A18" workbookViewId="0">
      <selection activeCell="C22" sqref="C22"/>
    </sheetView>
  </sheetViews>
  <sheetFormatPr defaultRowHeight="15"/>
  <cols>
    <col min="1" max="1" width="9.140625" style="44"/>
    <col min="2" max="2" width="18.85546875" style="44" bestFit="1" customWidth="1"/>
    <col min="3" max="3" width="4.5703125" style="44" bestFit="1" customWidth="1"/>
    <col min="4" max="4" width="9.140625" style="44"/>
    <col min="5" max="5" width="11" style="44" bestFit="1" customWidth="1"/>
    <col min="6" max="6" width="27.28515625" style="44" customWidth="1"/>
    <col min="7" max="7" width="55.140625" style="44" customWidth="1"/>
    <col min="8" max="8" width="5.140625" style="44" bestFit="1" customWidth="1"/>
    <col min="9" max="16384" width="9.140625" style="44"/>
  </cols>
  <sheetData>
    <row r="1" spans="1:8">
      <c r="A1" s="41" t="s">
        <v>238</v>
      </c>
      <c r="B1" s="41"/>
      <c r="C1" s="41"/>
      <c r="D1" s="41"/>
      <c r="E1" s="41"/>
      <c r="F1" s="41"/>
      <c r="G1" s="41"/>
      <c r="H1" s="41" t="s">
        <v>5363</v>
      </c>
    </row>
    <row r="2" spans="1:8">
      <c r="A2" s="10" t="s">
        <v>350</v>
      </c>
      <c r="B2" s="10" t="s">
        <v>156</v>
      </c>
      <c r="C2" s="10" t="s">
        <v>157</v>
      </c>
      <c r="D2" s="10" t="s">
        <v>239</v>
      </c>
      <c r="E2" s="10" t="s">
        <v>159</v>
      </c>
      <c r="F2" s="10" t="s">
        <v>1684</v>
      </c>
      <c r="G2" s="10" t="s">
        <v>1685</v>
      </c>
      <c r="H2" s="10" t="s">
        <v>5371</v>
      </c>
    </row>
    <row r="3" spans="1:8">
      <c r="A3" s="42">
        <v>1</v>
      </c>
      <c r="B3" s="42" t="s">
        <v>240</v>
      </c>
      <c r="C3" s="42">
        <v>8</v>
      </c>
      <c r="D3" s="42" t="s">
        <v>160</v>
      </c>
      <c r="E3" s="42" t="s">
        <v>177</v>
      </c>
      <c r="F3" s="42" t="s">
        <v>1686</v>
      </c>
      <c r="G3" s="42" t="s">
        <v>1687</v>
      </c>
      <c r="H3" s="42" t="s">
        <v>5382</v>
      </c>
    </row>
    <row r="4" spans="1:8">
      <c r="A4" s="42">
        <v>2</v>
      </c>
      <c r="B4" s="42" t="s">
        <v>5504</v>
      </c>
      <c r="C4" s="42">
        <v>7</v>
      </c>
      <c r="D4" s="42" t="s">
        <v>242</v>
      </c>
      <c r="E4" s="42"/>
      <c r="F4" s="42" t="s">
        <v>5505</v>
      </c>
      <c r="G4" s="42" t="s">
        <v>5506</v>
      </c>
      <c r="H4" s="42" t="s">
        <v>5384</v>
      </c>
    </row>
    <row r="5" spans="1:8">
      <c r="A5" s="42">
        <v>3</v>
      </c>
      <c r="B5" s="42" t="s">
        <v>6270</v>
      </c>
      <c r="C5" s="42">
        <v>1</v>
      </c>
      <c r="D5" s="42" t="s">
        <v>242</v>
      </c>
      <c r="E5" s="42"/>
      <c r="F5" s="21" t="s">
        <v>6271</v>
      </c>
      <c r="G5" s="21" t="s">
        <v>6272</v>
      </c>
      <c r="H5" s="42"/>
    </row>
    <row r="6" spans="1:8">
      <c r="A6" s="42">
        <v>4</v>
      </c>
      <c r="B6" s="42" t="s">
        <v>6273</v>
      </c>
      <c r="C6" s="42">
        <v>1</v>
      </c>
      <c r="D6" s="42" t="s">
        <v>242</v>
      </c>
      <c r="E6" s="42"/>
      <c r="F6" s="21" t="s">
        <v>6274</v>
      </c>
      <c r="G6" s="21"/>
      <c r="H6" s="42"/>
    </row>
    <row r="7" spans="1:8" ht="30">
      <c r="A7" s="42">
        <v>5</v>
      </c>
      <c r="B7" s="42" t="s">
        <v>6275</v>
      </c>
      <c r="C7" s="42">
        <v>1</v>
      </c>
      <c r="D7" s="42" t="s">
        <v>242</v>
      </c>
      <c r="E7" s="42"/>
      <c r="F7" s="21" t="s">
        <v>6276</v>
      </c>
      <c r="G7" s="21" t="s">
        <v>6277</v>
      </c>
      <c r="H7" s="42"/>
    </row>
    <row r="8" spans="1:8" ht="30">
      <c r="A8" s="42">
        <v>6</v>
      </c>
      <c r="B8" s="42" t="s">
        <v>6278</v>
      </c>
      <c r="C8" s="42">
        <v>1</v>
      </c>
      <c r="D8" s="42" t="s">
        <v>242</v>
      </c>
      <c r="E8" s="42"/>
      <c r="F8" s="21" t="s">
        <v>6279</v>
      </c>
      <c r="G8" s="21" t="s">
        <v>6280</v>
      </c>
      <c r="H8" s="42"/>
    </row>
    <row r="9" spans="1:8" ht="30">
      <c r="A9" s="42">
        <v>7</v>
      </c>
      <c r="B9" s="42" t="s">
        <v>6281</v>
      </c>
      <c r="C9" s="42">
        <v>1</v>
      </c>
      <c r="D9" s="42" t="s">
        <v>242</v>
      </c>
      <c r="E9" s="42"/>
      <c r="F9" s="21" t="s">
        <v>6282</v>
      </c>
      <c r="G9" s="21" t="s">
        <v>6283</v>
      </c>
      <c r="H9" s="42"/>
    </row>
    <row r="10" spans="1:8" ht="30">
      <c r="A10" s="42">
        <v>8</v>
      </c>
      <c r="B10" s="42" t="s">
        <v>6284</v>
      </c>
      <c r="C10" s="42">
        <v>1</v>
      </c>
      <c r="D10" s="42" t="s">
        <v>242</v>
      </c>
      <c r="E10" s="42"/>
      <c r="F10" s="21" t="s">
        <v>6285</v>
      </c>
      <c r="G10" s="21" t="s">
        <v>6286</v>
      </c>
      <c r="H10" s="42"/>
    </row>
    <row r="11" spans="1:8">
      <c r="A11" s="42">
        <v>9</v>
      </c>
      <c r="B11" s="42" t="s">
        <v>6287</v>
      </c>
      <c r="C11" s="42">
        <v>1</v>
      </c>
      <c r="D11" s="42" t="s">
        <v>242</v>
      </c>
      <c r="E11" s="42"/>
      <c r="F11" s="21" t="s">
        <v>6288</v>
      </c>
      <c r="G11" s="21" t="s">
        <v>6289</v>
      </c>
      <c r="H11" s="42"/>
    </row>
    <row r="12" spans="1:8">
      <c r="A12" s="42">
        <v>10</v>
      </c>
      <c r="B12" s="42" t="s">
        <v>6290</v>
      </c>
      <c r="C12" s="42">
        <v>1</v>
      </c>
      <c r="D12" s="42" t="s">
        <v>242</v>
      </c>
      <c r="E12" s="42"/>
      <c r="F12" s="21" t="s">
        <v>6291</v>
      </c>
      <c r="G12" s="21" t="s">
        <v>6292</v>
      </c>
      <c r="H12" s="42"/>
    </row>
    <row r="13" spans="1:8">
      <c r="A13" s="42">
        <v>11</v>
      </c>
      <c r="B13" s="42" t="s">
        <v>6293</v>
      </c>
      <c r="C13" s="42">
        <v>11</v>
      </c>
      <c r="D13" s="42" t="s">
        <v>242</v>
      </c>
      <c r="E13" s="42"/>
      <c r="F13" s="21" t="s">
        <v>6294</v>
      </c>
      <c r="G13" s="21" t="s">
        <v>6295</v>
      </c>
      <c r="H13" s="42"/>
    </row>
    <row r="14" spans="1:8" ht="30">
      <c r="A14" s="42">
        <v>12</v>
      </c>
      <c r="B14" s="42" t="s">
        <v>6296</v>
      </c>
      <c r="C14" s="42">
        <v>11</v>
      </c>
      <c r="D14" s="42" t="s">
        <v>242</v>
      </c>
      <c r="E14" s="42"/>
      <c r="F14" s="21" t="s">
        <v>6297</v>
      </c>
      <c r="G14" s="21" t="s">
        <v>6298</v>
      </c>
      <c r="H14" s="42"/>
    </row>
    <row r="15" spans="1:8">
      <c r="A15" s="42">
        <v>13</v>
      </c>
      <c r="B15" s="42" t="s">
        <v>6299</v>
      </c>
      <c r="C15" s="42">
        <v>1</v>
      </c>
      <c r="D15" s="42" t="s">
        <v>242</v>
      </c>
      <c r="E15" s="42"/>
      <c r="F15" s="21" t="s">
        <v>6300</v>
      </c>
      <c r="G15" s="21" t="s">
        <v>6301</v>
      </c>
      <c r="H15" s="42"/>
    </row>
    <row r="16" spans="1:8" ht="30">
      <c r="A16" s="42">
        <v>14</v>
      </c>
      <c r="B16" s="42" t="s">
        <v>6302</v>
      </c>
      <c r="C16" s="42">
        <v>1</v>
      </c>
      <c r="D16" s="42" t="s">
        <v>242</v>
      </c>
      <c r="E16" s="42"/>
      <c r="F16" s="21" t="s">
        <v>6303</v>
      </c>
      <c r="G16" s="21" t="s">
        <v>6304</v>
      </c>
      <c r="H16" s="42"/>
    </row>
    <row r="17" spans="1:9">
      <c r="A17" s="42">
        <v>15</v>
      </c>
      <c r="B17" s="42" t="s">
        <v>6305</v>
      </c>
      <c r="C17" s="42">
        <v>1</v>
      </c>
      <c r="D17" s="42" t="s">
        <v>242</v>
      </c>
      <c r="E17" s="42"/>
      <c r="F17" s="21" t="s">
        <v>6306</v>
      </c>
      <c r="G17" s="21" t="s">
        <v>6307</v>
      </c>
      <c r="H17" s="42"/>
    </row>
    <row r="18" spans="1:9">
      <c r="A18" s="42">
        <v>16</v>
      </c>
      <c r="B18" s="42" t="s">
        <v>6308</v>
      </c>
      <c r="C18" s="42">
        <v>4</v>
      </c>
      <c r="D18" s="42" t="s">
        <v>242</v>
      </c>
      <c r="E18" s="42"/>
      <c r="F18" s="21" t="s">
        <v>6309</v>
      </c>
      <c r="G18" s="21" t="s">
        <v>6310</v>
      </c>
      <c r="H18" s="42"/>
    </row>
    <row r="19" spans="1:9">
      <c r="A19" s="42">
        <v>17</v>
      </c>
      <c r="B19" s="42" t="s">
        <v>6311</v>
      </c>
      <c r="C19" s="42">
        <v>2</v>
      </c>
      <c r="D19" s="42" t="s">
        <v>242</v>
      </c>
      <c r="E19" s="42"/>
      <c r="F19" s="21" t="s">
        <v>6312</v>
      </c>
      <c r="G19" s="21" t="s">
        <v>6313</v>
      </c>
      <c r="H19" s="42"/>
    </row>
    <row r="20" spans="1:9">
      <c r="A20" s="42">
        <v>18</v>
      </c>
      <c r="B20" s="42" t="s">
        <v>6314</v>
      </c>
      <c r="C20" s="42">
        <v>1</v>
      </c>
      <c r="D20" s="42" t="s">
        <v>242</v>
      </c>
      <c r="E20" s="42"/>
      <c r="F20" s="21" t="s">
        <v>6315</v>
      </c>
      <c r="G20" s="21" t="s">
        <v>6316</v>
      </c>
      <c r="H20" s="42"/>
    </row>
    <row r="21" spans="1:9">
      <c r="A21" s="42">
        <v>19</v>
      </c>
      <c r="B21" s="42" t="s">
        <v>6317</v>
      </c>
      <c r="C21" s="42">
        <v>1</v>
      </c>
      <c r="D21" s="42" t="s">
        <v>242</v>
      </c>
      <c r="E21" s="42"/>
      <c r="F21" s="21" t="s">
        <v>6318</v>
      </c>
      <c r="G21" s="21" t="s">
        <v>6319</v>
      </c>
      <c r="H21" s="42"/>
    </row>
    <row r="22" spans="1:9">
      <c r="A22" s="42">
        <v>20</v>
      </c>
      <c r="B22" s="42" t="s">
        <v>6320</v>
      </c>
      <c r="C22" s="42">
        <v>1</v>
      </c>
      <c r="D22" s="42" t="s">
        <v>242</v>
      </c>
      <c r="E22" s="42"/>
      <c r="F22" s="21" t="s">
        <v>6321</v>
      </c>
      <c r="G22" s="21" t="s">
        <v>6322</v>
      </c>
      <c r="H22" s="42"/>
    </row>
    <row r="23" spans="1:9">
      <c r="A23" s="42">
        <v>21</v>
      </c>
      <c r="B23" s="42" t="s">
        <v>6323</v>
      </c>
      <c r="C23" s="42">
        <v>1</v>
      </c>
      <c r="D23" s="42" t="s">
        <v>242</v>
      </c>
      <c r="E23" s="42"/>
      <c r="F23" s="21" t="s">
        <v>6324</v>
      </c>
      <c r="G23" s="21" t="s">
        <v>6325</v>
      </c>
      <c r="H23" s="42"/>
    </row>
    <row r="24" spans="1:9">
      <c r="A24" s="42">
        <v>22</v>
      </c>
      <c r="B24" s="42" t="s">
        <v>6326</v>
      </c>
      <c r="C24" s="42">
        <v>2</v>
      </c>
      <c r="D24" s="42" t="s">
        <v>242</v>
      </c>
      <c r="E24" s="42"/>
      <c r="F24" s="21" t="s">
        <v>6327</v>
      </c>
      <c r="G24" s="21" t="s">
        <v>6328</v>
      </c>
      <c r="H24" s="42"/>
    </row>
    <row r="25" spans="1:9">
      <c r="A25" s="42">
        <v>23</v>
      </c>
      <c r="B25" s="42" t="s">
        <v>6329</v>
      </c>
      <c r="C25" s="42">
        <v>10</v>
      </c>
      <c r="D25" s="42" t="s">
        <v>242</v>
      </c>
      <c r="E25" s="42"/>
      <c r="F25" s="21" t="s">
        <v>6330</v>
      </c>
      <c r="G25" s="21" t="s">
        <v>6331</v>
      </c>
      <c r="H25" s="17"/>
    </row>
    <row r="26" spans="1:9" ht="30">
      <c r="A26" s="42">
        <v>24</v>
      </c>
      <c r="B26" s="42" t="s">
        <v>583</v>
      </c>
      <c r="C26" s="42">
        <v>2</v>
      </c>
      <c r="D26" s="42" t="s">
        <v>242</v>
      </c>
      <c r="E26" s="42"/>
      <c r="F26" s="21" t="s">
        <v>6332</v>
      </c>
      <c r="G26" s="42" t="s">
        <v>5508</v>
      </c>
      <c r="H26" s="42"/>
    </row>
    <row r="27" spans="1:9" ht="30">
      <c r="A27" s="42">
        <v>25</v>
      </c>
      <c r="B27" s="42" t="s">
        <v>6333</v>
      </c>
      <c r="C27" s="42">
        <v>2</v>
      </c>
      <c r="D27" s="42" t="s">
        <v>242</v>
      </c>
      <c r="E27" s="42"/>
      <c r="F27" s="21" t="s">
        <v>6334</v>
      </c>
      <c r="G27" s="21" t="s">
        <v>6335</v>
      </c>
      <c r="H27" s="42"/>
    </row>
    <row r="28" spans="1:9">
      <c r="A28" s="42">
        <v>26</v>
      </c>
      <c r="B28" s="42" t="s">
        <v>6336</v>
      </c>
      <c r="C28" s="42">
        <v>1</v>
      </c>
      <c r="D28" s="42" t="s">
        <v>242</v>
      </c>
      <c r="E28" s="42"/>
      <c r="F28" s="21" t="s">
        <v>6337</v>
      </c>
      <c r="G28" s="21" t="s">
        <v>6338</v>
      </c>
      <c r="H28" s="42"/>
      <c r="I28"/>
    </row>
    <row r="29" spans="1:9">
      <c r="A29" s="42">
        <v>27</v>
      </c>
      <c r="B29" s="42" t="s">
        <v>6339</v>
      </c>
      <c r="C29" s="42">
        <v>1</v>
      </c>
      <c r="D29" s="42" t="s">
        <v>242</v>
      </c>
      <c r="E29" s="42"/>
      <c r="F29" s="21" t="s">
        <v>6340</v>
      </c>
      <c r="G29" s="21" t="s">
        <v>6341</v>
      </c>
      <c r="H29" s="42"/>
      <c r="I29" s="6"/>
    </row>
    <row r="30" spans="1:9" ht="30">
      <c r="A30" s="42">
        <v>28</v>
      </c>
      <c r="B30" s="42" t="s">
        <v>6342</v>
      </c>
      <c r="C30" s="42">
        <v>2</v>
      </c>
      <c r="D30" s="42" t="s">
        <v>242</v>
      </c>
      <c r="E30" s="42"/>
      <c r="F30" s="21" t="s">
        <v>6343</v>
      </c>
      <c r="G30" s="21" t="s">
        <v>6344</v>
      </c>
      <c r="H30" s="42"/>
    </row>
    <row r="31" spans="1:9">
      <c r="A31" s="42">
        <v>29</v>
      </c>
      <c r="B31" s="42" t="s">
        <v>6345</v>
      </c>
      <c r="C31" s="42">
        <v>1</v>
      </c>
      <c r="D31" s="42" t="s">
        <v>242</v>
      </c>
      <c r="E31" s="42"/>
      <c r="F31" s="21" t="s">
        <v>6346</v>
      </c>
      <c r="G31" s="21" t="s">
        <v>6347</v>
      </c>
      <c r="H31" s="42"/>
    </row>
    <row r="32" spans="1:9" ht="30">
      <c r="A32" s="42">
        <v>30</v>
      </c>
      <c r="B32" s="42" t="s">
        <v>584</v>
      </c>
      <c r="C32" s="42">
        <v>11</v>
      </c>
      <c r="D32" s="42" t="s">
        <v>242</v>
      </c>
      <c r="E32" s="42"/>
      <c r="F32" s="21" t="s">
        <v>6348</v>
      </c>
      <c r="G32" s="21" t="s">
        <v>6349</v>
      </c>
      <c r="H32" s="42"/>
    </row>
    <row r="33" spans="1:8" ht="30">
      <c r="A33" s="42">
        <v>31</v>
      </c>
      <c r="B33" s="42" t="s">
        <v>6350</v>
      </c>
      <c r="C33" s="42">
        <v>1</v>
      </c>
      <c r="D33" s="42" t="s">
        <v>242</v>
      </c>
      <c r="E33" s="42"/>
      <c r="F33" s="21" t="s">
        <v>6351</v>
      </c>
      <c r="G33" s="21" t="s">
        <v>6352</v>
      </c>
      <c r="H33" s="42"/>
    </row>
    <row r="34" spans="1:8">
      <c r="A34" s="42">
        <v>32</v>
      </c>
      <c r="B34" s="42" t="s">
        <v>6353</v>
      </c>
      <c r="C34" s="42">
        <v>1</v>
      </c>
      <c r="D34" s="42" t="s">
        <v>242</v>
      </c>
      <c r="E34" s="42"/>
      <c r="F34" s="21" t="s">
        <v>6354</v>
      </c>
      <c r="G34" s="21" t="s">
        <v>6355</v>
      </c>
      <c r="H34" s="42"/>
    </row>
    <row r="35" spans="1:8">
      <c r="A35" s="42">
        <v>33</v>
      </c>
      <c r="B35" s="42" t="s">
        <v>6356</v>
      </c>
      <c r="C35" s="42">
        <v>1</v>
      </c>
      <c r="D35" s="42" t="s">
        <v>242</v>
      </c>
      <c r="E35" s="42"/>
      <c r="F35" s="21" t="s">
        <v>6357</v>
      </c>
      <c r="G35" s="21" t="s">
        <v>6358</v>
      </c>
      <c r="H35" s="42"/>
    </row>
    <row r="36" spans="1:8">
      <c r="A36" s="42">
        <v>34</v>
      </c>
      <c r="B36" s="42" t="s">
        <v>6359</v>
      </c>
      <c r="C36" s="42">
        <v>1</v>
      </c>
      <c r="D36" s="42" t="s">
        <v>242</v>
      </c>
      <c r="E36" s="42"/>
      <c r="F36" s="21" t="s">
        <v>6360</v>
      </c>
      <c r="G36" s="21" t="s">
        <v>6361</v>
      </c>
      <c r="H36" s="42"/>
    </row>
    <row r="37" spans="1:8">
      <c r="A37" s="42">
        <v>35</v>
      </c>
      <c r="B37" s="42" t="s">
        <v>6362</v>
      </c>
      <c r="C37" s="42">
        <v>1</v>
      </c>
      <c r="D37" s="42" t="s">
        <v>242</v>
      </c>
      <c r="E37" s="42"/>
      <c r="F37" s="21" t="s">
        <v>6363</v>
      </c>
      <c r="G37" s="21" t="s">
        <v>6364</v>
      </c>
      <c r="H37" s="42"/>
    </row>
    <row r="38" spans="1:8" ht="30">
      <c r="A38" s="42">
        <v>36</v>
      </c>
      <c r="B38" s="42" t="s">
        <v>6365</v>
      </c>
      <c r="C38" s="42">
        <v>1</v>
      </c>
      <c r="D38" s="42" t="s">
        <v>242</v>
      </c>
      <c r="E38" s="42"/>
      <c r="F38" s="21" t="s">
        <v>6366</v>
      </c>
      <c r="G38" s="21" t="s">
        <v>6367</v>
      </c>
      <c r="H38" s="42"/>
    </row>
    <row r="39" spans="1:8">
      <c r="A39" s="42">
        <v>37</v>
      </c>
      <c r="B39" s="42" t="s">
        <v>6368</v>
      </c>
      <c r="C39" s="42">
        <v>1</v>
      </c>
      <c r="D39" s="42" t="s">
        <v>242</v>
      </c>
      <c r="E39" s="42"/>
      <c r="F39" s="21" t="s">
        <v>6369</v>
      </c>
      <c r="G39" s="21" t="s">
        <v>6370</v>
      </c>
      <c r="H39" s="42"/>
    </row>
    <row r="40" spans="1:8">
      <c r="A40" s="42">
        <v>38</v>
      </c>
      <c r="B40" s="42" t="s">
        <v>6371</v>
      </c>
      <c r="C40" s="42">
        <v>1</v>
      </c>
      <c r="D40" s="42" t="s">
        <v>242</v>
      </c>
      <c r="E40" s="42"/>
      <c r="F40" s="21" t="s">
        <v>6372</v>
      </c>
      <c r="G40" s="21" t="s">
        <v>6373</v>
      </c>
      <c r="H40" s="42"/>
    </row>
    <row r="41" spans="1:8">
      <c r="A41" s="42">
        <v>39</v>
      </c>
      <c r="B41" s="42" t="s">
        <v>6374</v>
      </c>
      <c r="C41" s="42">
        <v>1</v>
      </c>
      <c r="D41" s="42" t="s">
        <v>242</v>
      </c>
      <c r="E41" s="42"/>
      <c r="F41" s="21" t="s">
        <v>6375</v>
      </c>
      <c r="G41" s="21" t="s">
        <v>6376</v>
      </c>
      <c r="H41" s="42"/>
    </row>
    <row r="42" spans="1:8">
      <c r="A42" s="42">
        <v>40</v>
      </c>
      <c r="B42" s="42" t="s">
        <v>6377</v>
      </c>
      <c r="C42" s="42">
        <v>1</v>
      </c>
      <c r="D42" s="42" t="s">
        <v>242</v>
      </c>
      <c r="E42" s="42"/>
      <c r="F42" s="21" t="s">
        <v>6378</v>
      </c>
      <c r="G42" s="21" t="s">
        <v>6379</v>
      </c>
      <c r="H42" s="42"/>
    </row>
    <row r="43" spans="1:8">
      <c r="A43" s="42">
        <v>41</v>
      </c>
      <c r="B43" s="42" t="s">
        <v>6380</v>
      </c>
      <c r="C43" s="42">
        <v>1</v>
      </c>
      <c r="D43" s="42" t="s">
        <v>242</v>
      </c>
      <c r="E43" s="42"/>
      <c r="F43" s="21" t="s">
        <v>6381</v>
      </c>
      <c r="G43" s="21" t="s">
        <v>6382</v>
      </c>
      <c r="H43" s="42"/>
    </row>
    <row r="44" spans="1:8">
      <c r="A44" s="42">
        <v>42</v>
      </c>
      <c r="B44" s="42" t="s">
        <v>6383</v>
      </c>
      <c r="C44" s="42">
        <v>1</v>
      </c>
      <c r="D44" s="42" t="s">
        <v>242</v>
      </c>
      <c r="E44" s="42"/>
      <c r="F44" s="21" t="s">
        <v>6384</v>
      </c>
      <c r="G44" s="21" t="s">
        <v>6385</v>
      </c>
      <c r="H44" s="42"/>
    </row>
    <row r="45" spans="1:8">
      <c r="A45" s="42">
        <v>43</v>
      </c>
      <c r="B45" s="42" t="s">
        <v>6386</v>
      </c>
      <c r="C45" s="42">
        <v>1</v>
      </c>
      <c r="D45" s="42" t="s">
        <v>242</v>
      </c>
      <c r="E45" s="42"/>
      <c r="F45" s="21" t="s">
        <v>6387</v>
      </c>
      <c r="G45" s="21" t="s">
        <v>6388</v>
      </c>
      <c r="H45" s="42"/>
    </row>
    <row r="46" spans="1:8">
      <c r="A46" s="42">
        <v>44</v>
      </c>
      <c r="B46" s="42" t="s">
        <v>6389</v>
      </c>
      <c r="C46" s="42">
        <v>4</v>
      </c>
      <c r="D46" s="42" t="s">
        <v>242</v>
      </c>
      <c r="E46" s="42"/>
      <c r="F46" s="21" t="s">
        <v>6390</v>
      </c>
      <c r="G46" s="21" t="s">
        <v>6391</v>
      </c>
      <c r="H46" s="42"/>
    </row>
    <row r="47" spans="1:8">
      <c r="A47" s="42">
        <v>45</v>
      </c>
      <c r="B47" s="42" t="s">
        <v>6392</v>
      </c>
      <c r="C47" s="42">
        <v>1</v>
      </c>
      <c r="D47" s="42" t="s">
        <v>242</v>
      </c>
      <c r="E47" s="42"/>
      <c r="F47" s="21" t="s">
        <v>6393</v>
      </c>
      <c r="G47" s="21" t="s">
        <v>6394</v>
      </c>
      <c r="H47" s="42"/>
    </row>
    <row r="48" spans="1:8">
      <c r="A48" s="42">
        <v>46</v>
      </c>
      <c r="B48" s="42" t="s">
        <v>6395</v>
      </c>
      <c r="C48" s="42">
        <v>1</v>
      </c>
      <c r="D48" s="42" t="s">
        <v>242</v>
      </c>
      <c r="E48" s="42"/>
      <c r="F48" s="21" t="s">
        <v>6396</v>
      </c>
      <c r="G48" s="21" t="s">
        <v>6397</v>
      </c>
      <c r="H48" s="42"/>
    </row>
    <row r="49" spans="1:8">
      <c r="A49" s="42">
        <v>47</v>
      </c>
      <c r="B49" s="42" t="s">
        <v>6398</v>
      </c>
      <c r="C49" s="42">
        <v>1</v>
      </c>
      <c r="D49" s="42" t="s">
        <v>242</v>
      </c>
      <c r="E49" s="42"/>
      <c r="F49" s="21" t="s">
        <v>6399</v>
      </c>
      <c r="G49" s="21" t="s">
        <v>6400</v>
      </c>
      <c r="H49" s="42"/>
    </row>
    <row r="50" spans="1:8">
      <c r="A50" s="42">
        <v>48</v>
      </c>
      <c r="B50" s="42" t="s">
        <v>6401</v>
      </c>
      <c r="C50" s="42">
        <v>1</v>
      </c>
      <c r="D50" s="42" t="s">
        <v>242</v>
      </c>
      <c r="E50" s="42"/>
      <c r="F50" s="21" t="s">
        <v>6402</v>
      </c>
      <c r="G50" s="21" t="s">
        <v>6403</v>
      </c>
      <c r="H50" s="42"/>
    </row>
    <row r="51" spans="1:8">
      <c r="A51" s="42">
        <v>49</v>
      </c>
      <c r="B51" s="42" t="s">
        <v>6404</v>
      </c>
      <c r="C51" s="42">
        <v>1</v>
      </c>
      <c r="D51" s="42" t="s">
        <v>242</v>
      </c>
      <c r="E51" s="42"/>
      <c r="F51" s="21" t="s">
        <v>6405</v>
      </c>
      <c r="G51" s="21" t="s">
        <v>6406</v>
      </c>
      <c r="H51" s="42"/>
    </row>
    <row r="52" spans="1:8">
      <c r="A52" s="42">
        <v>50</v>
      </c>
      <c r="B52" s="42" t="s">
        <v>6407</v>
      </c>
      <c r="C52" s="42">
        <v>1</v>
      </c>
      <c r="D52" s="42" t="s">
        <v>242</v>
      </c>
      <c r="E52" s="42"/>
      <c r="F52" s="21" t="s">
        <v>6408</v>
      </c>
      <c r="G52" s="21" t="s">
        <v>6409</v>
      </c>
      <c r="H52" s="42"/>
    </row>
    <row r="53" spans="1:8" ht="45">
      <c r="A53" s="42">
        <v>51</v>
      </c>
      <c r="B53" s="42" t="s">
        <v>1182</v>
      </c>
      <c r="C53" s="42">
        <v>12</v>
      </c>
      <c r="D53" s="42" t="s">
        <v>189</v>
      </c>
      <c r="E53" s="42" t="s">
        <v>5576</v>
      </c>
      <c r="F53" s="42" t="s">
        <v>1688</v>
      </c>
      <c r="G53" s="42" t="s">
        <v>1689</v>
      </c>
      <c r="H53" s="42"/>
    </row>
    <row r="54" spans="1:8" ht="45">
      <c r="A54" s="42">
        <v>52</v>
      </c>
      <c r="B54" s="42" t="s">
        <v>1183</v>
      </c>
      <c r="C54" s="42">
        <v>30</v>
      </c>
      <c r="D54" s="42" t="s">
        <v>242</v>
      </c>
      <c r="E54" s="42" t="s">
        <v>5576</v>
      </c>
      <c r="F54" s="42" t="s">
        <v>1690</v>
      </c>
      <c r="G54" s="42" t="s">
        <v>1691</v>
      </c>
      <c r="H54" s="42"/>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7DB5C-28C8-4C81-9914-BA09FD7C3234}">
  <sheetPr codeName="Sheet24"/>
  <dimension ref="A1:J87"/>
  <sheetViews>
    <sheetView topLeftCell="A66" workbookViewId="0">
      <selection activeCell="C22" sqref="C22"/>
    </sheetView>
  </sheetViews>
  <sheetFormatPr defaultRowHeight="15"/>
  <cols>
    <col min="2" max="2" width="19.7109375" customWidth="1"/>
    <col min="6" max="6" width="36.5703125" customWidth="1"/>
    <col min="7" max="7" width="56.42578125" customWidth="1"/>
    <col min="10" max="10" width="82.28515625" customWidth="1"/>
  </cols>
  <sheetData>
    <row r="1" spans="1:8">
      <c r="A1" s="41" t="s">
        <v>238</v>
      </c>
      <c r="B1" s="41"/>
      <c r="C1" s="41"/>
      <c r="D1" s="41"/>
      <c r="E1" s="41"/>
      <c r="F1" s="41"/>
      <c r="G1" s="41"/>
      <c r="H1" s="41" t="s">
        <v>5363</v>
      </c>
    </row>
    <row r="2" spans="1:8">
      <c r="A2" s="10" t="s">
        <v>350</v>
      </c>
      <c r="B2" s="10" t="s">
        <v>156</v>
      </c>
      <c r="C2" s="10" t="s">
        <v>157</v>
      </c>
      <c r="D2" s="10" t="s">
        <v>239</v>
      </c>
      <c r="E2" s="10" t="s">
        <v>159</v>
      </c>
      <c r="F2" s="10" t="s">
        <v>1684</v>
      </c>
      <c r="G2" s="10" t="s">
        <v>1685</v>
      </c>
      <c r="H2" s="10" t="s">
        <v>5371</v>
      </c>
    </row>
    <row r="3" spans="1:8" ht="30">
      <c r="A3" s="42">
        <v>1</v>
      </c>
      <c r="B3" s="42" t="s">
        <v>240</v>
      </c>
      <c r="C3" s="42">
        <v>8</v>
      </c>
      <c r="D3" s="42" t="s">
        <v>160</v>
      </c>
      <c r="E3" s="42" t="s">
        <v>177</v>
      </c>
      <c r="F3" s="42" t="s">
        <v>1686</v>
      </c>
      <c r="G3" s="42" t="s">
        <v>1687</v>
      </c>
      <c r="H3" s="42" t="s">
        <v>5382</v>
      </c>
    </row>
    <row r="4" spans="1:8">
      <c r="A4" s="42">
        <v>2</v>
      </c>
      <c r="B4" s="17" t="s">
        <v>243</v>
      </c>
      <c r="C4" s="17">
        <v>6</v>
      </c>
      <c r="D4" s="42" t="s">
        <v>242</v>
      </c>
      <c r="E4" s="42"/>
      <c r="F4" s="42" t="s">
        <v>5505</v>
      </c>
      <c r="G4" s="42" t="s">
        <v>6410</v>
      </c>
      <c r="H4" s="42" t="s">
        <v>5384</v>
      </c>
    </row>
    <row r="5" spans="1:8">
      <c r="A5" s="42">
        <v>3</v>
      </c>
      <c r="B5" s="17" t="s">
        <v>1240</v>
      </c>
      <c r="C5" s="17">
        <v>1</v>
      </c>
      <c r="D5" s="42" t="s">
        <v>242</v>
      </c>
      <c r="E5" s="42"/>
      <c r="F5" s="42" t="s">
        <v>5507</v>
      </c>
      <c r="G5" s="42" t="s">
        <v>5508</v>
      </c>
      <c r="H5" s="42"/>
    </row>
    <row r="6" spans="1:8">
      <c r="A6" s="42">
        <v>4</v>
      </c>
      <c r="B6" s="17" t="s">
        <v>6411</v>
      </c>
      <c r="C6" s="17">
        <v>1</v>
      </c>
      <c r="D6" s="42" t="s">
        <v>242</v>
      </c>
      <c r="E6" s="42"/>
      <c r="F6" s="21" t="s">
        <v>6412</v>
      </c>
      <c r="G6" s="21" t="s">
        <v>6413</v>
      </c>
      <c r="H6" s="42"/>
    </row>
    <row r="7" spans="1:8" ht="30">
      <c r="A7" s="66">
        <v>5</v>
      </c>
      <c r="B7" s="17" t="s">
        <v>6414</v>
      </c>
      <c r="C7" s="17">
        <v>1</v>
      </c>
      <c r="D7" s="42" t="s">
        <v>242</v>
      </c>
      <c r="E7" s="42"/>
      <c r="F7" s="21" t="s">
        <v>6415</v>
      </c>
      <c r="G7" s="21" t="s">
        <v>6416</v>
      </c>
      <c r="H7" s="42"/>
    </row>
    <row r="8" spans="1:8" ht="30">
      <c r="A8" s="66">
        <v>6</v>
      </c>
      <c r="B8" s="17" t="s">
        <v>6417</v>
      </c>
      <c r="C8" s="17">
        <v>2</v>
      </c>
      <c r="D8" s="42" t="s">
        <v>242</v>
      </c>
      <c r="E8" s="42"/>
      <c r="F8" s="21" t="s">
        <v>6418</v>
      </c>
      <c r="G8" s="21" t="s">
        <v>6419</v>
      </c>
      <c r="H8" s="42"/>
    </row>
    <row r="9" spans="1:8">
      <c r="A9" s="66">
        <v>7</v>
      </c>
      <c r="B9" s="17" t="s">
        <v>6420</v>
      </c>
      <c r="C9" s="17">
        <v>3</v>
      </c>
      <c r="D9" s="42" t="s">
        <v>242</v>
      </c>
      <c r="E9" s="42"/>
      <c r="F9" s="21" t="s">
        <v>6421</v>
      </c>
      <c r="G9" s="21" t="s">
        <v>6422</v>
      </c>
      <c r="H9" s="42"/>
    </row>
    <row r="10" spans="1:8" ht="30">
      <c r="A10" s="66">
        <v>8</v>
      </c>
      <c r="B10" s="17" t="s">
        <v>6423</v>
      </c>
      <c r="C10" s="17">
        <v>1</v>
      </c>
      <c r="D10" s="42" t="s">
        <v>242</v>
      </c>
      <c r="E10" s="42"/>
      <c r="F10" s="21" t="s">
        <v>6424</v>
      </c>
      <c r="G10" s="21" t="s">
        <v>6425</v>
      </c>
      <c r="H10" s="42"/>
    </row>
    <row r="11" spans="1:8">
      <c r="A11" s="66">
        <v>9</v>
      </c>
      <c r="B11" s="17" t="s">
        <v>6426</v>
      </c>
      <c r="C11" s="17">
        <v>1</v>
      </c>
      <c r="D11" s="42" t="s">
        <v>242</v>
      </c>
      <c r="E11" s="42"/>
      <c r="F11" s="21" t="s">
        <v>6427</v>
      </c>
      <c r="G11" s="21" t="s">
        <v>6428</v>
      </c>
      <c r="H11" s="42"/>
    </row>
    <row r="12" spans="1:8">
      <c r="A12" s="66">
        <v>10</v>
      </c>
      <c r="B12" s="17" t="s">
        <v>6429</v>
      </c>
      <c r="C12" s="17">
        <v>10</v>
      </c>
      <c r="D12" s="42" t="s">
        <v>242</v>
      </c>
      <c r="E12" s="42"/>
      <c r="F12" s="21" t="s">
        <v>6430</v>
      </c>
      <c r="G12" s="21" t="s">
        <v>6431</v>
      </c>
      <c r="H12" s="42"/>
    </row>
    <row r="13" spans="1:8">
      <c r="A13" s="66">
        <v>11</v>
      </c>
      <c r="B13" s="17" t="s">
        <v>6432</v>
      </c>
      <c r="C13" s="17">
        <v>1</v>
      </c>
      <c r="D13" s="42" t="s">
        <v>242</v>
      </c>
      <c r="E13" s="42"/>
      <c r="F13" s="21" t="s">
        <v>6433</v>
      </c>
      <c r="G13" s="21" t="s">
        <v>6434</v>
      </c>
      <c r="H13" s="42"/>
    </row>
    <row r="14" spans="1:8">
      <c r="A14" s="66">
        <v>12</v>
      </c>
      <c r="B14" s="17" t="s">
        <v>6435</v>
      </c>
      <c r="C14" s="17">
        <v>1</v>
      </c>
      <c r="D14" s="42" t="s">
        <v>242</v>
      </c>
      <c r="E14" s="42"/>
      <c r="F14" s="21" t="s">
        <v>6436</v>
      </c>
      <c r="G14" s="21" t="s">
        <v>6437</v>
      </c>
      <c r="H14" s="42"/>
    </row>
    <row r="15" spans="1:8" ht="30">
      <c r="A15" s="66">
        <v>13</v>
      </c>
      <c r="B15" s="17" t="s">
        <v>6438</v>
      </c>
      <c r="C15" s="17">
        <v>1</v>
      </c>
      <c r="D15" s="42" t="s">
        <v>242</v>
      </c>
      <c r="E15" s="42"/>
      <c r="F15" s="21" t="s">
        <v>6439</v>
      </c>
      <c r="G15" s="21" t="s">
        <v>6440</v>
      </c>
      <c r="H15" s="42"/>
    </row>
    <row r="16" spans="1:8">
      <c r="A16" s="66">
        <v>14</v>
      </c>
      <c r="B16" s="17" t="s">
        <v>6441</v>
      </c>
      <c r="C16" s="17">
        <v>1</v>
      </c>
      <c r="D16" s="42" t="s">
        <v>242</v>
      </c>
      <c r="E16" s="42"/>
      <c r="F16" s="21" t="s">
        <v>6442</v>
      </c>
      <c r="G16" s="21" t="s">
        <v>6443</v>
      </c>
      <c r="H16" s="42"/>
    </row>
    <row r="17" spans="1:8" ht="30">
      <c r="A17" s="66">
        <v>15</v>
      </c>
      <c r="B17" s="17" t="s">
        <v>6444</v>
      </c>
      <c r="C17" s="17">
        <v>2</v>
      </c>
      <c r="D17" s="42" t="s">
        <v>242</v>
      </c>
      <c r="E17" s="42"/>
      <c r="F17" s="21" t="s">
        <v>6445</v>
      </c>
      <c r="G17" s="21" t="s">
        <v>6446</v>
      </c>
      <c r="H17" s="42"/>
    </row>
    <row r="18" spans="1:8">
      <c r="A18" s="66">
        <v>16</v>
      </c>
      <c r="B18" s="17" t="s">
        <v>6447</v>
      </c>
      <c r="C18" s="17">
        <v>1</v>
      </c>
      <c r="D18" s="42" t="s">
        <v>242</v>
      </c>
      <c r="E18" s="42"/>
      <c r="F18" s="21" t="s">
        <v>6448</v>
      </c>
      <c r="G18" s="21" t="s">
        <v>6449</v>
      </c>
      <c r="H18" s="42"/>
    </row>
    <row r="19" spans="1:8">
      <c r="A19" s="66">
        <v>17</v>
      </c>
      <c r="B19" s="17" t="s">
        <v>6450</v>
      </c>
      <c r="C19" s="17">
        <v>1</v>
      </c>
      <c r="D19" s="42" t="s">
        <v>242</v>
      </c>
      <c r="E19" s="42"/>
      <c r="F19" s="21" t="s">
        <v>6451</v>
      </c>
      <c r="G19" s="21" t="s">
        <v>6452</v>
      </c>
      <c r="H19" s="42"/>
    </row>
    <row r="20" spans="1:8" ht="30">
      <c r="A20" s="66">
        <v>18</v>
      </c>
      <c r="B20" s="17" t="s">
        <v>6453</v>
      </c>
      <c r="C20" s="17">
        <v>1</v>
      </c>
      <c r="D20" s="42" t="s">
        <v>242</v>
      </c>
      <c r="E20" s="42"/>
      <c r="F20" s="21" t="s">
        <v>6454</v>
      </c>
      <c r="G20" s="21" t="s">
        <v>6455</v>
      </c>
      <c r="H20" s="42"/>
    </row>
    <row r="21" spans="1:8">
      <c r="A21" s="66">
        <v>19</v>
      </c>
      <c r="B21" s="17" t="s">
        <v>6456</v>
      </c>
      <c r="C21" s="17">
        <v>1</v>
      </c>
      <c r="D21" s="42" t="s">
        <v>242</v>
      </c>
      <c r="E21" s="42"/>
      <c r="F21" s="21" t="s">
        <v>6457</v>
      </c>
      <c r="G21" s="21" t="s">
        <v>6458</v>
      </c>
      <c r="H21" s="42"/>
    </row>
    <row r="22" spans="1:8">
      <c r="A22" s="66">
        <v>20</v>
      </c>
      <c r="B22" s="17" t="s">
        <v>6459</v>
      </c>
      <c r="C22" s="17">
        <v>1</v>
      </c>
      <c r="D22" s="42" t="s">
        <v>242</v>
      </c>
      <c r="E22" s="42"/>
      <c r="F22" s="21" t="s">
        <v>6460</v>
      </c>
      <c r="G22" s="21" t="s">
        <v>6461</v>
      </c>
      <c r="H22" s="42"/>
    </row>
    <row r="23" spans="1:8">
      <c r="A23" s="66">
        <v>21</v>
      </c>
      <c r="B23" s="17" t="s">
        <v>6462</v>
      </c>
      <c r="C23" s="17">
        <v>1</v>
      </c>
      <c r="D23" s="42" t="s">
        <v>242</v>
      </c>
      <c r="E23" s="42"/>
      <c r="F23" s="21" t="s">
        <v>6463</v>
      </c>
      <c r="G23" s="21" t="s">
        <v>6464</v>
      </c>
      <c r="H23" s="42"/>
    </row>
    <row r="24" spans="1:8">
      <c r="A24" s="66">
        <v>22</v>
      </c>
      <c r="B24" s="17" t="s">
        <v>6465</v>
      </c>
      <c r="C24" s="17">
        <v>1</v>
      </c>
      <c r="D24" s="42" t="s">
        <v>242</v>
      </c>
      <c r="E24" s="42"/>
      <c r="F24" s="21" t="s">
        <v>6466</v>
      </c>
      <c r="G24" s="21" t="s">
        <v>6467</v>
      </c>
      <c r="H24" s="42"/>
    </row>
    <row r="25" spans="1:8">
      <c r="A25" s="66">
        <v>23</v>
      </c>
      <c r="B25" s="17" t="s">
        <v>6468</v>
      </c>
      <c r="C25" s="17">
        <v>3</v>
      </c>
      <c r="D25" s="42" t="s">
        <v>242</v>
      </c>
      <c r="E25" s="42"/>
      <c r="F25" s="21" t="s">
        <v>6469</v>
      </c>
      <c r="G25" s="21" t="s">
        <v>6470</v>
      </c>
      <c r="H25" s="42"/>
    </row>
    <row r="26" spans="1:8">
      <c r="A26" s="66">
        <v>24</v>
      </c>
      <c r="B26" s="17" t="s">
        <v>6471</v>
      </c>
      <c r="C26" s="17">
        <v>3</v>
      </c>
      <c r="D26" s="42" t="s">
        <v>242</v>
      </c>
      <c r="E26" s="42"/>
      <c r="F26" s="21" t="s">
        <v>6472</v>
      </c>
      <c r="G26" s="21" t="s">
        <v>6473</v>
      </c>
      <c r="H26" s="42"/>
    </row>
    <row r="27" spans="1:8">
      <c r="A27" s="66">
        <v>25</v>
      </c>
      <c r="B27" s="17" t="s">
        <v>6474</v>
      </c>
      <c r="C27" s="17">
        <v>1</v>
      </c>
      <c r="D27" s="42" t="s">
        <v>242</v>
      </c>
      <c r="E27" s="42"/>
      <c r="F27" s="21" t="s">
        <v>6475</v>
      </c>
      <c r="G27" s="21" t="s">
        <v>6476</v>
      </c>
      <c r="H27" s="42"/>
    </row>
    <row r="28" spans="1:8">
      <c r="A28" s="66">
        <v>26</v>
      </c>
      <c r="B28" s="17" t="s">
        <v>6477</v>
      </c>
      <c r="C28" s="17">
        <v>1</v>
      </c>
      <c r="D28" s="42" t="s">
        <v>242</v>
      </c>
      <c r="E28" s="42"/>
      <c r="F28" s="21" t="s">
        <v>6478</v>
      </c>
      <c r="G28" s="21" t="s">
        <v>6479</v>
      </c>
      <c r="H28" s="51"/>
    </row>
    <row r="29" spans="1:8">
      <c r="A29" s="66">
        <v>27</v>
      </c>
      <c r="B29" s="17" t="s">
        <v>6480</v>
      </c>
      <c r="C29" s="17">
        <v>1</v>
      </c>
      <c r="D29" s="42" t="s">
        <v>242</v>
      </c>
      <c r="E29" s="42"/>
      <c r="F29" s="21" t="s">
        <v>6481</v>
      </c>
      <c r="G29" s="21" t="s">
        <v>6482</v>
      </c>
      <c r="H29" s="42"/>
    </row>
    <row r="30" spans="1:8">
      <c r="A30" s="66">
        <v>28</v>
      </c>
      <c r="B30" s="17" t="s">
        <v>6483</v>
      </c>
      <c r="C30" s="17">
        <v>1</v>
      </c>
      <c r="D30" s="42" t="s">
        <v>242</v>
      </c>
      <c r="E30" s="42"/>
      <c r="F30" s="21" t="s">
        <v>6484</v>
      </c>
      <c r="G30" s="21" t="s">
        <v>6485</v>
      </c>
      <c r="H30" s="42"/>
    </row>
    <row r="31" spans="1:8">
      <c r="A31" s="66">
        <v>29</v>
      </c>
      <c r="B31" s="17" t="s">
        <v>6486</v>
      </c>
      <c r="C31" s="17">
        <v>1</v>
      </c>
      <c r="D31" s="42" t="s">
        <v>242</v>
      </c>
      <c r="E31" s="42"/>
      <c r="F31" s="21" t="s">
        <v>6487</v>
      </c>
      <c r="G31" s="21" t="s">
        <v>6488</v>
      </c>
      <c r="H31" s="42"/>
    </row>
    <row r="32" spans="1:8">
      <c r="A32" s="66">
        <v>30</v>
      </c>
      <c r="B32" s="17" t="s">
        <v>6489</v>
      </c>
      <c r="C32" s="17">
        <v>1</v>
      </c>
      <c r="D32" s="42" t="s">
        <v>242</v>
      </c>
      <c r="E32" s="42"/>
      <c r="F32" s="21" t="s">
        <v>6490</v>
      </c>
      <c r="G32" s="21" t="s">
        <v>6491</v>
      </c>
      <c r="H32" s="42"/>
    </row>
    <row r="33" spans="1:10">
      <c r="A33" s="66">
        <v>31</v>
      </c>
      <c r="B33" s="17" t="s">
        <v>6492</v>
      </c>
      <c r="C33" s="17">
        <v>1</v>
      </c>
      <c r="D33" s="42" t="s">
        <v>242</v>
      </c>
      <c r="E33" s="42"/>
      <c r="F33" s="21" t="s">
        <v>6493</v>
      </c>
      <c r="G33" s="21" t="s">
        <v>6494</v>
      </c>
      <c r="H33" s="42"/>
    </row>
    <row r="34" spans="1:10">
      <c r="A34" s="66">
        <v>32</v>
      </c>
      <c r="B34" s="17" t="s">
        <v>6495</v>
      </c>
      <c r="C34" s="17">
        <v>1</v>
      </c>
      <c r="D34" s="42" t="s">
        <v>242</v>
      </c>
      <c r="E34" s="42"/>
      <c r="F34" s="21" t="s">
        <v>6496</v>
      </c>
      <c r="G34" s="21" t="s">
        <v>6497</v>
      </c>
      <c r="H34" s="42"/>
    </row>
    <row r="35" spans="1:10">
      <c r="A35" s="66">
        <v>33</v>
      </c>
      <c r="B35" s="17" t="s">
        <v>6498</v>
      </c>
      <c r="C35" s="17">
        <v>1</v>
      </c>
      <c r="D35" s="42" t="s">
        <v>242</v>
      </c>
      <c r="E35" s="42"/>
      <c r="F35" s="21" t="s">
        <v>6499</v>
      </c>
      <c r="G35" s="21" t="s">
        <v>6500</v>
      </c>
      <c r="H35" s="42"/>
    </row>
    <row r="36" spans="1:10">
      <c r="A36" s="66">
        <v>34</v>
      </c>
      <c r="B36" s="17" t="s">
        <v>6501</v>
      </c>
      <c r="C36" s="17">
        <v>1</v>
      </c>
      <c r="D36" s="42" t="s">
        <v>242</v>
      </c>
      <c r="E36" s="42"/>
      <c r="F36" s="21" t="s">
        <v>6502</v>
      </c>
      <c r="G36" s="21" t="s">
        <v>6503</v>
      </c>
      <c r="H36" s="42"/>
    </row>
    <row r="37" spans="1:10">
      <c r="A37" s="66">
        <v>35</v>
      </c>
      <c r="B37" s="17" t="s">
        <v>6504</v>
      </c>
      <c r="C37" s="17">
        <v>1</v>
      </c>
      <c r="D37" s="42" t="s">
        <v>242</v>
      </c>
      <c r="E37" s="42"/>
      <c r="F37" s="21" t="s">
        <v>6505</v>
      </c>
      <c r="G37" s="21" t="s">
        <v>6506</v>
      </c>
      <c r="H37" s="42"/>
    </row>
    <row r="38" spans="1:10">
      <c r="A38" s="66">
        <v>36</v>
      </c>
      <c r="B38" s="17" t="s">
        <v>6507</v>
      </c>
      <c r="C38" s="17">
        <v>1</v>
      </c>
      <c r="D38" s="42" t="s">
        <v>242</v>
      </c>
      <c r="E38" s="42"/>
      <c r="F38" s="21" t="s">
        <v>6508</v>
      </c>
      <c r="G38" s="21" t="s">
        <v>6509</v>
      </c>
      <c r="H38" s="42"/>
    </row>
    <row r="39" spans="1:10">
      <c r="A39" s="66">
        <v>37</v>
      </c>
      <c r="B39" s="17" t="s">
        <v>6510</v>
      </c>
      <c r="C39" s="17">
        <v>1</v>
      </c>
      <c r="D39" s="42" t="s">
        <v>242</v>
      </c>
      <c r="E39" s="42"/>
      <c r="F39" s="21" t="s">
        <v>6511</v>
      </c>
      <c r="G39" s="21" t="s">
        <v>6512</v>
      </c>
      <c r="H39" s="42"/>
    </row>
    <row r="40" spans="1:10">
      <c r="A40" s="66">
        <v>38</v>
      </c>
      <c r="B40" s="17" t="s">
        <v>6513</v>
      </c>
      <c r="C40" s="17">
        <v>1</v>
      </c>
      <c r="D40" s="42" t="s">
        <v>242</v>
      </c>
      <c r="E40" s="42"/>
      <c r="F40" s="21" t="s">
        <v>6514</v>
      </c>
      <c r="G40" s="21" t="s">
        <v>6515</v>
      </c>
      <c r="H40" s="42"/>
    </row>
    <row r="41" spans="1:10">
      <c r="A41" s="66">
        <v>39</v>
      </c>
      <c r="B41" s="17" t="s">
        <v>6516</v>
      </c>
      <c r="C41" s="17">
        <v>1</v>
      </c>
      <c r="D41" s="42" t="s">
        <v>242</v>
      </c>
      <c r="E41" s="42"/>
      <c r="F41" s="21" t="s">
        <v>6517</v>
      </c>
      <c r="G41" s="21" t="s">
        <v>6518</v>
      </c>
      <c r="H41" s="42"/>
    </row>
    <row r="42" spans="1:10">
      <c r="A42" s="66">
        <v>40</v>
      </c>
      <c r="B42" s="17" t="s">
        <v>6519</v>
      </c>
      <c r="C42" s="17">
        <v>1</v>
      </c>
      <c r="D42" s="42" t="s">
        <v>242</v>
      </c>
      <c r="E42" s="42"/>
      <c r="F42" s="21" t="s">
        <v>6520</v>
      </c>
      <c r="G42" s="21" t="s">
        <v>6521</v>
      </c>
      <c r="H42" s="42"/>
    </row>
    <row r="43" spans="1:10">
      <c r="A43" s="66">
        <v>41</v>
      </c>
      <c r="B43" s="17" t="s">
        <v>6522</v>
      </c>
      <c r="C43" s="17">
        <v>1</v>
      </c>
      <c r="D43" s="42" t="s">
        <v>242</v>
      </c>
      <c r="E43" s="42"/>
      <c r="F43" s="21" t="s">
        <v>6523</v>
      </c>
      <c r="G43" s="21" t="s">
        <v>6524</v>
      </c>
      <c r="H43" s="42"/>
    </row>
    <row r="44" spans="1:10">
      <c r="A44" s="66">
        <v>42</v>
      </c>
      <c r="B44" s="17" t="s">
        <v>6525</v>
      </c>
      <c r="C44" s="17">
        <v>1</v>
      </c>
      <c r="D44" s="42" t="s">
        <v>242</v>
      </c>
      <c r="E44" s="42"/>
      <c r="F44" s="21" t="s">
        <v>6526</v>
      </c>
      <c r="G44" s="21" t="s">
        <v>6527</v>
      </c>
      <c r="H44" s="42"/>
    </row>
    <row r="45" spans="1:10">
      <c r="A45" s="66">
        <v>43</v>
      </c>
      <c r="B45" s="17" t="s">
        <v>6528</v>
      </c>
      <c r="C45" s="17">
        <v>1</v>
      </c>
      <c r="D45" s="42" t="s">
        <v>242</v>
      </c>
      <c r="E45" s="42"/>
      <c r="F45" s="21" t="s">
        <v>6529</v>
      </c>
      <c r="G45" s="21" t="s">
        <v>6530</v>
      </c>
      <c r="H45" s="42"/>
    </row>
    <row r="46" spans="1:10">
      <c r="A46" s="66">
        <v>44</v>
      </c>
      <c r="B46" s="17" t="s">
        <v>6531</v>
      </c>
      <c r="C46" s="17">
        <v>1</v>
      </c>
      <c r="D46" s="42" t="s">
        <v>242</v>
      </c>
      <c r="E46" s="42"/>
      <c r="F46" s="21" t="s">
        <v>6532</v>
      </c>
      <c r="G46" s="21" t="s">
        <v>6533</v>
      </c>
      <c r="H46" s="42"/>
    </row>
    <row r="47" spans="1:10">
      <c r="A47" s="66">
        <v>45</v>
      </c>
      <c r="B47" s="17" t="s">
        <v>6534</v>
      </c>
      <c r="C47" s="17">
        <v>1</v>
      </c>
      <c r="D47" s="42" t="s">
        <v>242</v>
      </c>
      <c r="E47" s="42"/>
      <c r="F47" s="21" t="s">
        <v>6535</v>
      </c>
      <c r="G47" s="21" t="s">
        <v>6536</v>
      </c>
      <c r="H47" s="42"/>
      <c r="I47" s="24"/>
      <c r="J47" s="24"/>
    </row>
    <row r="48" spans="1:10">
      <c r="A48" s="66">
        <v>46</v>
      </c>
      <c r="B48" s="17" t="s">
        <v>6537</v>
      </c>
      <c r="C48" s="17">
        <v>2</v>
      </c>
      <c r="D48" s="42" t="s">
        <v>242</v>
      </c>
      <c r="E48" s="42"/>
      <c r="F48" s="21" t="s">
        <v>6538</v>
      </c>
      <c r="G48" s="21" t="s">
        <v>6539</v>
      </c>
      <c r="H48" s="42"/>
      <c r="I48" s="24"/>
      <c r="J48" s="24"/>
    </row>
    <row r="49" spans="1:10">
      <c r="A49" s="66">
        <v>47</v>
      </c>
      <c r="B49" s="17" t="s">
        <v>6540</v>
      </c>
      <c r="C49" s="17">
        <v>1</v>
      </c>
      <c r="D49" s="42" t="s">
        <v>242</v>
      </c>
      <c r="E49" s="42"/>
      <c r="F49" s="21" t="s">
        <v>6541</v>
      </c>
      <c r="G49" s="21" t="s">
        <v>6536</v>
      </c>
      <c r="H49" s="42"/>
    </row>
    <row r="50" spans="1:10">
      <c r="A50" s="66">
        <v>48</v>
      </c>
      <c r="B50" s="17" t="s">
        <v>6542</v>
      </c>
      <c r="C50" s="17">
        <v>2</v>
      </c>
      <c r="D50" s="42" t="s">
        <v>242</v>
      </c>
      <c r="E50" s="42"/>
      <c r="F50" s="21" t="s">
        <v>6543</v>
      </c>
      <c r="G50" s="21" t="s">
        <v>6539</v>
      </c>
      <c r="H50" s="42"/>
    </row>
    <row r="51" spans="1:10">
      <c r="A51" s="66">
        <v>49</v>
      </c>
      <c r="B51" s="17" t="s">
        <v>6544</v>
      </c>
      <c r="C51" s="17">
        <v>1</v>
      </c>
      <c r="D51" s="42" t="s">
        <v>242</v>
      </c>
      <c r="E51" s="42"/>
      <c r="F51" s="21" t="s">
        <v>6545</v>
      </c>
      <c r="G51" s="21" t="s">
        <v>6536</v>
      </c>
      <c r="H51" s="42"/>
    </row>
    <row r="52" spans="1:10">
      <c r="A52" s="66">
        <v>50</v>
      </c>
      <c r="B52" s="17" t="s">
        <v>6546</v>
      </c>
      <c r="C52" s="17">
        <v>2</v>
      </c>
      <c r="D52" s="42" t="s">
        <v>242</v>
      </c>
      <c r="E52" s="42"/>
      <c r="F52" s="21" t="s">
        <v>6547</v>
      </c>
      <c r="G52" s="21" t="s">
        <v>6539</v>
      </c>
      <c r="H52" s="42"/>
    </row>
    <row r="53" spans="1:10">
      <c r="A53" s="66">
        <v>51</v>
      </c>
      <c r="B53" s="17" t="s">
        <v>6548</v>
      </c>
      <c r="C53" s="17">
        <v>1</v>
      </c>
      <c r="D53" s="42" t="s">
        <v>242</v>
      </c>
      <c r="E53" s="42"/>
      <c r="F53" s="21" t="s">
        <v>6549</v>
      </c>
      <c r="G53" s="21" t="s">
        <v>6550</v>
      </c>
      <c r="H53" s="42"/>
    </row>
    <row r="54" spans="1:10" ht="30">
      <c r="A54" s="59">
        <v>52</v>
      </c>
      <c r="B54" s="75" t="s">
        <v>7024</v>
      </c>
      <c r="C54" s="69">
        <v>16</v>
      </c>
      <c r="D54" s="59" t="s">
        <v>242</v>
      </c>
      <c r="E54" s="77"/>
      <c r="F54" s="75" t="s">
        <v>7056</v>
      </c>
      <c r="G54" s="75" t="s">
        <v>7057</v>
      </c>
      <c r="H54" s="69"/>
      <c r="I54" s="72"/>
      <c r="J54" s="72" t="s">
        <v>7122</v>
      </c>
    </row>
    <row r="55" spans="1:10">
      <c r="A55" s="59">
        <v>53</v>
      </c>
      <c r="B55" s="75" t="s">
        <v>7025</v>
      </c>
      <c r="C55" s="69">
        <v>1</v>
      </c>
      <c r="D55" s="59" t="s">
        <v>242</v>
      </c>
      <c r="E55" s="77"/>
      <c r="F55" s="75" t="s">
        <v>7058</v>
      </c>
      <c r="G55" s="75" t="s">
        <v>7059</v>
      </c>
      <c r="H55" s="69"/>
      <c r="I55" s="72"/>
      <c r="J55" s="72" t="s">
        <v>7122</v>
      </c>
    </row>
    <row r="56" spans="1:10">
      <c r="A56" s="59">
        <v>54</v>
      </c>
      <c r="B56" s="75" t="s">
        <v>7026</v>
      </c>
      <c r="C56" s="69">
        <v>1</v>
      </c>
      <c r="D56" s="59" t="s">
        <v>242</v>
      </c>
      <c r="E56" s="77"/>
      <c r="F56" s="75" t="s">
        <v>7060</v>
      </c>
      <c r="G56" s="75" t="s">
        <v>7061</v>
      </c>
      <c r="H56" s="69"/>
      <c r="I56" s="72"/>
      <c r="J56" s="72" t="s">
        <v>7122</v>
      </c>
    </row>
    <row r="57" spans="1:10">
      <c r="A57" s="59">
        <v>55</v>
      </c>
      <c r="B57" s="75" t="s">
        <v>7027</v>
      </c>
      <c r="C57" s="69">
        <v>1</v>
      </c>
      <c r="D57" s="59" t="s">
        <v>242</v>
      </c>
      <c r="E57" s="77"/>
      <c r="F57" s="75" t="s">
        <v>7062</v>
      </c>
      <c r="G57" s="75" t="s">
        <v>7063</v>
      </c>
      <c r="H57" s="69"/>
      <c r="I57" s="72"/>
      <c r="J57" s="72" t="s">
        <v>7122</v>
      </c>
    </row>
    <row r="58" spans="1:10" ht="30">
      <c r="A58" s="59">
        <v>56</v>
      </c>
      <c r="B58" s="75" t="s">
        <v>7028</v>
      </c>
      <c r="C58" s="69">
        <v>2</v>
      </c>
      <c r="D58" s="59" t="s">
        <v>242</v>
      </c>
      <c r="E58" s="77"/>
      <c r="F58" s="75" t="s">
        <v>7064</v>
      </c>
      <c r="G58" s="75" t="s">
        <v>7065</v>
      </c>
      <c r="H58" s="69"/>
      <c r="I58" s="72"/>
      <c r="J58" s="72" t="s">
        <v>7122</v>
      </c>
    </row>
    <row r="59" spans="1:10" ht="30">
      <c r="A59" s="59">
        <v>57</v>
      </c>
      <c r="B59" s="75" t="s">
        <v>7029</v>
      </c>
      <c r="C59" s="69">
        <v>2</v>
      </c>
      <c r="D59" s="59" t="s">
        <v>242</v>
      </c>
      <c r="E59" s="77"/>
      <c r="F59" s="75" t="s">
        <v>7066</v>
      </c>
      <c r="G59" s="75" t="s">
        <v>7067</v>
      </c>
      <c r="H59" s="69"/>
      <c r="I59" s="72"/>
      <c r="J59" s="72" t="s">
        <v>7122</v>
      </c>
    </row>
    <row r="60" spans="1:10">
      <c r="A60" s="59">
        <v>58</v>
      </c>
      <c r="B60" s="75" t="s">
        <v>7030</v>
      </c>
      <c r="C60" s="69">
        <v>2</v>
      </c>
      <c r="D60" s="59" t="s">
        <v>242</v>
      </c>
      <c r="E60" s="77"/>
      <c r="F60" s="75" t="s">
        <v>7068</v>
      </c>
      <c r="G60" s="75" t="s">
        <v>7113</v>
      </c>
      <c r="H60" s="69"/>
      <c r="I60" s="72"/>
      <c r="J60" s="72" t="s">
        <v>7122</v>
      </c>
    </row>
    <row r="61" spans="1:10">
      <c r="A61" s="59">
        <v>59</v>
      </c>
      <c r="B61" s="75" t="s">
        <v>7031</v>
      </c>
      <c r="C61" s="69">
        <v>3</v>
      </c>
      <c r="D61" s="59" t="s">
        <v>242</v>
      </c>
      <c r="E61" s="77"/>
      <c r="F61" s="75" t="s">
        <v>7069</v>
      </c>
      <c r="G61" s="75" t="s">
        <v>7114</v>
      </c>
      <c r="H61" s="69"/>
      <c r="I61" s="72"/>
      <c r="J61" s="72" t="s">
        <v>7122</v>
      </c>
    </row>
    <row r="62" spans="1:10">
      <c r="A62" s="59">
        <v>60</v>
      </c>
      <c r="B62" s="75" t="s">
        <v>7032</v>
      </c>
      <c r="C62" s="69">
        <v>1</v>
      </c>
      <c r="D62" s="59" t="s">
        <v>242</v>
      </c>
      <c r="E62" s="77"/>
      <c r="F62" s="75" t="s">
        <v>7070</v>
      </c>
      <c r="G62" s="75" t="s">
        <v>7071</v>
      </c>
      <c r="H62" s="69"/>
      <c r="I62" s="72"/>
      <c r="J62" s="72" t="s">
        <v>7122</v>
      </c>
    </row>
    <row r="63" spans="1:10">
      <c r="A63" s="59">
        <v>61</v>
      </c>
      <c r="B63" s="75" t="s">
        <v>7033</v>
      </c>
      <c r="C63" s="69">
        <v>1</v>
      </c>
      <c r="D63" s="59" t="s">
        <v>242</v>
      </c>
      <c r="E63" s="77"/>
      <c r="F63" s="75" t="s">
        <v>7072</v>
      </c>
      <c r="G63" s="75" t="s">
        <v>7073</v>
      </c>
      <c r="H63" s="69"/>
      <c r="I63" s="72"/>
      <c r="J63" s="72" t="s">
        <v>7122</v>
      </c>
    </row>
    <row r="64" spans="1:10">
      <c r="A64" s="59">
        <v>62</v>
      </c>
      <c r="B64" s="75" t="s">
        <v>7034</v>
      </c>
      <c r="C64" s="69">
        <v>1</v>
      </c>
      <c r="D64" s="59" t="s">
        <v>242</v>
      </c>
      <c r="E64" s="77"/>
      <c r="F64" s="75" t="s">
        <v>7074</v>
      </c>
      <c r="G64" s="75" t="s">
        <v>7075</v>
      </c>
      <c r="H64" s="69"/>
      <c r="I64" s="72"/>
      <c r="J64" s="72" t="s">
        <v>7122</v>
      </c>
    </row>
    <row r="65" spans="1:10">
      <c r="A65" s="59">
        <v>63</v>
      </c>
      <c r="B65" s="75" t="s">
        <v>7035</v>
      </c>
      <c r="C65" s="69">
        <v>1</v>
      </c>
      <c r="D65" s="59" t="s">
        <v>242</v>
      </c>
      <c r="E65" s="77"/>
      <c r="F65" s="75" t="s">
        <v>7076</v>
      </c>
      <c r="G65" s="75" t="s">
        <v>7077</v>
      </c>
      <c r="H65" s="69"/>
      <c r="I65" s="72"/>
      <c r="J65" s="72" t="s">
        <v>7122</v>
      </c>
    </row>
    <row r="66" spans="1:10">
      <c r="A66" s="59">
        <v>64</v>
      </c>
      <c r="B66" s="75" t="s">
        <v>7036</v>
      </c>
      <c r="C66" s="69">
        <v>2</v>
      </c>
      <c r="D66" s="59" t="s">
        <v>242</v>
      </c>
      <c r="E66" s="77"/>
      <c r="F66" s="75" t="s">
        <v>7078</v>
      </c>
      <c r="G66" s="75" t="s">
        <v>7079</v>
      </c>
      <c r="H66" s="69"/>
      <c r="I66" s="72"/>
      <c r="J66" s="72" t="s">
        <v>7122</v>
      </c>
    </row>
    <row r="67" spans="1:10">
      <c r="A67" s="59">
        <v>65</v>
      </c>
      <c r="B67" s="75" t="s">
        <v>7037</v>
      </c>
      <c r="C67" s="69">
        <v>1</v>
      </c>
      <c r="D67" s="59" t="s">
        <v>242</v>
      </c>
      <c r="E67" s="77"/>
      <c r="F67" s="75" t="s">
        <v>7080</v>
      </c>
      <c r="G67" s="75" t="s">
        <v>7081</v>
      </c>
      <c r="H67" s="69"/>
      <c r="I67" s="72"/>
      <c r="J67" s="72" t="s">
        <v>7122</v>
      </c>
    </row>
    <row r="68" spans="1:10">
      <c r="A68" s="59">
        <v>66</v>
      </c>
      <c r="B68" s="75" t="s">
        <v>7038</v>
      </c>
      <c r="C68" s="69">
        <v>1</v>
      </c>
      <c r="D68" s="59" t="s">
        <v>242</v>
      </c>
      <c r="E68" s="77"/>
      <c r="F68" s="75" t="s">
        <v>7082</v>
      </c>
      <c r="G68" s="75" t="s">
        <v>7083</v>
      </c>
      <c r="H68" s="69"/>
      <c r="I68" s="72"/>
      <c r="J68" s="72" t="s">
        <v>7122</v>
      </c>
    </row>
    <row r="69" spans="1:10">
      <c r="A69" s="59">
        <v>67</v>
      </c>
      <c r="B69" s="75" t="s">
        <v>7039</v>
      </c>
      <c r="C69" s="69">
        <v>1</v>
      </c>
      <c r="D69" s="59" t="s">
        <v>242</v>
      </c>
      <c r="E69" s="77"/>
      <c r="F69" s="75" t="s">
        <v>7084</v>
      </c>
      <c r="G69" s="75" t="s">
        <v>7085</v>
      </c>
      <c r="H69" s="69"/>
      <c r="I69" s="72"/>
      <c r="J69" s="72" t="s">
        <v>7122</v>
      </c>
    </row>
    <row r="70" spans="1:10">
      <c r="A70" s="59">
        <v>68</v>
      </c>
      <c r="B70" s="75" t="s">
        <v>7040</v>
      </c>
      <c r="C70" s="69">
        <v>1</v>
      </c>
      <c r="D70" s="59" t="s">
        <v>242</v>
      </c>
      <c r="E70" s="77"/>
      <c r="F70" s="75" t="s">
        <v>7086</v>
      </c>
      <c r="G70" s="75" t="s">
        <v>7087</v>
      </c>
      <c r="H70" s="69"/>
      <c r="I70" s="72"/>
      <c r="J70" s="72" t="s">
        <v>7122</v>
      </c>
    </row>
    <row r="71" spans="1:10">
      <c r="A71" s="59">
        <v>69</v>
      </c>
      <c r="B71" s="75" t="s">
        <v>7041</v>
      </c>
      <c r="C71" s="69">
        <v>8</v>
      </c>
      <c r="D71" s="59" t="s">
        <v>189</v>
      </c>
      <c r="E71" s="77"/>
      <c r="F71" s="75" t="s">
        <v>7088</v>
      </c>
      <c r="G71" s="75" t="s">
        <v>7115</v>
      </c>
      <c r="H71" s="69"/>
      <c r="I71" s="72"/>
      <c r="J71" s="72" t="s">
        <v>7122</v>
      </c>
    </row>
    <row r="72" spans="1:10">
      <c r="A72" s="59">
        <v>70</v>
      </c>
      <c r="B72" s="75" t="s">
        <v>7042</v>
      </c>
      <c r="C72" s="69">
        <v>1</v>
      </c>
      <c r="D72" s="59" t="s">
        <v>242</v>
      </c>
      <c r="E72" s="77"/>
      <c r="F72" s="75" t="s">
        <v>7089</v>
      </c>
      <c r="G72" s="75" t="s">
        <v>7090</v>
      </c>
      <c r="H72" s="69"/>
      <c r="I72" s="72"/>
      <c r="J72" s="72" t="s">
        <v>7122</v>
      </c>
    </row>
    <row r="73" spans="1:10">
      <c r="A73" s="59">
        <v>71</v>
      </c>
      <c r="B73" s="75" t="s">
        <v>7043</v>
      </c>
      <c r="C73" s="69">
        <v>2</v>
      </c>
      <c r="D73" s="59" t="s">
        <v>242</v>
      </c>
      <c r="E73" s="77"/>
      <c r="F73" s="75" t="s">
        <v>7091</v>
      </c>
      <c r="G73" s="75" t="s">
        <v>7092</v>
      </c>
      <c r="H73" s="69"/>
      <c r="I73" s="72"/>
      <c r="J73" s="72" t="s">
        <v>7122</v>
      </c>
    </row>
    <row r="74" spans="1:10">
      <c r="A74" s="59">
        <v>72</v>
      </c>
      <c r="B74" s="75" t="s">
        <v>7044</v>
      </c>
      <c r="C74" s="69">
        <v>1</v>
      </c>
      <c r="D74" s="59" t="s">
        <v>242</v>
      </c>
      <c r="E74" s="77"/>
      <c r="F74" s="75" t="s">
        <v>7093</v>
      </c>
      <c r="G74" s="75" t="s">
        <v>7094</v>
      </c>
      <c r="H74" s="69"/>
      <c r="I74" s="72"/>
      <c r="J74" s="72" t="s">
        <v>7122</v>
      </c>
    </row>
    <row r="75" spans="1:10">
      <c r="A75" s="59">
        <v>73</v>
      </c>
      <c r="B75" s="75" t="s">
        <v>7045</v>
      </c>
      <c r="C75" s="69">
        <v>1</v>
      </c>
      <c r="D75" s="59" t="s">
        <v>242</v>
      </c>
      <c r="E75" s="77"/>
      <c r="F75" s="75" t="s">
        <v>7095</v>
      </c>
      <c r="G75" s="75" t="s">
        <v>7096</v>
      </c>
      <c r="H75" s="69"/>
      <c r="I75" s="72"/>
      <c r="J75" s="72" t="s">
        <v>7122</v>
      </c>
    </row>
    <row r="76" spans="1:10">
      <c r="A76" s="59">
        <v>74</v>
      </c>
      <c r="B76" s="75" t="s">
        <v>7046</v>
      </c>
      <c r="C76" s="69">
        <v>1</v>
      </c>
      <c r="D76" s="59" t="s">
        <v>242</v>
      </c>
      <c r="E76" s="77"/>
      <c r="F76" s="75" t="s">
        <v>7097</v>
      </c>
      <c r="G76" s="75" t="s">
        <v>7098</v>
      </c>
      <c r="H76" s="69"/>
      <c r="I76" s="72"/>
      <c r="J76" s="72" t="s">
        <v>7122</v>
      </c>
    </row>
    <row r="77" spans="1:10">
      <c r="A77" s="59">
        <v>75</v>
      </c>
      <c r="B77" s="75" t="s">
        <v>7047</v>
      </c>
      <c r="C77" s="69">
        <v>1</v>
      </c>
      <c r="D77" s="59" t="s">
        <v>242</v>
      </c>
      <c r="E77" s="77"/>
      <c r="F77" s="75" t="s">
        <v>7099</v>
      </c>
      <c r="G77" s="75" t="s">
        <v>7120</v>
      </c>
      <c r="H77" s="69"/>
      <c r="I77" s="72"/>
      <c r="J77" s="72" t="s">
        <v>7122</v>
      </c>
    </row>
    <row r="78" spans="1:10">
      <c r="A78" s="59">
        <v>76</v>
      </c>
      <c r="B78" s="75" t="s">
        <v>7048</v>
      </c>
      <c r="C78" s="69">
        <v>1</v>
      </c>
      <c r="D78" s="59" t="s">
        <v>242</v>
      </c>
      <c r="E78" s="77"/>
      <c r="F78" s="75" t="s">
        <v>7100</v>
      </c>
      <c r="G78" s="75" t="s">
        <v>7121</v>
      </c>
      <c r="H78" s="69"/>
      <c r="I78" s="72"/>
      <c r="J78" s="72" t="s">
        <v>7122</v>
      </c>
    </row>
    <row r="79" spans="1:10">
      <c r="A79" s="59">
        <v>77</v>
      </c>
      <c r="B79" s="75" t="s">
        <v>7049</v>
      </c>
      <c r="C79" s="69">
        <v>3</v>
      </c>
      <c r="D79" s="59" t="s">
        <v>242</v>
      </c>
      <c r="E79" s="77"/>
      <c r="F79" s="75" t="s">
        <v>7108</v>
      </c>
      <c r="G79" s="75" t="s">
        <v>7111</v>
      </c>
      <c r="H79" s="69"/>
      <c r="I79" s="72"/>
      <c r="J79" s="72" t="s">
        <v>7122</v>
      </c>
    </row>
    <row r="80" spans="1:10">
      <c r="A80" s="59">
        <v>78</v>
      </c>
      <c r="B80" s="75" t="s">
        <v>7050</v>
      </c>
      <c r="C80" s="69">
        <v>3</v>
      </c>
      <c r="D80" s="59" t="s">
        <v>242</v>
      </c>
      <c r="E80" s="77"/>
      <c r="F80" s="75" t="s">
        <v>7109</v>
      </c>
      <c r="G80" s="75" t="s">
        <v>7112</v>
      </c>
      <c r="H80" s="69"/>
      <c r="I80" s="72"/>
      <c r="J80" s="72" t="s">
        <v>7122</v>
      </c>
    </row>
    <row r="81" spans="1:10">
      <c r="A81" s="59">
        <v>79</v>
      </c>
      <c r="B81" s="75" t="s">
        <v>7051</v>
      </c>
      <c r="C81" s="69">
        <v>2</v>
      </c>
      <c r="D81" s="59" t="s">
        <v>242</v>
      </c>
      <c r="E81" s="77"/>
      <c r="F81" s="75" t="s">
        <v>7110</v>
      </c>
      <c r="G81" s="75" t="s">
        <v>7118</v>
      </c>
      <c r="H81" s="69"/>
      <c r="I81" s="72"/>
      <c r="J81" s="72" t="s">
        <v>7122</v>
      </c>
    </row>
    <row r="82" spans="1:10">
      <c r="A82" s="59">
        <v>80</v>
      </c>
      <c r="B82" s="75" t="s">
        <v>7052</v>
      </c>
      <c r="C82" s="69">
        <v>1</v>
      </c>
      <c r="D82" s="59" t="s">
        <v>242</v>
      </c>
      <c r="E82" s="77"/>
      <c r="F82" s="75" t="s">
        <v>7101</v>
      </c>
      <c r="G82" s="75" t="s">
        <v>7102</v>
      </c>
      <c r="H82" s="69"/>
      <c r="I82" s="72"/>
      <c r="J82" s="72" t="s">
        <v>7122</v>
      </c>
    </row>
    <row r="83" spans="1:10">
      <c r="A83" s="59">
        <v>81</v>
      </c>
      <c r="B83" s="75" t="s">
        <v>7053</v>
      </c>
      <c r="C83" s="69">
        <v>1</v>
      </c>
      <c r="D83" s="59" t="s">
        <v>242</v>
      </c>
      <c r="E83" s="77"/>
      <c r="F83" s="75" t="s">
        <v>7103</v>
      </c>
      <c r="G83" s="75" t="s">
        <v>7104</v>
      </c>
      <c r="H83" s="69"/>
      <c r="I83" s="72"/>
      <c r="J83" s="72" t="s">
        <v>7122</v>
      </c>
    </row>
    <row r="84" spans="1:10">
      <c r="A84" s="59">
        <v>82</v>
      </c>
      <c r="B84" s="75" t="s">
        <v>7054</v>
      </c>
      <c r="C84" s="69">
        <v>1</v>
      </c>
      <c r="D84" s="59" t="s">
        <v>242</v>
      </c>
      <c r="E84" s="77"/>
      <c r="F84" s="75" t="s">
        <v>7105</v>
      </c>
      <c r="G84" s="75" t="s">
        <v>7119</v>
      </c>
      <c r="H84" s="69"/>
      <c r="I84" s="72"/>
      <c r="J84" s="72" t="s">
        <v>7122</v>
      </c>
    </row>
    <row r="85" spans="1:10">
      <c r="A85" s="59">
        <v>83</v>
      </c>
      <c r="B85" s="75" t="s">
        <v>7055</v>
      </c>
      <c r="C85" s="69">
        <v>1</v>
      </c>
      <c r="D85" s="59" t="s">
        <v>242</v>
      </c>
      <c r="E85" s="77"/>
      <c r="F85" s="75" t="s">
        <v>7106</v>
      </c>
      <c r="G85" s="75" t="s">
        <v>7107</v>
      </c>
      <c r="H85" s="69"/>
      <c r="I85" s="72"/>
      <c r="J85" s="72" t="s">
        <v>7122</v>
      </c>
    </row>
    <row r="86" spans="1:10" ht="60">
      <c r="A86" s="66">
        <v>84</v>
      </c>
      <c r="B86" s="66" t="s">
        <v>1182</v>
      </c>
      <c r="C86" s="42">
        <v>12</v>
      </c>
      <c r="D86" s="42" t="s">
        <v>189</v>
      </c>
      <c r="E86" s="42" t="s">
        <v>5576</v>
      </c>
      <c r="F86" s="42" t="s">
        <v>1688</v>
      </c>
      <c r="G86" s="42" t="s">
        <v>1689</v>
      </c>
      <c r="H86" s="42"/>
    </row>
    <row r="87" spans="1:10" ht="60">
      <c r="A87" s="66">
        <v>85</v>
      </c>
      <c r="B87" s="66" t="s">
        <v>1183</v>
      </c>
      <c r="C87" s="42">
        <v>30</v>
      </c>
      <c r="D87" s="42" t="s">
        <v>242</v>
      </c>
      <c r="E87" s="42" t="s">
        <v>5576</v>
      </c>
      <c r="F87" s="42" t="s">
        <v>1690</v>
      </c>
      <c r="G87" s="42" t="s">
        <v>1691</v>
      </c>
      <c r="H87" s="42"/>
    </row>
  </sheetData>
  <phoneticPr fontId="2" type="noConversion"/>
  <pageMargins left="0.7" right="0.7" top="0.75" bottom="0.75" header="0.3" footer="0.3"/>
  <pageSetup orientation="portrait" horizontalDpi="90" verticalDpi="9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79D6-1B04-422D-9C27-1AFD98966C9E}">
  <sheetPr codeName="Sheet29"/>
  <dimension ref="A1:K57"/>
  <sheetViews>
    <sheetView topLeftCell="A49" workbookViewId="0">
      <selection activeCell="C22" sqref="C22"/>
    </sheetView>
  </sheetViews>
  <sheetFormatPr defaultRowHeight="15"/>
  <cols>
    <col min="1" max="1" width="9.140625" style="1"/>
    <col min="2" max="2" width="20.42578125" style="1" customWidth="1"/>
    <col min="3" max="4" width="9.140625" style="1"/>
    <col min="5" max="5" width="11" style="1" bestFit="1" customWidth="1"/>
    <col min="6" max="6" width="27.28515625" style="1" customWidth="1"/>
    <col min="7" max="7" width="55.140625" style="1" customWidth="1"/>
    <col min="8" max="16384" width="9.140625" style="1"/>
  </cols>
  <sheetData>
    <row r="1" spans="1:8">
      <c r="A1" s="56" t="s">
        <v>238</v>
      </c>
      <c r="B1" s="56"/>
      <c r="C1" s="56"/>
      <c r="D1" s="56"/>
      <c r="E1" s="56"/>
      <c r="F1" s="56"/>
      <c r="G1" s="56"/>
      <c r="H1" s="56"/>
    </row>
    <row r="2" spans="1:8">
      <c r="A2" s="10" t="s">
        <v>350</v>
      </c>
      <c r="B2" s="10" t="s">
        <v>156</v>
      </c>
      <c r="C2" s="10" t="s">
        <v>157</v>
      </c>
      <c r="D2" s="10" t="s">
        <v>239</v>
      </c>
      <c r="E2" s="10" t="s">
        <v>159</v>
      </c>
      <c r="F2" s="10" t="s">
        <v>1684</v>
      </c>
      <c r="G2" s="10" t="s">
        <v>1685</v>
      </c>
      <c r="H2" s="10" t="s">
        <v>5363</v>
      </c>
    </row>
    <row r="3" spans="1:8">
      <c r="A3" s="57">
        <v>1</v>
      </c>
      <c r="B3" s="57" t="s">
        <v>240</v>
      </c>
      <c r="C3" s="57">
        <v>8</v>
      </c>
      <c r="D3" s="57" t="s">
        <v>160</v>
      </c>
      <c r="E3" s="57" t="s">
        <v>177</v>
      </c>
      <c r="F3" s="57" t="s">
        <v>1686</v>
      </c>
      <c r="G3" s="57" t="s">
        <v>1687</v>
      </c>
      <c r="H3" s="57" t="s">
        <v>5382</v>
      </c>
    </row>
    <row r="4" spans="1:8">
      <c r="A4" s="57">
        <v>2</v>
      </c>
      <c r="B4" s="57" t="s">
        <v>426</v>
      </c>
      <c r="C4" s="57">
        <v>2</v>
      </c>
      <c r="D4" s="57" t="s">
        <v>242</v>
      </c>
      <c r="E4" s="57"/>
      <c r="F4" s="57" t="s">
        <v>1932</v>
      </c>
      <c r="G4" s="57" t="s">
        <v>5509</v>
      </c>
      <c r="H4" s="57" t="s">
        <v>5384</v>
      </c>
    </row>
    <row r="5" spans="1:8">
      <c r="A5" s="57">
        <v>3</v>
      </c>
      <c r="B5" s="57" t="s">
        <v>489</v>
      </c>
      <c r="C5" s="57">
        <v>3</v>
      </c>
      <c r="D5" s="57" t="s">
        <v>242</v>
      </c>
      <c r="E5" s="57"/>
      <c r="F5" s="57" t="s">
        <v>5047</v>
      </c>
      <c r="G5" s="57" t="s">
        <v>5511</v>
      </c>
      <c r="H5" s="57"/>
    </row>
    <row r="6" spans="1:8">
      <c r="A6" s="57">
        <v>4</v>
      </c>
      <c r="B6" s="57" t="s">
        <v>490</v>
      </c>
      <c r="C6" s="57">
        <v>20</v>
      </c>
      <c r="D6" s="57" t="s">
        <v>242</v>
      </c>
      <c r="E6" s="57"/>
      <c r="F6" s="57" t="s">
        <v>4982</v>
      </c>
      <c r="G6" s="57" t="s">
        <v>5510</v>
      </c>
      <c r="H6" s="57"/>
    </row>
    <row r="7" spans="1:8">
      <c r="A7" s="57">
        <v>5</v>
      </c>
      <c r="B7" s="57" t="s">
        <v>491</v>
      </c>
      <c r="C7" s="57">
        <v>1</v>
      </c>
      <c r="D7" s="57" t="s">
        <v>242</v>
      </c>
      <c r="E7" s="57"/>
      <c r="F7" s="57" t="s">
        <v>5048</v>
      </c>
      <c r="G7" s="57" t="s">
        <v>5512</v>
      </c>
      <c r="H7" s="57"/>
    </row>
    <row r="8" spans="1:8">
      <c r="A8" s="57">
        <v>6</v>
      </c>
      <c r="B8" s="57" t="s">
        <v>492</v>
      </c>
      <c r="C8" s="57">
        <v>1</v>
      </c>
      <c r="D8" s="57" t="s">
        <v>242</v>
      </c>
      <c r="E8" s="57"/>
      <c r="F8" s="57" t="s">
        <v>5049</v>
      </c>
      <c r="G8" s="57" t="s">
        <v>5515</v>
      </c>
      <c r="H8" s="57"/>
    </row>
    <row r="9" spans="1:8" ht="30">
      <c r="A9" s="57">
        <v>7</v>
      </c>
      <c r="B9" s="57" t="s">
        <v>493</v>
      </c>
      <c r="C9" s="57">
        <v>1</v>
      </c>
      <c r="D9" s="57" t="s">
        <v>242</v>
      </c>
      <c r="E9" s="57"/>
      <c r="F9" s="57" t="s">
        <v>5050</v>
      </c>
      <c r="G9" s="59" t="s">
        <v>5051</v>
      </c>
      <c r="H9" s="57"/>
    </row>
    <row r="10" spans="1:8" ht="30">
      <c r="A10" s="57">
        <v>8</v>
      </c>
      <c r="B10" s="57" t="s">
        <v>494</v>
      </c>
      <c r="C10" s="57">
        <v>1</v>
      </c>
      <c r="D10" s="57" t="s">
        <v>242</v>
      </c>
      <c r="E10" s="57"/>
      <c r="F10" s="57" t="s">
        <v>5052</v>
      </c>
      <c r="G10" s="59" t="s">
        <v>5053</v>
      </c>
      <c r="H10" s="57"/>
    </row>
    <row r="11" spans="1:8" ht="30">
      <c r="A11" s="57">
        <v>9</v>
      </c>
      <c r="B11" s="57" t="s">
        <v>495</v>
      </c>
      <c r="C11" s="57">
        <v>1</v>
      </c>
      <c r="D11" s="57" t="s">
        <v>242</v>
      </c>
      <c r="E11" s="57"/>
      <c r="F11" s="57" t="s">
        <v>5054</v>
      </c>
      <c r="G11" s="59" t="s">
        <v>5055</v>
      </c>
      <c r="H11" s="57"/>
    </row>
    <row r="12" spans="1:8" ht="30">
      <c r="A12" s="57">
        <v>10</v>
      </c>
      <c r="B12" s="57" t="s">
        <v>496</v>
      </c>
      <c r="C12" s="57">
        <v>25</v>
      </c>
      <c r="D12" s="57" t="s">
        <v>242</v>
      </c>
      <c r="E12" s="57"/>
      <c r="F12" s="57" t="s">
        <v>5056</v>
      </c>
      <c r="G12" s="59" t="s">
        <v>5057</v>
      </c>
      <c r="H12" s="57"/>
    </row>
    <row r="13" spans="1:8" ht="30">
      <c r="A13" s="57">
        <v>11</v>
      </c>
      <c r="B13" s="57" t="s">
        <v>497</v>
      </c>
      <c r="C13" s="57">
        <v>2</v>
      </c>
      <c r="D13" s="57" t="s">
        <v>242</v>
      </c>
      <c r="E13" s="57"/>
      <c r="F13" s="57" t="s">
        <v>5058</v>
      </c>
      <c r="G13" s="59" t="s">
        <v>5059</v>
      </c>
      <c r="H13" s="57"/>
    </row>
    <row r="14" spans="1:8" ht="30">
      <c r="A14" s="57">
        <v>12</v>
      </c>
      <c r="B14" s="57" t="s">
        <v>498</v>
      </c>
      <c r="C14" s="57">
        <v>1</v>
      </c>
      <c r="D14" s="57" t="s">
        <v>242</v>
      </c>
      <c r="E14" s="57"/>
      <c r="F14" s="57" t="s">
        <v>5060</v>
      </c>
      <c r="G14" s="59" t="s">
        <v>5061</v>
      </c>
      <c r="H14" s="57"/>
    </row>
    <row r="15" spans="1:8" ht="30">
      <c r="A15" s="57">
        <v>13</v>
      </c>
      <c r="B15" s="57" t="s">
        <v>499</v>
      </c>
      <c r="C15" s="57">
        <v>1</v>
      </c>
      <c r="D15" s="57" t="s">
        <v>242</v>
      </c>
      <c r="E15" s="57"/>
      <c r="F15" s="57" t="s">
        <v>5062</v>
      </c>
      <c r="G15" s="59" t="s">
        <v>5063</v>
      </c>
      <c r="H15" s="57"/>
    </row>
    <row r="16" spans="1:8" ht="30">
      <c r="A16" s="57">
        <v>14</v>
      </c>
      <c r="B16" s="57" t="s">
        <v>500</v>
      </c>
      <c r="C16" s="57">
        <v>1</v>
      </c>
      <c r="D16" s="57" t="s">
        <v>242</v>
      </c>
      <c r="E16" s="57"/>
      <c r="F16" s="57" t="s">
        <v>5064</v>
      </c>
      <c r="G16" s="59" t="s">
        <v>5065</v>
      </c>
      <c r="H16" s="57"/>
    </row>
    <row r="17" spans="1:8" ht="30">
      <c r="A17" s="57">
        <v>15</v>
      </c>
      <c r="B17" s="57" t="s">
        <v>501</v>
      </c>
      <c r="C17" s="57">
        <v>1</v>
      </c>
      <c r="D17" s="57" t="s">
        <v>242</v>
      </c>
      <c r="E17" s="57"/>
      <c r="F17" s="57" t="s">
        <v>5066</v>
      </c>
      <c r="G17" s="59" t="s">
        <v>5067</v>
      </c>
      <c r="H17" s="57"/>
    </row>
    <row r="18" spans="1:8" ht="30">
      <c r="A18" s="57">
        <v>16</v>
      </c>
      <c r="B18" s="57" t="s">
        <v>502</v>
      </c>
      <c r="C18" s="57">
        <v>1</v>
      </c>
      <c r="D18" s="57" t="s">
        <v>242</v>
      </c>
      <c r="E18" s="57"/>
      <c r="F18" s="57" t="s">
        <v>5068</v>
      </c>
      <c r="G18" s="59" t="s">
        <v>5069</v>
      </c>
      <c r="H18" s="57"/>
    </row>
    <row r="19" spans="1:8" ht="30">
      <c r="A19" s="57">
        <v>17</v>
      </c>
      <c r="B19" s="57" t="s">
        <v>503</v>
      </c>
      <c r="C19" s="57">
        <v>1</v>
      </c>
      <c r="D19" s="57" t="s">
        <v>242</v>
      </c>
      <c r="E19" s="57"/>
      <c r="F19" s="57" t="s">
        <v>5070</v>
      </c>
      <c r="G19" s="59" t="s">
        <v>5071</v>
      </c>
      <c r="H19" s="57"/>
    </row>
    <row r="20" spans="1:8" ht="30">
      <c r="A20" s="57">
        <v>18</v>
      </c>
      <c r="B20" s="57" t="s">
        <v>504</v>
      </c>
      <c r="C20" s="57">
        <v>1</v>
      </c>
      <c r="D20" s="57" t="s">
        <v>242</v>
      </c>
      <c r="E20" s="57"/>
      <c r="F20" s="57" t="s">
        <v>5072</v>
      </c>
      <c r="G20" s="59" t="s">
        <v>5073</v>
      </c>
      <c r="H20" s="57"/>
    </row>
    <row r="21" spans="1:8" ht="30">
      <c r="A21" s="57">
        <v>19</v>
      </c>
      <c r="B21" s="57" t="s">
        <v>505</v>
      </c>
      <c r="C21" s="57">
        <v>1</v>
      </c>
      <c r="D21" s="57" t="s">
        <v>242</v>
      </c>
      <c r="E21" s="57"/>
      <c r="F21" s="57" t="s">
        <v>5074</v>
      </c>
      <c r="G21" s="59" t="s">
        <v>5075</v>
      </c>
      <c r="H21" s="57"/>
    </row>
    <row r="22" spans="1:8" ht="30">
      <c r="A22" s="57">
        <v>20</v>
      </c>
      <c r="B22" s="57" t="s">
        <v>506</v>
      </c>
      <c r="C22" s="57">
        <v>2</v>
      </c>
      <c r="D22" s="57" t="s">
        <v>242</v>
      </c>
      <c r="E22" s="57"/>
      <c r="F22" s="57" t="s">
        <v>5076</v>
      </c>
      <c r="G22" s="59" t="s">
        <v>5077</v>
      </c>
      <c r="H22" s="57"/>
    </row>
    <row r="23" spans="1:8" ht="30">
      <c r="A23" s="57">
        <v>21</v>
      </c>
      <c r="B23" s="57" t="s">
        <v>507</v>
      </c>
      <c r="C23" s="57">
        <v>14</v>
      </c>
      <c r="D23" s="57" t="s">
        <v>242</v>
      </c>
      <c r="E23" s="57"/>
      <c r="F23" s="57" t="s">
        <v>5078</v>
      </c>
      <c r="G23" s="59" t="s">
        <v>5079</v>
      </c>
      <c r="H23" s="57"/>
    </row>
    <row r="24" spans="1:8" ht="30">
      <c r="A24" s="57">
        <v>22</v>
      </c>
      <c r="B24" s="57" t="s">
        <v>508</v>
      </c>
      <c r="C24" s="57">
        <v>1</v>
      </c>
      <c r="D24" s="57" t="s">
        <v>242</v>
      </c>
      <c r="E24" s="57"/>
      <c r="F24" s="57" t="s">
        <v>5080</v>
      </c>
      <c r="G24" s="59" t="s">
        <v>5081</v>
      </c>
      <c r="H24" s="57"/>
    </row>
    <row r="25" spans="1:8" ht="30">
      <c r="A25" s="57">
        <v>23</v>
      </c>
      <c r="B25" s="57" t="s">
        <v>509</v>
      </c>
      <c r="C25" s="57">
        <v>2</v>
      </c>
      <c r="D25" s="57" t="s">
        <v>242</v>
      </c>
      <c r="E25" s="57"/>
      <c r="F25" s="57" t="s">
        <v>5082</v>
      </c>
      <c r="G25" s="59" t="s">
        <v>5083</v>
      </c>
      <c r="H25" s="57"/>
    </row>
    <row r="26" spans="1:8" ht="30">
      <c r="A26" s="57">
        <v>24</v>
      </c>
      <c r="B26" s="57" t="s">
        <v>510</v>
      </c>
      <c r="C26" s="57">
        <v>1</v>
      </c>
      <c r="D26" s="57" t="s">
        <v>242</v>
      </c>
      <c r="E26" s="57"/>
      <c r="F26" s="57" t="s">
        <v>5084</v>
      </c>
      <c r="G26" s="59" t="s">
        <v>5085</v>
      </c>
      <c r="H26" s="57"/>
    </row>
    <row r="27" spans="1:8" ht="30">
      <c r="A27" s="57">
        <v>25</v>
      </c>
      <c r="B27" s="57" t="s">
        <v>511</v>
      </c>
      <c r="C27" s="57">
        <v>1</v>
      </c>
      <c r="D27" s="57" t="s">
        <v>242</v>
      </c>
      <c r="E27" s="57"/>
      <c r="F27" s="57" t="s">
        <v>5086</v>
      </c>
      <c r="G27" s="59" t="s">
        <v>5087</v>
      </c>
      <c r="H27" s="57"/>
    </row>
    <row r="28" spans="1:8" ht="30">
      <c r="A28" s="57">
        <v>26</v>
      </c>
      <c r="B28" s="57" t="s">
        <v>512</v>
      </c>
      <c r="C28" s="57">
        <v>1</v>
      </c>
      <c r="D28" s="57" t="s">
        <v>242</v>
      </c>
      <c r="E28" s="57"/>
      <c r="F28" s="57" t="s">
        <v>5088</v>
      </c>
      <c r="G28" s="59" t="s">
        <v>5089</v>
      </c>
      <c r="H28" s="57"/>
    </row>
    <row r="29" spans="1:8" ht="30">
      <c r="A29" s="57">
        <v>27</v>
      </c>
      <c r="B29" s="57" t="s">
        <v>513</v>
      </c>
      <c r="C29" s="57">
        <v>1</v>
      </c>
      <c r="D29" s="57" t="s">
        <v>242</v>
      </c>
      <c r="E29" s="57"/>
      <c r="F29" s="57" t="s">
        <v>5090</v>
      </c>
      <c r="G29" s="59" t="s">
        <v>5091</v>
      </c>
      <c r="H29" s="57"/>
    </row>
    <row r="30" spans="1:8" ht="30">
      <c r="A30" s="57">
        <v>28</v>
      </c>
      <c r="B30" s="57" t="s">
        <v>514</v>
      </c>
      <c r="C30" s="57">
        <v>1</v>
      </c>
      <c r="D30" s="57" t="s">
        <v>242</v>
      </c>
      <c r="E30" s="57"/>
      <c r="F30" s="57" t="s">
        <v>5092</v>
      </c>
      <c r="G30" s="59" t="s">
        <v>5093</v>
      </c>
      <c r="H30" s="57"/>
    </row>
    <row r="31" spans="1:8" ht="30">
      <c r="A31" s="57">
        <v>29</v>
      </c>
      <c r="B31" s="57" t="s">
        <v>515</v>
      </c>
      <c r="C31" s="57">
        <v>1</v>
      </c>
      <c r="D31" s="57" t="s">
        <v>242</v>
      </c>
      <c r="E31" s="57"/>
      <c r="F31" s="57" t="s">
        <v>5094</v>
      </c>
      <c r="G31" s="59" t="s">
        <v>5513</v>
      </c>
      <c r="H31" s="57"/>
    </row>
    <row r="32" spans="1:8" ht="30">
      <c r="A32" s="57">
        <v>30</v>
      </c>
      <c r="B32" s="57" t="s">
        <v>516</v>
      </c>
      <c r="C32" s="57">
        <v>1</v>
      </c>
      <c r="D32" s="57" t="s">
        <v>242</v>
      </c>
      <c r="E32" s="57"/>
      <c r="F32" s="57" t="s">
        <v>5095</v>
      </c>
      <c r="G32" s="59" t="s">
        <v>5096</v>
      </c>
      <c r="H32" s="57"/>
    </row>
    <row r="33" spans="1:11" ht="30">
      <c r="A33" s="57">
        <v>31</v>
      </c>
      <c r="B33" s="57" t="s">
        <v>517</v>
      </c>
      <c r="C33" s="57">
        <v>1</v>
      </c>
      <c r="D33" s="57" t="s">
        <v>242</v>
      </c>
      <c r="E33" s="57"/>
      <c r="F33" s="57" t="s">
        <v>5097</v>
      </c>
      <c r="G33" s="59" t="s">
        <v>5098</v>
      </c>
      <c r="H33" s="57"/>
    </row>
    <row r="34" spans="1:11" ht="30">
      <c r="A34" s="57">
        <v>32</v>
      </c>
      <c r="B34" s="57" t="s">
        <v>518</v>
      </c>
      <c r="C34" s="57">
        <v>1</v>
      </c>
      <c r="D34" s="57" t="s">
        <v>242</v>
      </c>
      <c r="E34" s="57"/>
      <c r="F34" s="57" t="s">
        <v>5099</v>
      </c>
      <c r="G34" s="59" t="s">
        <v>5100</v>
      </c>
      <c r="H34" s="57"/>
    </row>
    <row r="35" spans="1:11" ht="30">
      <c r="A35" s="57">
        <v>33</v>
      </c>
      <c r="B35" s="57" t="s">
        <v>519</v>
      </c>
      <c r="C35" s="57">
        <v>1</v>
      </c>
      <c r="D35" s="57" t="s">
        <v>242</v>
      </c>
      <c r="E35" s="57"/>
      <c r="F35" s="57" t="s">
        <v>5101</v>
      </c>
      <c r="G35" s="59" t="s">
        <v>5102</v>
      </c>
      <c r="H35" s="57"/>
      <c r="J35" s="7"/>
      <c r="K35" s="8"/>
    </row>
    <row r="36" spans="1:11" ht="30">
      <c r="A36" s="57">
        <v>34</v>
      </c>
      <c r="B36" s="57" t="s">
        <v>520</v>
      </c>
      <c r="C36" s="57">
        <v>1</v>
      </c>
      <c r="D36" s="57" t="s">
        <v>242</v>
      </c>
      <c r="E36" s="57"/>
      <c r="F36" s="57" t="s">
        <v>5103</v>
      </c>
      <c r="G36" s="59" t="s">
        <v>5514</v>
      </c>
      <c r="H36" s="57"/>
      <c r="J36" s="5"/>
      <c r="K36" s="6"/>
    </row>
    <row r="37" spans="1:11" ht="30">
      <c r="A37" s="57">
        <v>35</v>
      </c>
      <c r="B37" s="57" t="s">
        <v>521</v>
      </c>
      <c r="C37" s="57">
        <v>2</v>
      </c>
      <c r="D37" s="57" t="s">
        <v>242</v>
      </c>
      <c r="E37" s="57"/>
      <c r="F37" s="57" t="s">
        <v>5104</v>
      </c>
      <c r="G37" s="59" t="s">
        <v>5105</v>
      </c>
      <c r="H37" s="57"/>
    </row>
    <row r="38" spans="1:11" ht="30">
      <c r="A38" s="57">
        <v>36</v>
      </c>
      <c r="B38" s="57" t="s">
        <v>522</v>
      </c>
      <c r="C38" s="57">
        <v>1</v>
      </c>
      <c r="D38" s="57" t="s">
        <v>242</v>
      </c>
      <c r="E38" s="57"/>
      <c r="F38" s="57" t="s">
        <v>5106</v>
      </c>
      <c r="G38" s="59" t="s">
        <v>5107</v>
      </c>
      <c r="H38" s="57"/>
    </row>
    <row r="39" spans="1:11" ht="30">
      <c r="A39" s="57">
        <v>37</v>
      </c>
      <c r="B39" s="57" t="s">
        <v>523</v>
      </c>
      <c r="C39" s="57">
        <v>1</v>
      </c>
      <c r="D39" s="57" t="s">
        <v>242</v>
      </c>
      <c r="E39" s="57"/>
      <c r="F39" s="57" t="s">
        <v>5108</v>
      </c>
      <c r="G39" s="59" t="s">
        <v>5109</v>
      </c>
      <c r="H39" s="57"/>
    </row>
    <row r="40" spans="1:11" ht="30">
      <c r="A40" s="57">
        <v>38</v>
      </c>
      <c r="B40" s="57" t="s">
        <v>524</v>
      </c>
      <c r="C40" s="57">
        <v>1</v>
      </c>
      <c r="D40" s="57" t="s">
        <v>242</v>
      </c>
      <c r="E40" s="57"/>
      <c r="F40" s="57" t="s">
        <v>5110</v>
      </c>
      <c r="G40" s="59" t="s">
        <v>5111</v>
      </c>
      <c r="H40" s="57"/>
    </row>
    <row r="41" spans="1:11" ht="30">
      <c r="A41" s="57">
        <v>39</v>
      </c>
      <c r="B41" s="57" t="s">
        <v>525</v>
      </c>
      <c r="C41" s="57">
        <v>1</v>
      </c>
      <c r="D41" s="57" t="s">
        <v>242</v>
      </c>
      <c r="E41" s="57"/>
      <c r="F41" s="57" t="s">
        <v>5112</v>
      </c>
      <c r="G41" s="59" t="s">
        <v>5113</v>
      </c>
      <c r="H41" s="57"/>
    </row>
    <row r="42" spans="1:11" ht="30">
      <c r="A42" s="57">
        <v>40</v>
      </c>
      <c r="B42" s="57" t="s">
        <v>526</v>
      </c>
      <c r="C42" s="57">
        <v>1</v>
      </c>
      <c r="D42" s="57" t="s">
        <v>242</v>
      </c>
      <c r="E42" s="57"/>
      <c r="F42" s="57" t="s">
        <v>5114</v>
      </c>
      <c r="G42" s="59" t="s">
        <v>5115</v>
      </c>
      <c r="H42" s="57"/>
    </row>
    <row r="43" spans="1:11" ht="30">
      <c r="A43" s="57">
        <v>41</v>
      </c>
      <c r="B43" s="57" t="s">
        <v>527</v>
      </c>
      <c r="C43" s="57">
        <v>1</v>
      </c>
      <c r="D43" s="57" t="s">
        <v>242</v>
      </c>
      <c r="E43" s="57"/>
      <c r="F43" s="57" t="s">
        <v>5116</v>
      </c>
      <c r="G43" s="59" t="s">
        <v>5117</v>
      </c>
      <c r="H43" s="57"/>
    </row>
    <row r="44" spans="1:11" ht="30">
      <c r="A44" s="57">
        <v>42</v>
      </c>
      <c r="B44" s="57" t="s">
        <v>528</v>
      </c>
      <c r="C44" s="57">
        <v>2</v>
      </c>
      <c r="D44" s="57" t="s">
        <v>242</v>
      </c>
      <c r="E44" s="57"/>
      <c r="F44" s="57" t="s">
        <v>5118</v>
      </c>
      <c r="G44" s="59" t="s">
        <v>5119</v>
      </c>
      <c r="H44" s="57"/>
    </row>
    <row r="45" spans="1:11" ht="30">
      <c r="A45" s="57">
        <v>43</v>
      </c>
      <c r="B45" s="13" t="s">
        <v>529</v>
      </c>
      <c r="C45" s="57">
        <v>1</v>
      </c>
      <c r="D45" s="57" t="s">
        <v>242</v>
      </c>
      <c r="E45" s="57"/>
      <c r="F45" s="57" t="s">
        <v>5120</v>
      </c>
      <c r="G45" s="59" t="s">
        <v>5121</v>
      </c>
      <c r="H45" s="57"/>
    </row>
    <row r="46" spans="1:11" ht="30">
      <c r="A46" s="57">
        <v>44</v>
      </c>
      <c r="B46" s="57" t="s">
        <v>530</v>
      </c>
      <c r="C46" s="57">
        <v>1</v>
      </c>
      <c r="D46" s="57" t="s">
        <v>242</v>
      </c>
      <c r="E46" s="57"/>
      <c r="F46" s="57" t="s">
        <v>5122</v>
      </c>
      <c r="G46" s="59" t="s">
        <v>5123</v>
      </c>
      <c r="H46" s="57"/>
    </row>
    <row r="47" spans="1:11" ht="30">
      <c r="A47" s="57">
        <v>45</v>
      </c>
      <c r="B47" s="57" t="s">
        <v>531</v>
      </c>
      <c r="C47" s="57">
        <v>1</v>
      </c>
      <c r="D47" s="57" t="s">
        <v>242</v>
      </c>
      <c r="E47" s="57"/>
      <c r="F47" s="57" t="s">
        <v>5124</v>
      </c>
      <c r="G47" s="59" t="s">
        <v>5125</v>
      </c>
      <c r="H47" s="57"/>
    </row>
    <row r="48" spans="1:11" ht="30">
      <c r="A48" s="57">
        <v>46</v>
      </c>
      <c r="B48" s="57" t="s">
        <v>532</v>
      </c>
      <c r="C48" s="57">
        <v>1</v>
      </c>
      <c r="D48" s="57" t="s">
        <v>242</v>
      </c>
      <c r="E48" s="57"/>
      <c r="F48" s="57" t="s">
        <v>5126</v>
      </c>
      <c r="G48" s="59" t="s">
        <v>5127</v>
      </c>
      <c r="H48" s="57"/>
    </row>
    <row r="49" spans="1:8" ht="30">
      <c r="A49" s="57">
        <v>47</v>
      </c>
      <c r="B49" s="57" t="s">
        <v>533</v>
      </c>
      <c r="C49" s="57">
        <v>1</v>
      </c>
      <c r="D49" s="57" t="s">
        <v>242</v>
      </c>
      <c r="E49" s="57"/>
      <c r="F49" s="57" t="s">
        <v>5128</v>
      </c>
      <c r="G49" s="59" t="s">
        <v>5129</v>
      </c>
      <c r="H49" s="57"/>
    </row>
    <row r="50" spans="1:8" ht="30">
      <c r="A50" s="57">
        <v>48</v>
      </c>
      <c r="B50" s="57" t="s">
        <v>534</v>
      </c>
      <c r="C50" s="57">
        <v>3</v>
      </c>
      <c r="D50" s="57" t="s">
        <v>242</v>
      </c>
      <c r="E50" s="57"/>
      <c r="F50" s="57" t="s">
        <v>5130</v>
      </c>
      <c r="G50" s="59" t="s">
        <v>5131</v>
      </c>
      <c r="H50" s="57"/>
    </row>
    <row r="51" spans="1:8" ht="30">
      <c r="A51" s="57">
        <v>49</v>
      </c>
      <c r="B51" s="57" t="s">
        <v>535</v>
      </c>
      <c r="C51" s="57">
        <v>1</v>
      </c>
      <c r="D51" s="57" t="s">
        <v>242</v>
      </c>
      <c r="E51" s="57"/>
      <c r="F51" s="57" t="s">
        <v>5132</v>
      </c>
      <c r="G51" s="59" t="s">
        <v>5133</v>
      </c>
      <c r="H51" s="57"/>
    </row>
    <row r="52" spans="1:8" ht="30">
      <c r="A52" s="57">
        <v>50</v>
      </c>
      <c r="B52" s="57" t="s">
        <v>536</v>
      </c>
      <c r="C52" s="57">
        <v>12</v>
      </c>
      <c r="D52" s="57" t="s">
        <v>189</v>
      </c>
      <c r="E52" s="57"/>
      <c r="F52" s="57" t="s">
        <v>5134</v>
      </c>
      <c r="G52" s="59" t="s">
        <v>5135</v>
      </c>
      <c r="H52" s="57"/>
    </row>
    <row r="53" spans="1:8" ht="30">
      <c r="A53" s="57">
        <v>51</v>
      </c>
      <c r="B53" s="57" t="s">
        <v>537</v>
      </c>
      <c r="C53" s="57">
        <v>1</v>
      </c>
      <c r="D53" s="57" t="s">
        <v>242</v>
      </c>
      <c r="E53" s="57"/>
      <c r="F53" s="57" t="s">
        <v>5136</v>
      </c>
      <c r="G53" s="59" t="s">
        <v>5137</v>
      </c>
      <c r="H53" s="57"/>
    </row>
    <row r="54" spans="1:8" ht="30">
      <c r="A54" s="57">
        <v>52</v>
      </c>
      <c r="B54" s="57" t="s">
        <v>538</v>
      </c>
      <c r="C54" s="57">
        <v>1</v>
      </c>
      <c r="D54" s="57" t="s">
        <v>242</v>
      </c>
      <c r="E54" s="57"/>
      <c r="F54" s="57" t="s">
        <v>5138</v>
      </c>
      <c r="G54" s="59" t="s">
        <v>5139</v>
      </c>
      <c r="H54" s="57"/>
    </row>
    <row r="55" spans="1:8" ht="30">
      <c r="A55" s="57">
        <v>53</v>
      </c>
      <c r="B55" s="57" t="s">
        <v>539</v>
      </c>
      <c r="C55" s="57">
        <v>1</v>
      </c>
      <c r="D55" s="57" t="s">
        <v>242</v>
      </c>
      <c r="E55" s="57"/>
      <c r="F55" s="57" t="s">
        <v>5140</v>
      </c>
      <c r="G55" s="59" t="s">
        <v>5141</v>
      </c>
      <c r="H55" s="57"/>
    </row>
    <row r="56" spans="1:8" ht="45">
      <c r="A56" s="57">
        <v>54</v>
      </c>
      <c r="B56" s="57" t="s">
        <v>1182</v>
      </c>
      <c r="C56" s="57">
        <v>12</v>
      </c>
      <c r="D56" s="57" t="s">
        <v>189</v>
      </c>
      <c r="E56" s="57" t="s">
        <v>5576</v>
      </c>
      <c r="F56" s="57" t="s">
        <v>1688</v>
      </c>
      <c r="G56" s="57" t="s">
        <v>1689</v>
      </c>
      <c r="H56" s="57"/>
    </row>
    <row r="57" spans="1:8" ht="45">
      <c r="A57" s="57">
        <v>55</v>
      </c>
      <c r="B57" s="57" t="s">
        <v>1183</v>
      </c>
      <c r="C57" s="57">
        <v>30</v>
      </c>
      <c r="D57" s="57" t="s">
        <v>242</v>
      </c>
      <c r="E57" s="57" t="s">
        <v>5576</v>
      </c>
      <c r="F57" s="57" t="s">
        <v>1690</v>
      </c>
      <c r="G57" s="57" t="s">
        <v>1691</v>
      </c>
      <c r="H57" s="57"/>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D3BA6-1B6A-4920-9C85-286400502ADE}">
  <sheetPr codeName="Sheet33"/>
  <dimension ref="A1:K46"/>
  <sheetViews>
    <sheetView workbookViewId="0">
      <selection activeCell="C22" sqref="C22"/>
    </sheetView>
  </sheetViews>
  <sheetFormatPr defaultRowHeight="15"/>
  <cols>
    <col min="1" max="1" width="9.140625" style="1"/>
    <col min="2" max="2" width="18.85546875" style="1" bestFit="1" customWidth="1"/>
    <col min="3" max="4" width="9.140625" style="1"/>
    <col min="5" max="5" width="11" style="1" bestFit="1" customWidth="1"/>
    <col min="6" max="6" width="27.28515625" style="1" customWidth="1"/>
    <col min="7" max="7" width="55.140625" style="1" customWidth="1"/>
    <col min="8" max="16384" width="9.140625" style="1"/>
  </cols>
  <sheetData>
    <row r="1" spans="1:9">
      <c r="A1" s="12" t="s">
        <v>238</v>
      </c>
      <c r="B1" s="12"/>
      <c r="C1" s="12"/>
      <c r="D1" s="12"/>
      <c r="E1" s="12"/>
      <c r="F1" s="12"/>
      <c r="G1" s="12"/>
      <c r="H1" s="92" t="s">
        <v>5363</v>
      </c>
      <c r="I1" s="93"/>
    </row>
    <row r="2" spans="1:9">
      <c r="A2" s="10" t="s">
        <v>350</v>
      </c>
      <c r="B2" s="10" t="s">
        <v>156</v>
      </c>
      <c r="C2" s="10" t="s">
        <v>157</v>
      </c>
      <c r="D2" s="10" t="s">
        <v>239</v>
      </c>
      <c r="E2" s="10" t="s">
        <v>159</v>
      </c>
      <c r="F2" s="10" t="s">
        <v>1684</v>
      </c>
      <c r="G2" s="10" t="s">
        <v>1685</v>
      </c>
      <c r="H2" s="10" t="s">
        <v>5371</v>
      </c>
      <c r="I2" s="10" t="s">
        <v>5372</v>
      </c>
    </row>
    <row r="3" spans="1:9">
      <c r="A3" s="11">
        <v>1</v>
      </c>
      <c r="B3" s="11" t="s">
        <v>240</v>
      </c>
      <c r="C3" s="11">
        <v>8</v>
      </c>
      <c r="D3" s="11" t="s">
        <v>160</v>
      </c>
      <c r="E3" s="11" t="s">
        <v>177</v>
      </c>
      <c r="F3" s="11" t="s">
        <v>1686</v>
      </c>
      <c r="G3" s="11" t="s">
        <v>1687</v>
      </c>
      <c r="H3" s="11" t="s">
        <v>5382</v>
      </c>
      <c r="I3" s="11" t="s">
        <v>5386</v>
      </c>
    </row>
    <row r="4" spans="1:9" ht="45">
      <c r="A4" s="11">
        <v>2</v>
      </c>
      <c r="B4" s="11" t="s">
        <v>5541</v>
      </c>
      <c r="C4" s="11">
        <v>2</v>
      </c>
      <c r="D4" s="11" t="s">
        <v>242</v>
      </c>
      <c r="E4" s="11"/>
      <c r="F4" s="11" t="s">
        <v>5461</v>
      </c>
      <c r="G4" s="11" t="s">
        <v>4686</v>
      </c>
      <c r="H4" s="11" t="s">
        <v>5384</v>
      </c>
      <c r="I4" s="11" t="s">
        <v>5387</v>
      </c>
    </row>
    <row r="5" spans="1:9" ht="45">
      <c r="A5" s="11">
        <v>3</v>
      </c>
      <c r="B5" s="11" t="s">
        <v>564</v>
      </c>
      <c r="C5" s="11">
        <v>3</v>
      </c>
      <c r="D5" s="11" t="s">
        <v>242</v>
      </c>
      <c r="E5" s="11"/>
      <c r="F5" s="11" t="s">
        <v>5462</v>
      </c>
      <c r="G5" s="11" t="s">
        <v>5516</v>
      </c>
      <c r="H5" s="11"/>
      <c r="I5" s="11"/>
    </row>
    <row r="6" spans="1:9" ht="30">
      <c r="A6" s="11">
        <v>4</v>
      </c>
      <c r="B6" s="11" t="s">
        <v>565</v>
      </c>
      <c r="C6" s="11">
        <v>30</v>
      </c>
      <c r="D6" s="11" t="s">
        <v>242</v>
      </c>
      <c r="E6" s="11"/>
      <c r="F6" s="11" t="s">
        <v>4671</v>
      </c>
      <c r="G6" s="11" t="s">
        <v>5517</v>
      </c>
      <c r="H6" s="11"/>
      <c r="I6" s="11"/>
    </row>
    <row r="7" spans="1:9" ht="45">
      <c r="A7" s="11">
        <v>5</v>
      </c>
      <c r="B7" s="11" t="s">
        <v>566</v>
      </c>
      <c r="C7" s="11">
        <v>3</v>
      </c>
      <c r="D7" s="11" t="s">
        <v>189</v>
      </c>
      <c r="E7" s="11"/>
      <c r="F7" s="11" t="s">
        <v>4704</v>
      </c>
      <c r="G7" s="11" t="s">
        <v>5460</v>
      </c>
      <c r="H7" s="11"/>
      <c r="I7" s="11"/>
    </row>
    <row r="8" spans="1:9" ht="75">
      <c r="A8" s="11">
        <v>6</v>
      </c>
      <c r="B8" s="11" t="s">
        <v>567</v>
      </c>
      <c r="C8" s="11">
        <v>1</v>
      </c>
      <c r="D8" s="11" t="s">
        <v>242</v>
      </c>
      <c r="E8" s="11"/>
      <c r="F8" s="11" t="s">
        <v>4675</v>
      </c>
      <c r="G8" s="11" t="s">
        <v>4690</v>
      </c>
      <c r="H8" s="11"/>
      <c r="I8" s="11"/>
    </row>
    <row r="9" spans="1:9" ht="30">
      <c r="A9" s="11">
        <v>7</v>
      </c>
      <c r="B9" s="11" t="s">
        <v>568</v>
      </c>
      <c r="C9" s="11">
        <v>11</v>
      </c>
      <c r="D9" s="11" t="s">
        <v>189</v>
      </c>
      <c r="E9" s="11" t="s">
        <v>1265</v>
      </c>
      <c r="F9" s="11" t="s">
        <v>2481</v>
      </c>
      <c r="G9" s="11" t="s">
        <v>3648</v>
      </c>
      <c r="H9" s="11"/>
      <c r="I9" s="11"/>
    </row>
    <row r="10" spans="1:9">
      <c r="A10" s="11">
        <v>8</v>
      </c>
      <c r="B10" s="11" t="s">
        <v>570</v>
      </c>
      <c r="C10" s="11">
        <v>14</v>
      </c>
      <c r="D10" s="11" t="s">
        <v>242</v>
      </c>
      <c r="E10" s="11"/>
      <c r="F10" s="11" t="s">
        <v>4709</v>
      </c>
      <c r="G10" s="11" t="s">
        <v>5518</v>
      </c>
      <c r="H10" s="11"/>
      <c r="I10" s="11"/>
    </row>
    <row r="11" spans="1:9">
      <c r="A11" s="11">
        <v>9</v>
      </c>
      <c r="B11" s="11" t="s">
        <v>571</v>
      </c>
      <c r="C11" s="11">
        <v>1</v>
      </c>
      <c r="D11" s="11" t="s">
        <v>242</v>
      </c>
      <c r="E11" s="11"/>
      <c r="F11" s="11" t="s">
        <v>5030</v>
      </c>
      <c r="G11" s="11" t="s">
        <v>5519</v>
      </c>
      <c r="H11" s="11"/>
      <c r="I11" s="11"/>
    </row>
    <row r="12" spans="1:9" ht="45">
      <c r="A12" s="11">
        <v>10</v>
      </c>
      <c r="B12" s="11" t="s">
        <v>572</v>
      </c>
      <c r="C12" s="11">
        <v>2</v>
      </c>
      <c r="D12" s="11" t="s">
        <v>242</v>
      </c>
      <c r="E12" s="11"/>
      <c r="F12" s="11" t="s">
        <v>5032</v>
      </c>
      <c r="G12" s="11" t="s">
        <v>5031</v>
      </c>
      <c r="H12" s="11"/>
      <c r="I12" s="11"/>
    </row>
    <row r="13" spans="1:9" ht="30">
      <c r="A13" s="11">
        <v>11</v>
      </c>
      <c r="B13" s="11" t="s">
        <v>536</v>
      </c>
      <c r="C13" s="11">
        <v>2</v>
      </c>
      <c r="D13" s="11" t="s">
        <v>242</v>
      </c>
      <c r="E13" s="11"/>
      <c r="F13" s="11" t="s">
        <v>5033</v>
      </c>
      <c r="G13" s="11"/>
      <c r="H13" s="11"/>
      <c r="I13" s="11"/>
    </row>
    <row r="14" spans="1:9" ht="45">
      <c r="A14" s="11">
        <v>12</v>
      </c>
      <c r="B14" s="11" t="s">
        <v>573</v>
      </c>
      <c r="C14" s="11">
        <v>1</v>
      </c>
      <c r="D14" s="11" t="s">
        <v>189</v>
      </c>
      <c r="E14" s="11"/>
      <c r="F14" s="11" t="s">
        <v>4685</v>
      </c>
      <c r="G14" s="11" t="s">
        <v>5034</v>
      </c>
      <c r="H14" s="11"/>
      <c r="I14" s="11"/>
    </row>
    <row r="15" spans="1:9" ht="45">
      <c r="A15" s="11">
        <v>13</v>
      </c>
      <c r="B15" s="11" t="s">
        <v>574</v>
      </c>
      <c r="C15" s="11">
        <v>14</v>
      </c>
      <c r="D15" s="11" t="s">
        <v>242</v>
      </c>
      <c r="E15" s="11"/>
      <c r="F15" s="11" t="s">
        <v>4710</v>
      </c>
      <c r="G15" s="11" t="s">
        <v>5520</v>
      </c>
      <c r="H15" s="11"/>
      <c r="I15" s="11"/>
    </row>
    <row r="16" spans="1:9">
      <c r="A16" s="11">
        <v>14</v>
      </c>
      <c r="B16" s="11" t="s">
        <v>575</v>
      </c>
      <c r="C16" s="11">
        <v>12</v>
      </c>
      <c r="D16" s="11" t="s">
        <v>242</v>
      </c>
      <c r="E16" s="11"/>
      <c r="F16" s="11" t="s">
        <v>5021</v>
      </c>
      <c r="G16" s="11" t="s">
        <v>1291</v>
      </c>
      <c r="H16" s="11"/>
      <c r="I16" s="11"/>
    </row>
    <row r="17" spans="1:9" ht="45">
      <c r="A17" s="11">
        <v>15</v>
      </c>
      <c r="B17" s="11" t="s">
        <v>576</v>
      </c>
      <c r="C17" s="11">
        <v>12</v>
      </c>
      <c r="D17" s="11" t="s">
        <v>242</v>
      </c>
      <c r="E17" s="11"/>
      <c r="F17" s="11" t="s">
        <v>5022</v>
      </c>
      <c r="G17" s="11" t="s">
        <v>5023</v>
      </c>
      <c r="H17" s="11"/>
      <c r="I17" s="11"/>
    </row>
    <row r="18" spans="1:9" ht="30">
      <c r="A18" s="11">
        <v>16</v>
      </c>
      <c r="B18" s="11" t="s">
        <v>577</v>
      </c>
      <c r="C18" s="11">
        <v>12</v>
      </c>
      <c r="D18" s="11" t="s">
        <v>242</v>
      </c>
      <c r="E18" s="11"/>
      <c r="F18" s="11" t="s">
        <v>5024</v>
      </c>
      <c r="G18" s="11" t="s">
        <v>5025</v>
      </c>
      <c r="H18" s="11"/>
      <c r="I18" s="11"/>
    </row>
    <row r="19" spans="1:9" ht="30">
      <c r="A19" s="11">
        <v>17</v>
      </c>
      <c r="B19" s="11" t="s">
        <v>578</v>
      </c>
      <c r="C19" s="11">
        <v>4</v>
      </c>
      <c r="D19" s="11" t="s">
        <v>242</v>
      </c>
      <c r="E19" s="11"/>
      <c r="F19" s="11" t="s">
        <v>5029</v>
      </c>
      <c r="G19" s="11" t="s">
        <v>5026</v>
      </c>
      <c r="H19" s="11"/>
      <c r="I19" s="11"/>
    </row>
    <row r="20" spans="1:9" ht="30">
      <c r="A20" s="11">
        <v>18</v>
      </c>
      <c r="B20" s="11" t="s">
        <v>579</v>
      </c>
      <c r="C20" s="11">
        <v>1</v>
      </c>
      <c r="D20" s="11" t="s">
        <v>242</v>
      </c>
      <c r="E20" s="11"/>
      <c r="F20" s="11" t="s">
        <v>5027</v>
      </c>
      <c r="G20" s="11" t="s">
        <v>5521</v>
      </c>
      <c r="H20" s="11"/>
      <c r="I20" s="11"/>
    </row>
    <row r="21" spans="1:9" ht="30">
      <c r="A21" s="11">
        <v>19</v>
      </c>
      <c r="B21" s="11" t="s">
        <v>580</v>
      </c>
      <c r="C21" s="11">
        <v>1</v>
      </c>
      <c r="D21" s="11" t="s">
        <v>242</v>
      </c>
      <c r="E21" s="11"/>
      <c r="F21" s="11" t="s">
        <v>5028</v>
      </c>
      <c r="G21" s="11" t="s">
        <v>5522</v>
      </c>
      <c r="H21" s="11"/>
      <c r="I21" s="11"/>
    </row>
    <row r="22" spans="1:9">
      <c r="A22" s="11">
        <v>20</v>
      </c>
      <c r="B22" s="11" t="s">
        <v>581</v>
      </c>
      <c r="C22" s="11">
        <v>3</v>
      </c>
      <c r="D22" s="11" t="s">
        <v>189</v>
      </c>
      <c r="E22" s="11"/>
      <c r="F22" s="11" t="s">
        <v>4705</v>
      </c>
      <c r="G22" s="11" t="s">
        <v>4707</v>
      </c>
      <c r="H22" s="11"/>
      <c r="I22" s="11"/>
    </row>
    <row r="23" spans="1:9">
      <c r="A23" s="11">
        <v>21</v>
      </c>
      <c r="B23" s="11" t="s">
        <v>582</v>
      </c>
      <c r="C23" s="11">
        <v>3</v>
      </c>
      <c r="D23" s="11" t="s">
        <v>189</v>
      </c>
      <c r="E23" s="11"/>
      <c r="F23" s="11" t="s">
        <v>4706</v>
      </c>
      <c r="G23" s="11" t="s">
        <v>4708</v>
      </c>
      <c r="H23" s="11"/>
      <c r="I23" s="11"/>
    </row>
    <row r="24" spans="1:9" ht="45">
      <c r="A24" s="11">
        <v>22</v>
      </c>
      <c r="B24" s="11" t="s">
        <v>1182</v>
      </c>
      <c r="C24" s="11">
        <v>12</v>
      </c>
      <c r="D24" s="11" t="s">
        <v>189</v>
      </c>
      <c r="E24" s="11" t="s">
        <v>5576</v>
      </c>
      <c r="F24" s="11" t="s">
        <v>1688</v>
      </c>
      <c r="G24" s="11" t="s">
        <v>1689</v>
      </c>
      <c r="H24" s="11"/>
      <c r="I24" s="11"/>
    </row>
    <row r="25" spans="1:9" ht="45">
      <c r="A25" s="11">
        <v>23</v>
      </c>
      <c r="B25" s="11" t="s">
        <v>1183</v>
      </c>
      <c r="C25" s="11">
        <v>30</v>
      </c>
      <c r="D25" s="11" t="s">
        <v>242</v>
      </c>
      <c r="E25" s="11" t="s">
        <v>5576</v>
      </c>
      <c r="F25" s="11" t="s">
        <v>1690</v>
      </c>
      <c r="G25" s="11" t="s">
        <v>1691</v>
      </c>
      <c r="H25" s="11"/>
      <c r="I25" s="11"/>
    </row>
    <row r="35" spans="2:11">
      <c r="J35" s="7"/>
      <c r="K35" s="8"/>
    </row>
    <row r="36" spans="2:11">
      <c r="J36" s="5"/>
      <c r="K36" s="6"/>
    </row>
    <row r="46" spans="2:11">
      <c r="B46" s="9"/>
    </row>
  </sheetData>
  <mergeCells count="1">
    <mergeCell ref="H1:I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10141-1C73-4628-BE2C-90BD19942CA3}">
  <sheetPr codeName="Sheet25"/>
  <dimension ref="A1:P48"/>
  <sheetViews>
    <sheetView workbookViewId="0">
      <selection activeCell="C22" sqref="C22"/>
    </sheetView>
  </sheetViews>
  <sheetFormatPr defaultRowHeight="15"/>
  <cols>
    <col min="1" max="1" width="7.140625" style="44" bestFit="1" customWidth="1"/>
    <col min="2" max="2" width="19.42578125" style="44" customWidth="1"/>
    <col min="6" max="6" width="28.5703125" customWidth="1"/>
    <col min="7" max="7" width="70.7109375" customWidth="1"/>
    <col min="8" max="8" width="4.7109375" bestFit="1" customWidth="1"/>
    <col min="9" max="9" width="27.140625" bestFit="1" customWidth="1"/>
  </cols>
  <sheetData>
    <row r="1" spans="1:9">
      <c r="A1" s="41" t="s">
        <v>238</v>
      </c>
      <c r="B1" s="41"/>
      <c r="C1" s="41"/>
      <c r="D1" s="41"/>
      <c r="E1" s="41"/>
      <c r="F1" s="41"/>
      <c r="G1" s="41"/>
      <c r="H1" s="41"/>
    </row>
    <row r="2" spans="1:9">
      <c r="A2" s="10" t="s">
        <v>350</v>
      </c>
      <c r="B2" s="10" t="s">
        <v>156</v>
      </c>
      <c r="C2" s="10" t="s">
        <v>157</v>
      </c>
      <c r="D2" s="10" t="s">
        <v>239</v>
      </c>
      <c r="E2" s="10" t="s">
        <v>159</v>
      </c>
      <c r="F2" s="10" t="s">
        <v>1684</v>
      </c>
      <c r="G2" s="10" t="s">
        <v>1685</v>
      </c>
      <c r="H2" s="10" t="s">
        <v>5363</v>
      </c>
    </row>
    <row r="3" spans="1:9" ht="30">
      <c r="A3" s="42">
        <v>1</v>
      </c>
      <c r="B3" s="42" t="s">
        <v>240</v>
      </c>
      <c r="C3" s="42">
        <v>8</v>
      </c>
      <c r="D3" s="42" t="s">
        <v>160</v>
      </c>
      <c r="E3" s="42" t="s">
        <v>177</v>
      </c>
      <c r="F3" s="42" t="s">
        <v>1686</v>
      </c>
      <c r="G3" s="42" t="s">
        <v>1687</v>
      </c>
      <c r="H3" s="42" t="s">
        <v>5382</v>
      </c>
    </row>
    <row r="4" spans="1:9" ht="30">
      <c r="A4" s="42">
        <v>2</v>
      </c>
      <c r="B4" s="42" t="s">
        <v>243</v>
      </c>
      <c r="C4" s="42">
        <v>2</v>
      </c>
      <c r="D4" s="42" t="s">
        <v>242</v>
      </c>
      <c r="E4" s="42"/>
      <c r="F4" s="42" t="s">
        <v>4673</v>
      </c>
      <c r="G4" s="42" t="s">
        <v>4674</v>
      </c>
      <c r="H4" s="42" t="s">
        <v>5384</v>
      </c>
    </row>
    <row r="5" spans="1:9">
      <c r="A5" s="42">
        <v>3</v>
      </c>
      <c r="B5" s="42" t="s">
        <v>550</v>
      </c>
      <c r="C5" s="42">
        <v>2</v>
      </c>
      <c r="D5" s="42" t="s">
        <v>242</v>
      </c>
      <c r="E5" s="42"/>
      <c r="F5" s="42" t="s">
        <v>4267</v>
      </c>
      <c r="G5" s="42" t="s">
        <v>5523</v>
      </c>
      <c r="H5" s="42" t="s">
        <v>5385</v>
      </c>
    </row>
    <row r="6" spans="1:9" ht="45">
      <c r="A6" s="59">
        <v>4</v>
      </c>
      <c r="B6" s="59" t="s">
        <v>776</v>
      </c>
      <c r="C6" s="59">
        <v>3</v>
      </c>
      <c r="D6" s="59" t="s">
        <v>242</v>
      </c>
      <c r="E6" s="59"/>
      <c r="F6" s="59" t="s">
        <v>4671</v>
      </c>
      <c r="G6" s="59" t="s">
        <v>4687</v>
      </c>
      <c r="H6" s="59"/>
      <c r="I6" s="31" t="s">
        <v>5923</v>
      </c>
    </row>
    <row r="7" spans="1:9" ht="60">
      <c r="A7" s="42">
        <v>5</v>
      </c>
      <c r="B7" s="42" t="s">
        <v>683</v>
      </c>
      <c r="C7" s="42">
        <v>30</v>
      </c>
      <c r="D7" s="42" t="s">
        <v>242</v>
      </c>
      <c r="E7" s="42"/>
      <c r="F7" s="42" t="s">
        <v>4670</v>
      </c>
      <c r="G7" s="42" t="s">
        <v>4688</v>
      </c>
      <c r="H7" s="42"/>
    </row>
    <row r="8" spans="1:9" ht="45">
      <c r="A8" s="42">
        <v>6</v>
      </c>
      <c r="B8" s="42" t="s">
        <v>566</v>
      </c>
      <c r="C8" s="42">
        <v>3</v>
      </c>
      <c r="D8" s="42" t="s">
        <v>189</v>
      </c>
      <c r="E8" s="42"/>
      <c r="F8" s="42" t="s">
        <v>4676</v>
      </c>
      <c r="G8" s="42" t="s">
        <v>4689</v>
      </c>
      <c r="H8" s="42"/>
    </row>
    <row r="9" spans="1:9" ht="75">
      <c r="A9" s="42">
        <v>7</v>
      </c>
      <c r="B9" s="42" t="s">
        <v>1193</v>
      </c>
      <c r="C9" s="42">
        <v>1</v>
      </c>
      <c r="D9" s="42" t="s">
        <v>242</v>
      </c>
      <c r="E9" s="42"/>
      <c r="F9" s="42" t="s">
        <v>4675</v>
      </c>
      <c r="G9" s="42" t="s">
        <v>4690</v>
      </c>
      <c r="H9" s="42"/>
    </row>
    <row r="10" spans="1:9">
      <c r="A10" s="59">
        <v>8</v>
      </c>
      <c r="B10" s="59" t="s">
        <v>5972</v>
      </c>
      <c r="C10" s="59">
        <v>14</v>
      </c>
      <c r="D10" s="59" t="s">
        <v>189</v>
      </c>
      <c r="E10" s="59" t="s">
        <v>1267</v>
      </c>
      <c r="F10" s="59" t="s">
        <v>5973</v>
      </c>
      <c r="G10" s="59"/>
      <c r="H10" s="59"/>
      <c r="I10" s="72" t="s">
        <v>7014</v>
      </c>
    </row>
    <row r="11" spans="1:9" ht="105">
      <c r="A11" s="59">
        <v>9</v>
      </c>
      <c r="B11" s="59" t="s">
        <v>1194</v>
      </c>
      <c r="C11" s="59">
        <v>14</v>
      </c>
      <c r="D11" s="59" t="s">
        <v>242</v>
      </c>
      <c r="E11" s="59"/>
      <c r="F11" s="59" t="s">
        <v>4678</v>
      </c>
      <c r="G11" s="59" t="s">
        <v>4757</v>
      </c>
      <c r="H11" s="59"/>
      <c r="I11" s="72"/>
    </row>
    <row r="12" spans="1:9" ht="180">
      <c r="A12" s="59">
        <v>10</v>
      </c>
      <c r="B12" s="59" t="s">
        <v>1200</v>
      </c>
      <c r="C12" s="59">
        <v>14</v>
      </c>
      <c r="D12" s="59" t="s">
        <v>242</v>
      </c>
      <c r="E12" s="59"/>
      <c r="F12" s="59" t="s">
        <v>4677</v>
      </c>
      <c r="G12" s="59" t="s">
        <v>4758</v>
      </c>
      <c r="H12" s="59"/>
      <c r="I12" s="72"/>
    </row>
    <row r="13" spans="1:9" ht="180">
      <c r="A13" s="59">
        <v>11</v>
      </c>
      <c r="B13" s="59" t="s">
        <v>1195</v>
      </c>
      <c r="C13" s="59">
        <v>14</v>
      </c>
      <c r="D13" s="59" t="s">
        <v>242</v>
      </c>
      <c r="E13" s="59"/>
      <c r="F13" s="59" t="s">
        <v>4679</v>
      </c>
      <c r="G13" s="59" t="s">
        <v>4759</v>
      </c>
      <c r="H13" s="59"/>
      <c r="I13" s="72"/>
    </row>
    <row r="14" spans="1:9" ht="75">
      <c r="A14" s="59">
        <v>12</v>
      </c>
      <c r="B14" s="59" t="s">
        <v>1196</v>
      </c>
      <c r="C14" s="59">
        <v>14</v>
      </c>
      <c r="D14" s="59" t="s">
        <v>242</v>
      </c>
      <c r="E14" s="59"/>
      <c r="F14" s="59" t="s">
        <v>4680</v>
      </c>
      <c r="G14" s="59" t="s">
        <v>4760</v>
      </c>
      <c r="H14" s="59"/>
      <c r="I14" s="72"/>
    </row>
    <row r="15" spans="1:9" ht="75">
      <c r="A15" s="59">
        <v>13</v>
      </c>
      <c r="B15" s="59" t="s">
        <v>1197</v>
      </c>
      <c r="C15" s="59">
        <v>14</v>
      </c>
      <c r="D15" s="59" t="s">
        <v>242</v>
      </c>
      <c r="E15" s="59"/>
      <c r="F15" s="59" t="s">
        <v>4681</v>
      </c>
      <c r="G15" s="59" t="s">
        <v>4761</v>
      </c>
      <c r="H15" s="59"/>
      <c r="I15" s="72"/>
    </row>
    <row r="16" spans="1:9">
      <c r="A16" s="59">
        <v>14</v>
      </c>
      <c r="B16" s="69" t="s">
        <v>5975</v>
      </c>
      <c r="C16" s="69">
        <v>8</v>
      </c>
      <c r="D16" s="69" t="s">
        <v>160</v>
      </c>
      <c r="E16" s="69"/>
      <c r="F16" s="78" t="s">
        <v>5976</v>
      </c>
      <c r="G16" s="69" t="s">
        <v>5977</v>
      </c>
      <c r="H16" s="75"/>
      <c r="I16" s="72" t="s">
        <v>7014</v>
      </c>
    </row>
    <row r="17" spans="1:16">
      <c r="A17" s="59">
        <v>15</v>
      </c>
      <c r="B17" s="69" t="s">
        <v>5978</v>
      </c>
      <c r="C17" s="69">
        <v>14</v>
      </c>
      <c r="D17" s="69" t="s">
        <v>189</v>
      </c>
      <c r="E17" s="59" t="s">
        <v>1267</v>
      </c>
      <c r="F17" s="69" t="s">
        <v>5979</v>
      </c>
      <c r="G17" s="75" t="s">
        <v>5980</v>
      </c>
      <c r="H17" s="69"/>
      <c r="I17" s="72" t="s">
        <v>7014</v>
      </c>
    </row>
    <row r="18" spans="1:16">
      <c r="A18" s="59">
        <v>16</v>
      </c>
      <c r="B18" s="69" t="s">
        <v>5981</v>
      </c>
      <c r="C18" s="69">
        <v>8</v>
      </c>
      <c r="D18" s="69" t="s">
        <v>160</v>
      </c>
      <c r="E18" s="69"/>
      <c r="F18" s="78" t="s">
        <v>5982</v>
      </c>
      <c r="G18" s="69" t="s">
        <v>5977</v>
      </c>
      <c r="H18" s="75"/>
      <c r="I18" s="72" t="s">
        <v>7014</v>
      </c>
    </row>
    <row r="19" spans="1:16">
      <c r="A19" s="59">
        <v>17</v>
      </c>
      <c r="B19" s="69" t="s">
        <v>5983</v>
      </c>
      <c r="C19" s="69">
        <v>14</v>
      </c>
      <c r="D19" s="69" t="s">
        <v>189</v>
      </c>
      <c r="E19" s="59" t="s">
        <v>1267</v>
      </c>
      <c r="F19" s="69" t="s">
        <v>5984</v>
      </c>
      <c r="G19" s="75" t="s">
        <v>5980</v>
      </c>
      <c r="H19" s="69"/>
      <c r="I19" s="72" t="s">
        <v>7014</v>
      </c>
    </row>
    <row r="20" spans="1:16">
      <c r="A20" s="59">
        <v>18</v>
      </c>
      <c r="B20" s="69" t="s">
        <v>5985</v>
      </c>
      <c r="C20" s="69">
        <v>8</v>
      </c>
      <c r="D20" s="69" t="s">
        <v>160</v>
      </c>
      <c r="E20" s="69"/>
      <c r="F20" s="78" t="s">
        <v>5986</v>
      </c>
      <c r="G20" s="69" t="s">
        <v>5977</v>
      </c>
      <c r="H20" s="75"/>
      <c r="I20" s="72" t="s">
        <v>7014</v>
      </c>
    </row>
    <row r="21" spans="1:16">
      <c r="A21" s="59">
        <v>19</v>
      </c>
      <c r="B21" s="69" t="s">
        <v>5987</v>
      </c>
      <c r="C21" s="69">
        <v>14</v>
      </c>
      <c r="D21" s="59" t="s">
        <v>189</v>
      </c>
      <c r="E21" s="59" t="s">
        <v>1267</v>
      </c>
      <c r="F21" s="69" t="s">
        <v>5988</v>
      </c>
      <c r="G21" s="75" t="s">
        <v>5980</v>
      </c>
      <c r="H21" s="69"/>
      <c r="I21" s="72" t="s">
        <v>7014</v>
      </c>
    </row>
    <row r="22" spans="1:16">
      <c r="A22" s="59">
        <v>20</v>
      </c>
      <c r="B22" s="69" t="s">
        <v>5989</v>
      </c>
      <c r="C22" s="69">
        <v>8</v>
      </c>
      <c r="D22" s="69" t="s">
        <v>160</v>
      </c>
      <c r="E22" s="69"/>
      <c r="F22" s="78" t="s">
        <v>5990</v>
      </c>
      <c r="G22" s="69" t="s">
        <v>5977</v>
      </c>
      <c r="H22" s="75"/>
      <c r="I22" s="72" t="s">
        <v>7014</v>
      </c>
      <c r="P22" s="49"/>
    </row>
    <row r="23" spans="1:16">
      <c r="A23" s="59">
        <v>21</v>
      </c>
      <c r="B23" s="69" t="s">
        <v>5991</v>
      </c>
      <c r="C23" s="69">
        <v>14</v>
      </c>
      <c r="D23" s="69" t="s">
        <v>189</v>
      </c>
      <c r="E23" s="59" t="s">
        <v>1267</v>
      </c>
      <c r="F23" s="69" t="s">
        <v>5992</v>
      </c>
      <c r="G23" s="75" t="s">
        <v>5980</v>
      </c>
      <c r="H23" s="75"/>
      <c r="I23" s="72" t="s">
        <v>7014</v>
      </c>
    </row>
    <row r="24" spans="1:16" ht="30">
      <c r="A24" s="59">
        <v>22</v>
      </c>
      <c r="B24" s="59" t="s">
        <v>1198</v>
      </c>
      <c r="C24" s="59">
        <v>14</v>
      </c>
      <c r="D24" s="59" t="s">
        <v>242</v>
      </c>
      <c r="E24" s="59"/>
      <c r="F24" s="59" t="s">
        <v>4682</v>
      </c>
      <c r="G24" s="59" t="s">
        <v>4683</v>
      </c>
      <c r="H24" s="69"/>
      <c r="I24" s="72"/>
    </row>
    <row r="25" spans="1:16">
      <c r="A25" s="59">
        <v>23</v>
      </c>
      <c r="B25" s="69" t="s">
        <v>5993</v>
      </c>
      <c r="C25" s="69">
        <v>14</v>
      </c>
      <c r="D25" s="69" t="s">
        <v>189</v>
      </c>
      <c r="E25" s="59" t="s">
        <v>1267</v>
      </c>
      <c r="F25" s="69" t="s">
        <v>5994</v>
      </c>
      <c r="G25" s="75" t="s">
        <v>5995</v>
      </c>
      <c r="H25" s="75"/>
      <c r="I25" s="72" t="s">
        <v>7014</v>
      </c>
    </row>
    <row r="26" spans="1:16">
      <c r="A26" s="59">
        <v>24</v>
      </c>
      <c r="B26" s="69" t="s">
        <v>5996</v>
      </c>
      <c r="C26" s="69">
        <v>14</v>
      </c>
      <c r="D26" s="69" t="s">
        <v>189</v>
      </c>
      <c r="E26" s="59" t="s">
        <v>1267</v>
      </c>
      <c r="F26" s="69" t="s">
        <v>5997</v>
      </c>
      <c r="G26" s="69" t="s">
        <v>5998</v>
      </c>
      <c r="H26" s="69"/>
      <c r="I26" s="72" t="s">
        <v>7014</v>
      </c>
    </row>
    <row r="27" spans="1:16">
      <c r="A27" s="59">
        <v>25</v>
      </c>
      <c r="B27" s="69" t="s">
        <v>5999</v>
      </c>
      <c r="C27" s="69">
        <v>14</v>
      </c>
      <c r="D27" s="69" t="s">
        <v>189</v>
      </c>
      <c r="E27" s="59" t="s">
        <v>1267</v>
      </c>
      <c r="F27" s="69" t="s">
        <v>6000</v>
      </c>
      <c r="G27" s="75" t="s">
        <v>6001</v>
      </c>
      <c r="H27" s="75"/>
      <c r="I27" s="72" t="s">
        <v>7014</v>
      </c>
      <c r="K27" s="49"/>
    </row>
    <row r="28" spans="1:16">
      <c r="A28" s="59">
        <v>26</v>
      </c>
      <c r="B28" s="69" t="s">
        <v>6002</v>
      </c>
      <c r="C28" s="69">
        <v>5</v>
      </c>
      <c r="D28" s="69" t="s">
        <v>242</v>
      </c>
      <c r="E28" s="69"/>
      <c r="F28" s="69" t="s">
        <v>6003</v>
      </c>
      <c r="G28" s="69" t="s">
        <v>6004</v>
      </c>
      <c r="H28" s="69"/>
      <c r="I28" s="72" t="s">
        <v>7014</v>
      </c>
      <c r="K28" s="49"/>
    </row>
    <row r="29" spans="1:16">
      <c r="A29" s="59">
        <v>27</v>
      </c>
      <c r="B29" s="69" t="s">
        <v>6005</v>
      </c>
      <c r="C29" s="69">
        <v>8</v>
      </c>
      <c r="D29" s="69" t="s">
        <v>160</v>
      </c>
      <c r="E29" s="69"/>
      <c r="F29" s="78" t="s">
        <v>6006</v>
      </c>
      <c r="G29" s="75" t="s">
        <v>5977</v>
      </c>
      <c r="H29" s="75"/>
      <c r="I29" s="72" t="s">
        <v>7014</v>
      </c>
      <c r="K29" s="49"/>
    </row>
    <row r="30" spans="1:16">
      <c r="A30" s="59">
        <v>28</v>
      </c>
      <c r="B30" s="69" t="s">
        <v>6007</v>
      </c>
      <c r="C30" s="69">
        <v>14</v>
      </c>
      <c r="D30" s="69" t="s">
        <v>189</v>
      </c>
      <c r="E30" s="59" t="s">
        <v>1267</v>
      </c>
      <c r="F30" s="69" t="s">
        <v>6008</v>
      </c>
      <c r="G30" s="69" t="s">
        <v>5980</v>
      </c>
      <c r="H30" s="69"/>
      <c r="I30" s="72" t="s">
        <v>7014</v>
      </c>
    </row>
    <row r="31" spans="1:16">
      <c r="A31" s="59">
        <v>29</v>
      </c>
      <c r="B31" s="69" t="s">
        <v>6009</v>
      </c>
      <c r="C31" s="69">
        <v>8</v>
      </c>
      <c r="D31" s="69" t="s">
        <v>160</v>
      </c>
      <c r="E31" s="69"/>
      <c r="F31" s="78" t="s">
        <v>6010</v>
      </c>
      <c r="G31" s="75" t="s">
        <v>5977</v>
      </c>
      <c r="H31" s="75"/>
      <c r="I31" s="72" t="s">
        <v>7014</v>
      </c>
    </row>
    <row r="32" spans="1:16">
      <c r="A32" s="59">
        <v>30</v>
      </c>
      <c r="B32" s="69" t="s">
        <v>6011</v>
      </c>
      <c r="C32" s="69">
        <v>14</v>
      </c>
      <c r="D32" s="69" t="s">
        <v>189</v>
      </c>
      <c r="E32" s="59" t="s">
        <v>1267</v>
      </c>
      <c r="F32" s="69" t="s">
        <v>6012</v>
      </c>
      <c r="G32" s="75" t="s">
        <v>5980</v>
      </c>
      <c r="H32" s="75"/>
      <c r="I32" s="72" t="s">
        <v>7014</v>
      </c>
    </row>
    <row r="33" spans="1:9">
      <c r="A33" s="59">
        <v>31</v>
      </c>
      <c r="B33" s="69" t="s">
        <v>6013</v>
      </c>
      <c r="C33" s="69">
        <v>8</v>
      </c>
      <c r="D33" s="69" t="s">
        <v>160</v>
      </c>
      <c r="E33" s="69"/>
      <c r="F33" s="78" t="s">
        <v>6014</v>
      </c>
      <c r="G33" s="75" t="s">
        <v>5977</v>
      </c>
      <c r="H33" s="75"/>
      <c r="I33" s="72" t="s">
        <v>7014</v>
      </c>
    </row>
    <row r="34" spans="1:9">
      <c r="A34" s="59">
        <v>32</v>
      </c>
      <c r="B34" s="69" t="s">
        <v>6015</v>
      </c>
      <c r="C34" s="69">
        <v>14</v>
      </c>
      <c r="D34" s="69" t="s">
        <v>189</v>
      </c>
      <c r="E34" s="59" t="s">
        <v>1267</v>
      </c>
      <c r="F34" s="69" t="s">
        <v>6016</v>
      </c>
      <c r="G34" s="69" t="s">
        <v>5980</v>
      </c>
      <c r="H34" s="69"/>
      <c r="I34" s="72" t="s">
        <v>7014</v>
      </c>
    </row>
    <row r="35" spans="1:9">
      <c r="A35" s="59">
        <v>33</v>
      </c>
      <c r="B35" s="69" t="s">
        <v>6017</v>
      </c>
      <c r="C35" s="69">
        <v>8</v>
      </c>
      <c r="D35" s="69" t="s">
        <v>160</v>
      </c>
      <c r="E35" s="69"/>
      <c r="F35" s="78" t="s">
        <v>6018</v>
      </c>
      <c r="G35" s="75" t="s">
        <v>5977</v>
      </c>
      <c r="H35" s="75"/>
      <c r="I35" s="72" t="s">
        <v>7014</v>
      </c>
    </row>
    <row r="36" spans="1:9">
      <c r="A36" s="59">
        <v>34</v>
      </c>
      <c r="B36" s="69" t="s">
        <v>6019</v>
      </c>
      <c r="C36" s="69">
        <v>14</v>
      </c>
      <c r="D36" s="69" t="s">
        <v>189</v>
      </c>
      <c r="E36" s="59" t="s">
        <v>1267</v>
      </c>
      <c r="F36" s="69" t="s">
        <v>6020</v>
      </c>
      <c r="G36" s="69" t="s">
        <v>5980</v>
      </c>
      <c r="H36" s="69"/>
      <c r="I36" s="72" t="s">
        <v>7014</v>
      </c>
    </row>
    <row r="37" spans="1:9">
      <c r="A37" s="59">
        <v>35</v>
      </c>
      <c r="B37" s="69" t="s">
        <v>6021</v>
      </c>
      <c r="C37" s="69">
        <v>8</v>
      </c>
      <c r="D37" s="69" t="s">
        <v>160</v>
      </c>
      <c r="E37" s="69"/>
      <c r="F37" s="78" t="s">
        <v>6022</v>
      </c>
      <c r="G37" s="75" t="s">
        <v>5977</v>
      </c>
      <c r="H37" s="75"/>
      <c r="I37" s="72" t="s">
        <v>7014</v>
      </c>
    </row>
    <row r="38" spans="1:9">
      <c r="A38" s="59">
        <v>36</v>
      </c>
      <c r="B38" s="69" t="s">
        <v>6023</v>
      </c>
      <c r="C38" s="69">
        <v>14</v>
      </c>
      <c r="D38" s="69" t="s">
        <v>189</v>
      </c>
      <c r="E38" s="59" t="s">
        <v>1267</v>
      </c>
      <c r="F38" s="69" t="s">
        <v>6024</v>
      </c>
      <c r="G38" s="69" t="s">
        <v>5980</v>
      </c>
      <c r="H38" s="69"/>
      <c r="I38" s="72" t="s">
        <v>7014</v>
      </c>
    </row>
    <row r="39" spans="1:9">
      <c r="A39" s="59">
        <v>37</v>
      </c>
      <c r="B39" s="69" t="s">
        <v>6025</v>
      </c>
      <c r="C39" s="69">
        <v>8</v>
      </c>
      <c r="D39" s="69" t="s">
        <v>160</v>
      </c>
      <c r="E39" s="69"/>
      <c r="F39" s="78" t="s">
        <v>6026</v>
      </c>
      <c r="G39" s="75" t="s">
        <v>5977</v>
      </c>
      <c r="H39" s="75"/>
      <c r="I39" s="72" t="s">
        <v>7014</v>
      </c>
    </row>
    <row r="40" spans="1:9">
      <c r="A40" s="59">
        <v>38</v>
      </c>
      <c r="B40" s="69" t="s">
        <v>6027</v>
      </c>
      <c r="C40" s="69">
        <v>14</v>
      </c>
      <c r="D40" s="69" t="s">
        <v>189</v>
      </c>
      <c r="E40" s="59" t="s">
        <v>1267</v>
      </c>
      <c r="F40" s="69" t="s">
        <v>6028</v>
      </c>
      <c r="G40" s="75" t="s">
        <v>5980</v>
      </c>
      <c r="H40" s="75"/>
      <c r="I40" s="72" t="s">
        <v>7014</v>
      </c>
    </row>
    <row r="41" spans="1:9">
      <c r="A41" s="59">
        <v>39</v>
      </c>
      <c r="B41" s="69" t="s">
        <v>6029</v>
      </c>
      <c r="C41" s="69">
        <v>8</v>
      </c>
      <c r="D41" s="69" t="s">
        <v>160</v>
      </c>
      <c r="E41" s="69"/>
      <c r="F41" s="78" t="s">
        <v>6030</v>
      </c>
      <c r="G41" s="75" t="s">
        <v>5977</v>
      </c>
      <c r="H41" s="75"/>
      <c r="I41" s="72" t="s">
        <v>7014</v>
      </c>
    </row>
    <row r="42" spans="1:9">
      <c r="A42" s="59">
        <v>40</v>
      </c>
      <c r="B42" s="69" t="s">
        <v>6031</v>
      </c>
      <c r="C42" s="69">
        <v>14</v>
      </c>
      <c r="D42" s="69" t="s">
        <v>189</v>
      </c>
      <c r="E42" s="59" t="s">
        <v>1267</v>
      </c>
      <c r="F42" s="69" t="s">
        <v>6032</v>
      </c>
      <c r="G42" s="69" t="s">
        <v>5980</v>
      </c>
      <c r="H42" s="69"/>
      <c r="I42" s="72" t="s">
        <v>7014</v>
      </c>
    </row>
    <row r="43" spans="1:9">
      <c r="A43" s="59">
        <v>41</v>
      </c>
      <c r="B43" s="69" t="s">
        <v>6033</v>
      </c>
      <c r="C43" s="69">
        <v>8</v>
      </c>
      <c r="D43" s="69" t="s">
        <v>160</v>
      </c>
      <c r="E43" s="69"/>
      <c r="F43" s="78" t="s">
        <v>6034</v>
      </c>
      <c r="G43" s="75" t="s">
        <v>5977</v>
      </c>
      <c r="H43" s="75"/>
      <c r="I43" s="72" t="s">
        <v>7014</v>
      </c>
    </row>
    <row r="44" spans="1:9">
      <c r="A44" s="59">
        <v>42</v>
      </c>
      <c r="B44" s="69" t="s">
        <v>6035</v>
      </c>
      <c r="C44" s="69">
        <v>14</v>
      </c>
      <c r="D44" s="69" t="s">
        <v>189</v>
      </c>
      <c r="E44" s="59" t="s">
        <v>1267</v>
      </c>
      <c r="F44" s="69" t="s">
        <v>6036</v>
      </c>
      <c r="G44" s="69" t="s">
        <v>5980</v>
      </c>
      <c r="H44" s="69"/>
      <c r="I44" s="72" t="s">
        <v>7014</v>
      </c>
    </row>
    <row r="45" spans="1:9" ht="30">
      <c r="A45" s="59">
        <v>43</v>
      </c>
      <c r="B45" s="69" t="s">
        <v>6037</v>
      </c>
      <c r="C45" s="69">
        <v>1</v>
      </c>
      <c r="D45" s="69" t="s">
        <v>189</v>
      </c>
      <c r="E45" s="69"/>
      <c r="F45" s="72" t="s">
        <v>6038</v>
      </c>
      <c r="G45" s="75" t="s">
        <v>6039</v>
      </c>
      <c r="H45" s="75"/>
      <c r="I45" s="72" t="s">
        <v>7014</v>
      </c>
    </row>
    <row r="46" spans="1:9" ht="45">
      <c r="A46" s="59">
        <v>44</v>
      </c>
      <c r="B46" s="59" t="s">
        <v>1199</v>
      </c>
      <c r="C46" s="59">
        <v>3</v>
      </c>
      <c r="D46" s="59" t="s">
        <v>189</v>
      </c>
      <c r="E46" s="59"/>
      <c r="F46" s="59" t="s">
        <v>4685</v>
      </c>
      <c r="G46" s="59" t="s">
        <v>4684</v>
      </c>
      <c r="H46" s="69"/>
      <c r="I46" s="72" t="s">
        <v>7014</v>
      </c>
    </row>
    <row r="47" spans="1:9" ht="60">
      <c r="A47" s="59">
        <v>45</v>
      </c>
      <c r="B47" s="59" t="s">
        <v>1182</v>
      </c>
      <c r="C47" s="59">
        <v>12</v>
      </c>
      <c r="D47" s="59" t="s">
        <v>189</v>
      </c>
      <c r="E47" s="59" t="s">
        <v>5576</v>
      </c>
      <c r="F47" s="59" t="s">
        <v>1688</v>
      </c>
      <c r="G47" s="59" t="s">
        <v>1689</v>
      </c>
      <c r="H47" s="69"/>
      <c r="I47" s="72"/>
    </row>
    <row r="48" spans="1:9" ht="60">
      <c r="A48" s="42">
        <v>46</v>
      </c>
      <c r="B48" s="42" t="s">
        <v>1183</v>
      </c>
      <c r="C48" s="42">
        <v>30</v>
      </c>
      <c r="D48" s="42" t="s">
        <v>242</v>
      </c>
      <c r="E48" s="42" t="s">
        <v>5576</v>
      </c>
      <c r="F48" s="42" t="s">
        <v>1690</v>
      </c>
      <c r="G48" s="42" t="s">
        <v>1691</v>
      </c>
      <c r="H48" s="17"/>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28C24-20C7-497A-8092-05A946B1EA59}">
  <sheetPr codeName="Sheet28"/>
  <dimension ref="A1:XFC250"/>
  <sheetViews>
    <sheetView topLeftCell="A19"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11.85546875" style="1" customWidth="1"/>
    <col min="9" max="16382" width="32.140625" style="2"/>
    <col min="16383" max="16383" width="1.7109375" style="2" customWidth="1"/>
    <col min="16384" max="16384" width="17.7109375" style="1" customWidth="1"/>
  </cols>
  <sheetData>
    <row r="1" spans="1:10" s="1" customFormat="1">
      <c r="A1" s="3" t="s">
        <v>238</v>
      </c>
      <c r="B1" s="3"/>
      <c r="C1" s="3"/>
      <c r="D1" s="3"/>
      <c r="E1" s="3"/>
      <c r="F1" s="3"/>
      <c r="G1" s="3"/>
      <c r="H1" s="3"/>
      <c r="I1" s="3"/>
    </row>
    <row r="2" spans="1:10" s="1" customFormat="1">
      <c r="A2" s="4" t="s">
        <v>350</v>
      </c>
      <c r="B2" s="4" t="s">
        <v>156</v>
      </c>
      <c r="C2" s="4" t="s">
        <v>157</v>
      </c>
      <c r="D2" s="4" t="s">
        <v>239</v>
      </c>
      <c r="E2" s="4" t="s">
        <v>159</v>
      </c>
      <c r="F2" s="4" t="s">
        <v>1684</v>
      </c>
      <c r="G2" s="4" t="s">
        <v>1685</v>
      </c>
      <c r="H2" s="4" t="s">
        <v>5371</v>
      </c>
      <c r="I2" s="4" t="s">
        <v>5372</v>
      </c>
    </row>
    <row r="3" spans="1:10" s="1" customFormat="1">
      <c r="A3" s="1">
        <v>1</v>
      </c>
      <c r="B3" s="1" t="s">
        <v>240</v>
      </c>
      <c r="C3" s="1">
        <v>8</v>
      </c>
      <c r="D3" s="1" t="s">
        <v>160</v>
      </c>
      <c r="E3" s="1" t="s">
        <v>177</v>
      </c>
      <c r="F3" s="1" t="s">
        <v>1686</v>
      </c>
      <c r="G3" s="1" t="s">
        <v>1687</v>
      </c>
      <c r="H3" s="1" t="s">
        <v>5382</v>
      </c>
      <c r="I3" s="1" t="s">
        <v>5387</v>
      </c>
    </row>
    <row r="4" spans="1:10" s="1" customFormat="1">
      <c r="A4" s="1">
        <v>2</v>
      </c>
      <c r="B4" s="1" t="s">
        <v>151</v>
      </c>
      <c r="C4" s="1">
        <v>7</v>
      </c>
      <c r="D4" s="1" t="s">
        <v>242</v>
      </c>
      <c r="F4" s="1" t="s">
        <v>1725</v>
      </c>
      <c r="G4" s="1" t="s">
        <v>3981</v>
      </c>
      <c r="H4" s="1" t="s">
        <v>5384</v>
      </c>
    </row>
    <row r="5" spans="1:10" s="1" customFormat="1">
      <c r="A5" s="1">
        <v>3</v>
      </c>
      <c r="B5" s="1" t="s">
        <v>380</v>
      </c>
      <c r="C5" s="1">
        <v>30</v>
      </c>
      <c r="D5" s="1" t="s">
        <v>242</v>
      </c>
      <c r="F5" s="1" t="s">
        <v>3982</v>
      </c>
      <c r="G5" s="1" t="s">
        <v>3983</v>
      </c>
    </row>
    <row r="6" spans="1:10" s="1" customFormat="1">
      <c r="A6" s="1">
        <v>4</v>
      </c>
      <c r="B6" s="1" t="s">
        <v>114</v>
      </c>
      <c r="C6" s="1">
        <v>30</v>
      </c>
      <c r="D6" s="1" t="s">
        <v>242</v>
      </c>
      <c r="F6" s="1" t="s">
        <v>1731</v>
      </c>
      <c r="G6" s="1" t="s">
        <v>1732</v>
      </c>
    </row>
    <row r="7" spans="1:10" s="1" customFormat="1">
      <c r="A7" s="1">
        <v>5</v>
      </c>
      <c r="B7" s="1" t="s">
        <v>115</v>
      </c>
      <c r="C7" s="1">
        <v>30</v>
      </c>
      <c r="D7" s="1" t="s">
        <v>242</v>
      </c>
      <c r="F7" s="1" t="s">
        <v>1733</v>
      </c>
      <c r="G7" s="1" t="s">
        <v>1734</v>
      </c>
    </row>
    <row r="8" spans="1:10" s="1" customFormat="1">
      <c r="A8" s="1">
        <v>6</v>
      </c>
      <c r="B8" s="1" t="s">
        <v>381</v>
      </c>
      <c r="C8" s="1">
        <v>20</v>
      </c>
      <c r="D8" s="1" t="s">
        <v>242</v>
      </c>
      <c r="F8" s="1" t="s">
        <v>2425</v>
      </c>
      <c r="G8" s="1" t="s">
        <v>2426</v>
      </c>
    </row>
    <row r="9" spans="1:10" s="1" customFormat="1">
      <c r="A9" s="1">
        <v>7</v>
      </c>
      <c r="B9" s="1" t="s">
        <v>382</v>
      </c>
      <c r="C9" s="1">
        <v>20</v>
      </c>
      <c r="D9" s="1" t="s">
        <v>242</v>
      </c>
      <c r="F9" s="1" t="s">
        <v>2427</v>
      </c>
      <c r="G9" s="1" t="s">
        <v>2428</v>
      </c>
    </row>
    <row r="10" spans="1:10" s="1" customFormat="1">
      <c r="A10" s="1">
        <v>8</v>
      </c>
      <c r="B10" s="1" t="s">
        <v>383</v>
      </c>
      <c r="C10" s="1">
        <v>10</v>
      </c>
      <c r="D10" s="1" t="s">
        <v>242</v>
      </c>
      <c r="F10" s="1" t="s">
        <v>2429</v>
      </c>
      <c r="G10" s="1" t="s">
        <v>2430</v>
      </c>
    </row>
    <row r="11" spans="1:10" s="1" customFormat="1" ht="60">
      <c r="A11" s="1">
        <v>9</v>
      </c>
      <c r="B11" s="1" t="s">
        <v>384</v>
      </c>
      <c r="C11" s="1">
        <v>1</v>
      </c>
      <c r="D11" s="1" t="s">
        <v>242</v>
      </c>
      <c r="F11" s="1" t="s">
        <v>3984</v>
      </c>
      <c r="G11" s="1" t="s">
        <v>3985</v>
      </c>
    </row>
    <row r="12" spans="1:10" s="1" customFormat="1" ht="30">
      <c r="A12" s="31">
        <v>10</v>
      </c>
      <c r="B12" s="31" t="s">
        <v>385</v>
      </c>
      <c r="C12" s="31">
        <v>14</v>
      </c>
      <c r="D12" s="31" t="s">
        <v>242</v>
      </c>
      <c r="E12" s="31"/>
      <c r="F12" s="31" t="s">
        <v>3986</v>
      </c>
      <c r="G12" s="31" t="s">
        <v>5524</v>
      </c>
      <c r="H12" s="31"/>
      <c r="I12" s="31"/>
      <c r="J12" s="31" t="s">
        <v>7124</v>
      </c>
    </row>
    <row r="13" spans="1:10" s="1" customFormat="1" ht="60">
      <c r="A13" s="1">
        <v>11</v>
      </c>
      <c r="B13" s="1" t="s">
        <v>386</v>
      </c>
      <c r="C13" s="1">
        <v>1</v>
      </c>
      <c r="D13" s="1" t="s">
        <v>242</v>
      </c>
      <c r="F13" s="1" t="s">
        <v>3987</v>
      </c>
      <c r="G13" s="1" t="s">
        <v>3988</v>
      </c>
    </row>
    <row r="14" spans="1:10" s="1" customFormat="1" ht="75">
      <c r="A14" s="31">
        <v>12</v>
      </c>
      <c r="B14" s="31" t="s">
        <v>387</v>
      </c>
      <c r="C14" s="31">
        <v>8</v>
      </c>
      <c r="D14" s="31" t="s">
        <v>242</v>
      </c>
      <c r="E14" s="31"/>
      <c r="F14" s="31" t="s">
        <v>3989</v>
      </c>
      <c r="G14" s="31" t="s">
        <v>4762</v>
      </c>
      <c r="H14" s="31"/>
      <c r="I14" s="31"/>
      <c r="J14" s="31" t="s">
        <v>7127</v>
      </c>
    </row>
    <row r="15" spans="1:10" s="1" customFormat="1" ht="150">
      <c r="A15" s="1">
        <v>13</v>
      </c>
      <c r="B15" s="1" t="s">
        <v>388</v>
      </c>
      <c r="C15" s="1">
        <v>1</v>
      </c>
      <c r="D15" s="1" t="s">
        <v>242</v>
      </c>
      <c r="F15" s="1" t="s">
        <v>3990</v>
      </c>
      <c r="G15" s="1" t="s">
        <v>3991</v>
      </c>
    </row>
    <row r="16" spans="1:10" s="1" customFormat="1" ht="60">
      <c r="A16" s="1">
        <v>14</v>
      </c>
      <c r="B16" s="1" t="s">
        <v>389</v>
      </c>
      <c r="C16" s="1">
        <v>1</v>
      </c>
      <c r="D16" s="1" t="s">
        <v>242</v>
      </c>
      <c r="F16" s="1" t="s">
        <v>3992</v>
      </c>
      <c r="G16" s="1" t="s">
        <v>4763</v>
      </c>
    </row>
    <row r="17" spans="1:7" s="1" customFormat="1" ht="75">
      <c r="A17" s="1">
        <v>15</v>
      </c>
      <c r="B17" s="1" t="s">
        <v>390</v>
      </c>
      <c r="C17" s="1">
        <v>1</v>
      </c>
      <c r="D17" s="1" t="s">
        <v>242</v>
      </c>
      <c r="F17" s="1" t="s">
        <v>3993</v>
      </c>
      <c r="G17" s="1" t="s">
        <v>3994</v>
      </c>
    </row>
    <row r="18" spans="1:7" s="1" customFormat="1" ht="75">
      <c r="A18" s="1">
        <v>16</v>
      </c>
      <c r="B18" s="1" t="s">
        <v>391</v>
      </c>
      <c r="C18" s="1">
        <v>1</v>
      </c>
      <c r="D18" s="1" t="s">
        <v>242</v>
      </c>
      <c r="F18" s="1" t="s">
        <v>3995</v>
      </c>
      <c r="G18" s="1" t="s">
        <v>3996</v>
      </c>
    </row>
    <row r="19" spans="1:7" s="1" customFormat="1">
      <c r="A19" s="1">
        <v>17</v>
      </c>
      <c r="B19" s="1" t="s">
        <v>392</v>
      </c>
      <c r="C19" s="1">
        <v>15</v>
      </c>
      <c r="D19" s="1" t="s">
        <v>242</v>
      </c>
      <c r="F19" s="1" t="s">
        <v>3997</v>
      </c>
      <c r="G19" s="1" t="s">
        <v>3998</v>
      </c>
    </row>
    <row r="20" spans="1:7" s="1" customFormat="1" ht="30">
      <c r="A20" s="1">
        <v>18</v>
      </c>
      <c r="B20" s="1" t="s">
        <v>393</v>
      </c>
      <c r="C20" s="1">
        <v>11</v>
      </c>
      <c r="D20" s="1" t="s">
        <v>242</v>
      </c>
      <c r="F20" s="1" t="s">
        <v>3999</v>
      </c>
      <c r="G20" s="1" t="s">
        <v>4000</v>
      </c>
    </row>
    <row r="21" spans="1:7" s="1" customFormat="1" ht="45">
      <c r="A21" s="1">
        <v>19</v>
      </c>
      <c r="B21" s="1" t="s">
        <v>394</v>
      </c>
      <c r="C21" s="1">
        <v>60</v>
      </c>
      <c r="D21" s="1" t="s">
        <v>242</v>
      </c>
      <c r="F21" s="1" t="s">
        <v>4001</v>
      </c>
      <c r="G21" s="1" t="s">
        <v>4002</v>
      </c>
    </row>
    <row r="22" spans="1:7" s="1" customFormat="1" ht="90">
      <c r="A22" s="1">
        <v>20</v>
      </c>
      <c r="B22" s="1" t="s">
        <v>395</v>
      </c>
      <c r="C22" s="1">
        <v>1</v>
      </c>
      <c r="D22" s="1" t="s">
        <v>242</v>
      </c>
      <c r="F22" s="1" t="s">
        <v>4003</v>
      </c>
      <c r="G22" s="1" t="s">
        <v>4004</v>
      </c>
    </row>
    <row r="23" spans="1:7" s="1" customFormat="1" ht="105">
      <c r="A23" s="1">
        <v>21</v>
      </c>
      <c r="B23" s="1" t="s">
        <v>396</v>
      </c>
      <c r="C23" s="1">
        <v>1</v>
      </c>
      <c r="D23" s="1" t="s">
        <v>242</v>
      </c>
      <c r="F23" s="1" t="s">
        <v>4005</v>
      </c>
      <c r="G23" s="1" t="s">
        <v>4006</v>
      </c>
    </row>
    <row r="24" spans="1:7" s="1" customFormat="1" ht="90">
      <c r="A24" s="1">
        <v>22</v>
      </c>
      <c r="B24" s="1" t="s">
        <v>348</v>
      </c>
      <c r="C24" s="1">
        <v>8</v>
      </c>
      <c r="D24" s="1" t="s">
        <v>160</v>
      </c>
      <c r="E24" s="1" t="s">
        <v>177</v>
      </c>
      <c r="F24" s="1" t="s">
        <v>4007</v>
      </c>
      <c r="G24" s="1" t="s">
        <v>4008</v>
      </c>
    </row>
    <row r="25" spans="1:7" s="1" customFormat="1" ht="120">
      <c r="A25" s="1">
        <v>23</v>
      </c>
      <c r="B25" s="1" t="s">
        <v>397</v>
      </c>
      <c r="C25" s="1">
        <v>1</v>
      </c>
      <c r="D25" s="1" t="s">
        <v>242</v>
      </c>
      <c r="F25" s="1" t="s">
        <v>4009</v>
      </c>
      <c r="G25" s="1" t="s">
        <v>4764</v>
      </c>
    </row>
    <row r="26" spans="1:7" s="1" customFormat="1" ht="75">
      <c r="A26" s="1">
        <v>24</v>
      </c>
      <c r="B26" s="1" t="s">
        <v>398</v>
      </c>
      <c r="C26" s="1">
        <v>1</v>
      </c>
      <c r="D26" s="1" t="s">
        <v>242</v>
      </c>
      <c r="F26" s="1" t="s">
        <v>4010</v>
      </c>
      <c r="G26" s="1" t="s">
        <v>4011</v>
      </c>
    </row>
    <row r="27" spans="1:7" s="1" customFormat="1" ht="105">
      <c r="A27" s="1">
        <v>25</v>
      </c>
      <c r="B27" s="1" t="s">
        <v>399</v>
      </c>
      <c r="C27" s="1">
        <v>1</v>
      </c>
      <c r="D27" s="1" t="s">
        <v>242</v>
      </c>
      <c r="F27" s="1" t="s">
        <v>4012</v>
      </c>
      <c r="G27" s="1" t="s">
        <v>4013</v>
      </c>
    </row>
    <row r="28" spans="1:7" s="1" customFormat="1" ht="75">
      <c r="A28" s="1">
        <v>26</v>
      </c>
      <c r="B28" s="1" t="s">
        <v>400</v>
      </c>
      <c r="C28" s="1">
        <v>1</v>
      </c>
      <c r="D28" s="1" t="s">
        <v>242</v>
      </c>
      <c r="F28" s="1" t="s">
        <v>4014</v>
      </c>
      <c r="G28" s="1" t="s">
        <v>4015</v>
      </c>
    </row>
    <row r="29" spans="1:7" s="1" customFormat="1" ht="60">
      <c r="A29" s="1">
        <v>27</v>
      </c>
      <c r="B29" s="1" t="s">
        <v>401</v>
      </c>
      <c r="C29" s="1">
        <v>2</v>
      </c>
      <c r="D29" s="1" t="s">
        <v>242</v>
      </c>
      <c r="F29" s="1" t="s">
        <v>4016</v>
      </c>
      <c r="G29" s="1" t="s">
        <v>4017</v>
      </c>
    </row>
    <row r="30" spans="1:7" s="1" customFormat="1" ht="45">
      <c r="A30" s="1">
        <v>28</v>
      </c>
      <c r="B30" s="1" t="s">
        <v>402</v>
      </c>
      <c r="C30" s="1">
        <v>8</v>
      </c>
      <c r="D30" s="1" t="s">
        <v>242</v>
      </c>
      <c r="F30" s="1" t="s">
        <v>4018</v>
      </c>
      <c r="G30" s="1" t="s">
        <v>4019</v>
      </c>
    </row>
    <row r="31" spans="1:7" s="1" customFormat="1">
      <c r="A31" s="1">
        <v>29</v>
      </c>
      <c r="B31" s="1" t="s">
        <v>403</v>
      </c>
      <c r="C31" s="1">
        <v>3</v>
      </c>
      <c r="D31" s="1" t="s">
        <v>242</v>
      </c>
      <c r="F31" s="1" t="s">
        <v>4020</v>
      </c>
      <c r="G31" s="1" t="s">
        <v>4021</v>
      </c>
    </row>
    <row r="32" spans="1:7" s="1" customFormat="1" ht="60">
      <c r="A32" s="1">
        <v>30</v>
      </c>
      <c r="B32" s="1" t="s">
        <v>404</v>
      </c>
      <c r="C32" s="1">
        <v>1</v>
      </c>
      <c r="D32" s="1" t="s">
        <v>242</v>
      </c>
      <c r="F32" s="1" t="s">
        <v>4022</v>
      </c>
      <c r="G32" s="1" t="s">
        <v>4023</v>
      </c>
    </row>
    <row r="33" spans="1:7" s="1" customFormat="1" ht="60">
      <c r="A33" s="1">
        <v>31</v>
      </c>
      <c r="B33" s="1" t="s">
        <v>405</v>
      </c>
      <c r="C33" s="1">
        <v>4</v>
      </c>
      <c r="D33" s="1" t="s">
        <v>242</v>
      </c>
      <c r="F33" s="1" t="s">
        <v>4024</v>
      </c>
      <c r="G33" s="1" t="s">
        <v>4025</v>
      </c>
    </row>
    <row r="34" spans="1:7" s="1" customFormat="1" ht="90">
      <c r="A34" s="1">
        <v>32</v>
      </c>
      <c r="B34" s="1" t="s">
        <v>406</v>
      </c>
      <c r="C34" s="1">
        <v>1</v>
      </c>
      <c r="D34" s="1" t="s">
        <v>242</v>
      </c>
      <c r="F34" s="1" t="s">
        <v>4026</v>
      </c>
      <c r="G34" s="1" t="s">
        <v>4027</v>
      </c>
    </row>
    <row r="35" spans="1:7" s="1" customFormat="1" ht="105">
      <c r="A35" s="1">
        <v>33</v>
      </c>
      <c r="B35" s="1" t="s">
        <v>407</v>
      </c>
      <c r="C35" s="1">
        <v>1</v>
      </c>
      <c r="D35" s="1" t="s">
        <v>242</v>
      </c>
      <c r="F35" s="1" t="s">
        <v>4028</v>
      </c>
      <c r="G35" s="1" t="s">
        <v>4029</v>
      </c>
    </row>
    <row r="36" spans="1:7" s="1" customFormat="1" ht="120">
      <c r="A36" s="1">
        <v>34</v>
      </c>
      <c r="B36" s="1" t="s">
        <v>408</v>
      </c>
      <c r="C36" s="1">
        <v>6</v>
      </c>
      <c r="D36" s="1" t="s">
        <v>242</v>
      </c>
      <c r="F36" s="1" t="s">
        <v>4030</v>
      </c>
      <c r="G36" s="1" t="s">
        <v>4765</v>
      </c>
    </row>
    <row r="37" spans="1:7" s="1" customFormat="1" ht="30">
      <c r="A37" s="1">
        <v>35</v>
      </c>
      <c r="B37" s="1" t="s">
        <v>409</v>
      </c>
      <c r="C37" s="1">
        <v>8</v>
      </c>
      <c r="D37" s="1" t="s">
        <v>160</v>
      </c>
      <c r="E37" s="1" t="s">
        <v>177</v>
      </c>
      <c r="F37" s="1" t="s">
        <v>4031</v>
      </c>
      <c r="G37" s="1" t="s">
        <v>4032</v>
      </c>
    </row>
    <row r="38" spans="1:7" s="1" customFormat="1" ht="45">
      <c r="A38" s="1">
        <v>36</v>
      </c>
      <c r="B38" s="1" t="s">
        <v>410</v>
      </c>
      <c r="C38" s="1">
        <v>8</v>
      </c>
      <c r="D38" s="1" t="s">
        <v>160</v>
      </c>
      <c r="E38" s="1" t="s">
        <v>177</v>
      </c>
      <c r="F38" s="1" t="s">
        <v>4033</v>
      </c>
      <c r="G38" s="1" t="s">
        <v>4034</v>
      </c>
    </row>
    <row r="39" spans="1:7" s="1" customFormat="1" ht="45">
      <c r="A39" s="1">
        <v>37</v>
      </c>
      <c r="B39" s="1" t="s">
        <v>411</v>
      </c>
      <c r="C39" s="1">
        <v>7</v>
      </c>
      <c r="D39" s="1" t="s">
        <v>242</v>
      </c>
      <c r="F39" s="1" t="s">
        <v>4035</v>
      </c>
      <c r="G39" s="1" t="s">
        <v>4036</v>
      </c>
    </row>
    <row r="40" spans="1:7" s="1" customFormat="1" ht="75">
      <c r="A40" s="1">
        <v>38</v>
      </c>
      <c r="B40" s="1" t="s">
        <v>412</v>
      </c>
      <c r="C40" s="1">
        <v>1</v>
      </c>
      <c r="D40" s="1" t="s">
        <v>242</v>
      </c>
      <c r="F40" s="1" t="s">
        <v>4037</v>
      </c>
      <c r="G40" s="1" t="s">
        <v>4038</v>
      </c>
    </row>
    <row r="41" spans="1:7" s="1" customFormat="1" ht="75">
      <c r="A41" s="1">
        <v>39</v>
      </c>
      <c r="B41" s="1" t="s">
        <v>413</v>
      </c>
      <c r="C41" s="1">
        <v>7</v>
      </c>
      <c r="D41" s="1" t="s">
        <v>242</v>
      </c>
      <c r="F41" s="1" t="s">
        <v>4039</v>
      </c>
      <c r="G41" s="1" t="s">
        <v>4040</v>
      </c>
    </row>
    <row r="42" spans="1:7" s="1" customFormat="1" ht="90">
      <c r="A42" s="1">
        <v>40</v>
      </c>
      <c r="B42" s="1" t="s">
        <v>414</v>
      </c>
      <c r="C42" s="1">
        <v>1</v>
      </c>
      <c r="D42" s="1" t="s">
        <v>242</v>
      </c>
      <c r="F42" s="1" t="s">
        <v>4041</v>
      </c>
      <c r="G42" s="1" t="s">
        <v>4042</v>
      </c>
    </row>
    <row r="43" spans="1:7" s="1" customFormat="1" ht="45">
      <c r="A43" s="1">
        <v>41</v>
      </c>
      <c r="B43" s="1" t="s">
        <v>415</v>
      </c>
      <c r="C43" s="1">
        <v>7</v>
      </c>
      <c r="D43" s="1" t="s">
        <v>242</v>
      </c>
      <c r="F43" s="1" t="s">
        <v>4043</v>
      </c>
      <c r="G43" s="1" t="s">
        <v>4044</v>
      </c>
    </row>
    <row r="44" spans="1:7" s="1" customFormat="1" ht="45">
      <c r="A44" s="1">
        <v>42</v>
      </c>
      <c r="B44" s="1" t="s">
        <v>416</v>
      </c>
      <c r="C44" s="1">
        <v>1</v>
      </c>
      <c r="D44" s="1" t="s">
        <v>242</v>
      </c>
      <c r="F44" s="1" t="s">
        <v>4045</v>
      </c>
      <c r="G44" s="1" t="s">
        <v>4046</v>
      </c>
    </row>
    <row r="45" spans="1:7" s="1" customFormat="1" ht="75">
      <c r="A45" s="1">
        <v>43</v>
      </c>
      <c r="B45" s="1" t="s">
        <v>417</v>
      </c>
      <c r="C45" s="1">
        <v>7</v>
      </c>
      <c r="D45" s="1" t="s">
        <v>242</v>
      </c>
      <c r="F45" s="1" t="s">
        <v>4047</v>
      </c>
      <c r="G45" s="1" t="s">
        <v>4048</v>
      </c>
    </row>
    <row r="46" spans="1:7" s="1" customFormat="1" ht="30">
      <c r="A46" s="1">
        <v>44</v>
      </c>
      <c r="B46" s="1" t="s">
        <v>418</v>
      </c>
      <c r="C46" s="1">
        <v>1</v>
      </c>
      <c r="D46" s="1" t="s">
        <v>242</v>
      </c>
      <c r="F46" s="1" t="s">
        <v>4049</v>
      </c>
    </row>
    <row r="47" spans="1:7" s="1" customFormat="1" ht="75">
      <c r="A47" s="1">
        <v>45</v>
      </c>
      <c r="B47" s="1" t="s">
        <v>419</v>
      </c>
      <c r="C47" s="1">
        <v>2</v>
      </c>
      <c r="D47" s="1" t="s">
        <v>242</v>
      </c>
      <c r="F47" s="1" t="s">
        <v>4050</v>
      </c>
      <c r="G47" s="1" t="s">
        <v>4051</v>
      </c>
    </row>
    <row r="48" spans="1:7" s="1" customFormat="1" ht="30">
      <c r="A48" s="1">
        <v>46</v>
      </c>
      <c r="B48" s="1" t="s">
        <v>352</v>
      </c>
      <c r="C48" s="1">
        <v>2</v>
      </c>
      <c r="D48" s="1" t="s">
        <v>242</v>
      </c>
      <c r="F48" s="1" t="s">
        <v>4052</v>
      </c>
      <c r="G48" s="1" t="s">
        <v>4766</v>
      </c>
    </row>
    <row r="49" spans="1:9" s="1" customFormat="1">
      <c r="A49" s="1">
        <v>47</v>
      </c>
      <c r="B49" s="1" t="s">
        <v>128</v>
      </c>
      <c r="C49" s="1">
        <v>3</v>
      </c>
      <c r="D49" s="1" t="s">
        <v>242</v>
      </c>
      <c r="F49" s="1" t="s">
        <v>2113</v>
      </c>
      <c r="G49" s="1" t="s">
        <v>4767</v>
      </c>
    </row>
    <row r="50" spans="1:9" s="1" customFormat="1" ht="30">
      <c r="A50" s="1">
        <v>48</v>
      </c>
      <c r="B50" s="1" t="s">
        <v>353</v>
      </c>
      <c r="C50" s="1">
        <v>2</v>
      </c>
      <c r="D50" s="1" t="s">
        <v>242</v>
      </c>
      <c r="F50" s="1" t="s">
        <v>4053</v>
      </c>
      <c r="G50" s="1" t="s">
        <v>4768</v>
      </c>
    </row>
    <row r="51" spans="1:9" s="1" customFormat="1" ht="30">
      <c r="A51" s="1">
        <v>49</v>
      </c>
      <c r="B51" s="1" t="s">
        <v>127</v>
      </c>
      <c r="C51" s="1">
        <v>3</v>
      </c>
      <c r="D51" s="1" t="s">
        <v>242</v>
      </c>
      <c r="F51" s="1" t="s">
        <v>2103</v>
      </c>
      <c r="G51" s="1" t="s">
        <v>4769</v>
      </c>
    </row>
    <row r="52" spans="1:9" s="1" customFormat="1" ht="30">
      <c r="A52" s="1">
        <v>50</v>
      </c>
      <c r="B52" s="1" t="s">
        <v>420</v>
      </c>
      <c r="C52" s="1">
        <v>2</v>
      </c>
      <c r="D52" s="1" t="s">
        <v>242</v>
      </c>
      <c r="F52" s="1" t="s">
        <v>4054</v>
      </c>
      <c r="G52" s="1" t="s">
        <v>4770</v>
      </c>
    </row>
    <row r="53" spans="1:9" s="1" customFormat="1" ht="30">
      <c r="A53" s="1">
        <v>51</v>
      </c>
      <c r="B53" s="1" t="s">
        <v>78</v>
      </c>
      <c r="C53" s="1">
        <v>4</v>
      </c>
      <c r="D53" s="1" t="s">
        <v>242</v>
      </c>
      <c r="F53" s="1" t="s">
        <v>1707</v>
      </c>
      <c r="G53" s="1" t="s">
        <v>4771</v>
      </c>
      <c r="I53" s="1" t="s">
        <v>5386</v>
      </c>
    </row>
    <row r="54" spans="1:9" s="1" customFormat="1" ht="30">
      <c r="A54" s="1">
        <v>52</v>
      </c>
      <c r="B54" s="1" t="s">
        <v>421</v>
      </c>
      <c r="C54" s="1">
        <v>4</v>
      </c>
      <c r="D54" s="1" t="s">
        <v>242</v>
      </c>
      <c r="F54" s="1" t="s">
        <v>2166</v>
      </c>
      <c r="G54" s="1" t="s">
        <v>4772</v>
      </c>
    </row>
    <row r="55" spans="1:9" s="1" customFormat="1" ht="30">
      <c r="A55" s="1">
        <v>53</v>
      </c>
      <c r="B55" s="1" t="s">
        <v>133</v>
      </c>
      <c r="C55" s="1">
        <v>2</v>
      </c>
      <c r="D55" s="1" t="s">
        <v>242</v>
      </c>
      <c r="F55" s="1" t="s">
        <v>2078</v>
      </c>
      <c r="G55" s="1" t="s">
        <v>4773</v>
      </c>
    </row>
    <row r="56" spans="1:9" s="1" customFormat="1" ht="30">
      <c r="A56" s="1">
        <v>54</v>
      </c>
      <c r="B56" s="1" t="s">
        <v>354</v>
      </c>
      <c r="C56" s="1">
        <v>1</v>
      </c>
      <c r="D56" s="1" t="s">
        <v>242</v>
      </c>
      <c r="F56" s="1" t="s">
        <v>4055</v>
      </c>
      <c r="G56" s="1" t="s">
        <v>4774</v>
      </c>
    </row>
    <row r="57" spans="1:9" s="1" customFormat="1" ht="30">
      <c r="A57" s="1">
        <v>55</v>
      </c>
      <c r="B57" s="1" t="s">
        <v>355</v>
      </c>
      <c r="C57" s="1">
        <v>1</v>
      </c>
      <c r="D57" s="1" t="s">
        <v>242</v>
      </c>
      <c r="F57" s="1" t="s">
        <v>4056</v>
      </c>
      <c r="G57" s="1" t="s">
        <v>4775</v>
      </c>
    </row>
    <row r="58" spans="1:9" s="1" customFormat="1" ht="30">
      <c r="A58" s="1">
        <v>56</v>
      </c>
      <c r="B58" s="1" t="s">
        <v>356</v>
      </c>
      <c r="C58" s="1">
        <v>1</v>
      </c>
      <c r="D58" s="1" t="s">
        <v>242</v>
      </c>
      <c r="F58" s="1" t="s">
        <v>4057</v>
      </c>
      <c r="G58" s="1" t="s">
        <v>4776</v>
      </c>
    </row>
    <row r="59" spans="1:9" s="1" customFormat="1" ht="30">
      <c r="A59" s="1">
        <v>57</v>
      </c>
      <c r="B59" s="1" t="s">
        <v>357</v>
      </c>
      <c r="C59" s="1">
        <v>1</v>
      </c>
      <c r="D59" s="1" t="s">
        <v>242</v>
      </c>
      <c r="F59" s="1" t="s">
        <v>4058</v>
      </c>
      <c r="G59" s="1" t="s">
        <v>4777</v>
      </c>
    </row>
    <row r="60" spans="1:9" s="1" customFormat="1" ht="30">
      <c r="A60" s="1">
        <v>58</v>
      </c>
      <c r="B60" s="1" t="s">
        <v>358</v>
      </c>
      <c r="C60" s="1">
        <v>1</v>
      </c>
      <c r="D60" s="1" t="s">
        <v>242</v>
      </c>
      <c r="F60" s="1" t="s">
        <v>4059</v>
      </c>
      <c r="G60" s="1" t="s">
        <v>4778</v>
      </c>
    </row>
    <row r="61" spans="1:9" s="1" customFormat="1" ht="30">
      <c r="A61" s="1">
        <v>59</v>
      </c>
      <c r="B61" s="1" t="s">
        <v>211</v>
      </c>
      <c r="C61" s="1">
        <v>5</v>
      </c>
      <c r="D61" s="1" t="s">
        <v>242</v>
      </c>
      <c r="F61" s="1" t="s">
        <v>4060</v>
      </c>
      <c r="G61" s="1" t="s">
        <v>4779</v>
      </c>
    </row>
    <row r="62" spans="1:9" s="1" customFormat="1" ht="30">
      <c r="A62" s="1">
        <v>60</v>
      </c>
      <c r="B62" s="1" t="s">
        <v>359</v>
      </c>
      <c r="C62" s="1">
        <v>2</v>
      </c>
      <c r="D62" s="1" t="s">
        <v>242</v>
      </c>
      <c r="F62" s="1" t="s">
        <v>1742</v>
      </c>
      <c r="G62" s="1" t="s">
        <v>4780</v>
      </c>
    </row>
    <row r="63" spans="1:9" s="1" customFormat="1">
      <c r="A63" s="1">
        <v>61</v>
      </c>
      <c r="B63" s="1" t="s">
        <v>360</v>
      </c>
      <c r="C63" s="1">
        <v>7</v>
      </c>
      <c r="D63" s="1" t="s">
        <v>242</v>
      </c>
      <c r="F63" s="1" t="s">
        <v>1743</v>
      </c>
      <c r="G63" s="1" t="s">
        <v>4781</v>
      </c>
    </row>
    <row r="64" spans="1:9" s="1" customFormat="1" ht="30">
      <c r="A64" s="1">
        <v>62</v>
      </c>
      <c r="B64" s="1" t="s">
        <v>361</v>
      </c>
      <c r="C64" s="1">
        <v>4</v>
      </c>
      <c r="D64" s="1" t="s">
        <v>242</v>
      </c>
      <c r="F64" s="1" t="s">
        <v>1744</v>
      </c>
      <c r="G64" s="1" t="s">
        <v>4782</v>
      </c>
    </row>
    <row r="65" spans="1:7" s="1" customFormat="1" ht="30">
      <c r="A65" s="1">
        <v>63</v>
      </c>
      <c r="B65" s="1" t="s">
        <v>362</v>
      </c>
      <c r="C65" s="1">
        <v>2</v>
      </c>
      <c r="D65" s="1" t="s">
        <v>242</v>
      </c>
      <c r="F65" s="1" t="s">
        <v>1739</v>
      </c>
      <c r="G65" s="1" t="s">
        <v>4783</v>
      </c>
    </row>
    <row r="66" spans="1:7" s="1" customFormat="1" ht="30">
      <c r="A66" s="1">
        <v>64</v>
      </c>
      <c r="B66" s="1" t="s">
        <v>363</v>
      </c>
      <c r="C66" s="1">
        <v>7</v>
      </c>
      <c r="D66" s="1" t="s">
        <v>242</v>
      </c>
      <c r="F66" s="1" t="s">
        <v>1740</v>
      </c>
      <c r="G66" s="1" t="s">
        <v>2893</v>
      </c>
    </row>
    <row r="67" spans="1:7" s="1" customFormat="1" ht="30">
      <c r="A67" s="1">
        <v>65</v>
      </c>
      <c r="B67" s="1" t="s">
        <v>364</v>
      </c>
      <c r="C67" s="1">
        <v>4</v>
      </c>
      <c r="D67" s="1" t="s">
        <v>242</v>
      </c>
      <c r="F67" s="1" t="s">
        <v>1741</v>
      </c>
      <c r="G67" s="1" t="s">
        <v>4784</v>
      </c>
    </row>
    <row r="68" spans="1:7" s="1" customFormat="1" ht="30">
      <c r="A68" s="1">
        <v>66</v>
      </c>
      <c r="B68" s="1" t="s">
        <v>37</v>
      </c>
      <c r="C68" s="1">
        <v>1</v>
      </c>
      <c r="D68" s="1" t="s">
        <v>242</v>
      </c>
      <c r="F68" s="1" t="s">
        <v>4061</v>
      </c>
      <c r="G68" s="1" t="s">
        <v>4785</v>
      </c>
    </row>
    <row r="69" spans="1:7" s="1" customFormat="1" ht="30">
      <c r="A69" s="1">
        <v>67</v>
      </c>
      <c r="B69" s="1" t="s">
        <v>365</v>
      </c>
      <c r="C69" s="1">
        <v>3</v>
      </c>
      <c r="D69" s="1" t="s">
        <v>242</v>
      </c>
      <c r="F69" s="1" t="s">
        <v>4062</v>
      </c>
      <c r="G69" s="1" t="s">
        <v>4786</v>
      </c>
    </row>
    <row r="70" spans="1:7" s="1" customFormat="1" ht="30">
      <c r="A70" s="1">
        <v>68</v>
      </c>
      <c r="B70" s="1" t="s">
        <v>366</v>
      </c>
      <c r="C70" s="1">
        <v>1</v>
      </c>
      <c r="D70" s="1" t="s">
        <v>242</v>
      </c>
      <c r="F70" s="1" t="s">
        <v>4063</v>
      </c>
      <c r="G70" s="1" t="s">
        <v>4787</v>
      </c>
    </row>
    <row r="71" spans="1:7" s="1" customFormat="1" ht="30">
      <c r="A71" s="1">
        <v>69</v>
      </c>
      <c r="B71" s="1" t="s">
        <v>12</v>
      </c>
      <c r="C71" s="1">
        <v>1</v>
      </c>
      <c r="D71" s="1" t="s">
        <v>242</v>
      </c>
      <c r="F71" s="1" t="s">
        <v>4064</v>
      </c>
      <c r="G71" s="1" t="s">
        <v>4788</v>
      </c>
    </row>
    <row r="72" spans="1:7" s="1" customFormat="1" ht="30">
      <c r="A72" s="1">
        <v>70</v>
      </c>
      <c r="B72" s="1" t="s">
        <v>367</v>
      </c>
      <c r="C72" s="1">
        <v>1</v>
      </c>
      <c r="D72" s="1" t="s">
        <v>242</v>
      </c>
      <c r="F72" s="1" t="s">
        <v>4065</v>
      </c>
      <c r="G72" s="1" t="s">
        <v>4789</v>
      </c>
    </row>
    <row r="73" spans="1:7" s="1" customFormat="1" ht="30">
      <c r="A73" s="1">
        <v>71</v>
      </c>
      <c r="B73" s="1" t="s">
        <v>368</v>
      </c>
      <c r="C73" s="1">
        <v>2</v>
      </c>
      <c r="D73" s="1" t="s">
        <v>242</v>
      </c>
      <c r="F73" s="1" t="s">
        <v>4066</v>
      </c>
      <c r="G73" s="1" t="s">
        <v>4790</v>
      </c>
    </row>
    <row r="74" spans="1:7" s="1" customFormat="1" ht="30">
      <c r="A74" s="1">
        <v>72</v>
      </c>
      <c r="B74" s="1" t="s">
        <v>369</v>
      </c>
      <c r="C74" s="1">
        <v>8</v>
      </c>
      <c r="D74" s="1" t="s">
        <v>160</v>
      </c>
      <c r="E74" s="1" t="s">
        <v>177</v>
      </c>
      <c r="F74" s="1" t="s">
        <v>4067</v>
      </c>
      <c r="G74" s="1" t="s">
        <v>4791</v>
      </c>
    </row>
    <row r="75" spans="1:7" s="1" customFormat="1" ht="30">
      <c r="A75" s="1">
        <v>73</v>
      </c>
      <c r="B75" s="1" t="s">
        <v>370</v>
      </c>
      <c r="C75" s="1">
        <v>1</v>
      </c>
      <c r="D75" s="1" t="s">
        <v>242</v>
      </c>
      <c r="F75" s="1" t="s">
        <v>4068</v>
      </c>
      <c r="G75" s="1" t="s">
        <v>4792</v>
      </c>
    </row>
    <row r="76" spans="1:7" s="1" customFormat="1" ht="30">
      <c r="A76" s="1">
        <v>74</v>
      </c>
      <c r="B76" s="1" t="s">
        <v>371</v>
      </c>
      <c r="C76" s="1">
        <v>1</v>
      </c>
      <c r="D76" s="1" t="s">
        <v>242</v>
      </c>
      <c r="F76" s="1" t="s">
        <v>4069</v>
      </c>
      <c r="G76" s="1" t="s">
        <v>4793</v>
      </c>
    </row>
    <row r="77" spans="1:7" s="1" customFormat="1" ht="30">
      <c r="A77" s="1">
        <v>75</v>
      </c>
      <c r="B77" s="1" t="s">
        <v>372</v>
      </c>
      <c r="C77" s="1">
        <v>7</v>
      </c>
      <c r="D77" s="1" t="s">
        <v>242</v>
      </c>
      <c r="F77" s="1" t="s">
        <v>4070</v>
      </c>
      <c r="G77" s="1" t="s">
        <v>4794</v>
      </c>
    </row>
    <row r="78" spans="1:7" s="1" customFormat="1" ht="30">
      <c r="A78" s="1">
        <v>76</v>
      </c>
      <c r="B78" s="1" t="s">
        <v>373</v>
      </c>
      <c r="C78" s="1">
        <v>1</v>
      </c>
      <c r="D78" s="1" t="s">
        <v>242</v>
      </c>
      <c r="F78" s="1" t="s">
        <v>4071</v>
      </c>
      <c r="G78" s="1" t="s">
        <v>4795</v>
      </c>
    </row>
    <row r="79" spans="1:7" s="1" customFormat="1" ht="30">
      <c r="A79" s="1">
        <v>77</v>
      </c>
      <c r="B79" s="1" t="s">
        <v>374</v>
      </c>
      <c r="C79" s="1">
        <v>7</v>
      </c>
      <c r="D79" s="1" t="s">
        <v>242</v>
      </c>
      <c r="F79" s="1" t="s">
        <v>4072</v>
      </c>
      <c r="G79" s="1" t="s">
        <v>4796</v>
      </c>
    </row>
    <row r="80" spans="1:7" s="1" customFormat="1" ht="30">
      <c r="A80" s="1">
        <v>78</v>
      </c>
      <c r="B80" s="1" t="s">
        <v>375</v>
      </c>
      <c r="C80" s="1">
        <v>4</v>
      </c>
      <c r="D80" s="1" t="s">
        <v>242</v>
      </c>
      <c r="F80" s="1" t="s">
        <v>4073</v>
      </c>
      <c r="G80" s="1" t="s">
        <v>4797</v>
      </c>
    </row>
    <row r="81" spans="1:7" s="1" customFormat="1" ht="30">
      <c r="A81" s="1">
        <v>79</v>
      </c>
      <c r="B81" s="1" t="s">
        <v>376</v>
      </c>
      <c r="C81" s="1">
        <v>3</v>
      </c>
      <c r="D81" s="1" t="s">
        <v>242</v>
      </c>
      <c r="F81" s="1" t="s">
        <v>4074</v>
      </c>
      <c r="G81" s="1" t="s">
        <v>4798</v>
      </c>
    </row>
    <row r="82" spans="1:7" s="1" customFormat="1" ht="30">
      <c r="A82" s="1">
        <v>80</v>
      </c>
      <c r="B82" s="1" t="s">
        <v>377</v>
      </c>
      <c r="C82" s="1">
        <v>7</v>
      </c>
      <c r="D82" s="1" t="s">
        <v>242</v>
      </c>
      <c r="F82" s="1" t="s">
        <v>4075</v>
      </c>
      <c r="G82" s="1" t="s">
        <v>4799</v>
      </c>
    </row>
    <row r="83" spans="1:7" s="1" customFormat="1" ht="30">
      <c r="A83" s="1">
        <v>81</v>
      </c>
      <c r="B83" s="1" t="s">
        <v>39</v>
      </c>
      <c r="C83" s="1">
        <v>1</v>
      </c>
      <c r="D83" s="1" t="s">
        <v>242</v>
      </c>
      <c r="F83" s="1" t="s">
        <v>4076</v>
      </c>
      <c r="G83" s="1" t="s">
        <v>4800</v>
      </c>
    </row>
    <row r="84" spans="1:7" s="1" customFormat="1" ht="30">
      <c r="A84" s="1">
        <v>82</v>
      </c>
      <c r="B84" s="1" t="s">
        <v>40</v>
      </c>
      <c r="C84" s="1">
        <v>1</v>
      </c>
      <c r="D84" s="1" t="s">
        <v>242</v>
      </c>
      <c r="F84" s="1" t="s">
        <v>2201</v>
      </c>
      <c r="G84" s="1" t="s">
        <v>4801</v>
      </c>
    </row>
    <row r="85" spans="1:7" s="1" customFormat="1" ht="30">
      <c r="A85" s="1">
        <v>83</v>
      </c>
      <c r="B85" s="1" t="s">
        <v>42</v>
      </c>
      <c r="C85" s="1">
        <v>1</v>
      </c>
      <c r="D85" s="1" t="s">
        <v>242</v>
      </c>
      <c r="F85" s="1" t="s">
        <v>2204</v>
      </c>
      <c r="G85" s="1" t="s">
        <v>4802</v>
      </c>
    </row>
    <row r="86" spans="1:7" s="1" customFormat="1" ht="45">
      <c r="A86" s="1">
        <v>84</v>
      </c>
      <c r="B86" s="1" t="s">
        <v>41</v>
      </c>
      <c r="C86" s="1">
        <v>1</v>
      </c>
      <c r="D86" s="1" t="s">
        <v>242</v>
      </c>
      <c r="F86" s="1" t="s">
        <v>2203</v>
      </c>
      <c r="G86" s="1" t="s">
        <v>4803</v>
      </c>
    </row>
    <row r="87" spans="1:7" s="1" customFormat="1" ht="30">
      <c r="A87" s="1">
        <v>85</v>
      </c>
      <c r="B87" s="1" t="s">
        <v>378</v>
      </c>
      <c r="C87" s="1">
        <v>1</v>
      </c>
      <c r="D87" s="1" t="s">
        <v>242</v>
      </c>
      <c r="F87" s="1" t="s">
        <v>4077</v>
      </c>
      <c r="G87" s="1" t="s">
        <v>4804</v>
      </c>
    </row>
    <row r="88" spans="1:7" s="1" customFormat="1">
      <c r="A88" s="1">
        <v>86</v>
      </c>
      <c r="B88" s="1" t="s">
        <v>379</v>
      </c>
      <c r="C88" s="1">
        <v>1</v>
      </c>
      <c r="D88" s="1" t="s">
        <v>242</v>
      </c>
      <c r="F88" s="1" t="s">
        <v>4078</v>
      </c>
      <c r="G88" s="1" t="s">
        <v>4079</v>
      </c>
    </row>
    <row r="89" spans="1:7" s="1" customFormat="1" ht="75">
      <c r="A89" s="1">
        <v>87</v>
      </c>
      <c r="B89" s="1" t="s">
        <v>821</v>
      </c>
      <c r="C89" s="1">
        <v>15</v>
      </c>
      <c r="D89" s="1" t="s">
        <v>189</v>
      </c>
      <c r="F89" s="1" t="s">
        <v>4080</v>
      </c>
      <c r="G89" s="1" t="s">
        <v>4081</v>
      </c>
    </row>
    <row r="90" spans="1:7" s="1" customFormat="1" ht="30">
      <c r="A90" s="1">
        <v>88</v>
      </c>
      <c r="B90" s="1" t="s">
        <v>822</v>
      </c>
      <c r="C90" s="1">
        <v>15</v>
      </c>
      <c r="D90" s="1" t="s">
        <v>189</v>
      </c>
      <c r="F90" s="1" t="s">
        <v>4082</v>
      </c>
      <c r="G90" s="1" t="s">
        <v>4083</v>
      </c>
    </row>
    <row r="91" spans="1:7" s="1" customFormat="1" ht="75">
      <c r="A91" s="1">
        <v>89</v>
      </c>
      <c r="B91" s="1" t="s">
        <v>823</v>
      </c>
      <c r="C91" s="1">
        <v>15</v>
      </c>
      <c r="D91" s="1" t="s">
        <v>189</v>
      </c>
      <c r="F91" s="1" t="s">
        <v>4084</v>
      </c>
      <c r="G91" s="1" t="s">
        <v>4081</v>
      </c>
    </row>
    <row r="92" spans="1:7" s="1" customFormat="1" ht="30">
      <c r="A92" s="1">
        <v>90</v>
      </c>
      <c r="B92" s="1" t="s">
        <v>824</v>
      </c>
      <c r="C92" s="1">
        <v>15</v>
      </c>
      <c r="D92" s="1" t="s">
        <v>189</v>
      </c>
      <c r="F92" s="1" t="s">
        <v>4085</v>
      </c>
      <c r="G92" s="1" t="s">
        <v>4083</v>
      </c>
    </row>
    <row r="93" spans="1:7" s="1" customFormat="1" ht="75">
      <c r="A93" s="1">
        <v>91</v>
      </c>
      <c r="B93" s="1" t="s">
        <v>825</v>
      </c>
      <c r="C93" s="1">
        <v>15</v>
      </c>
      <c r="D93" s="1" t="s">
        <v>189</v>
      </c>
      <c r="F93" s="1" t="s">
        <v>4086</v>
      </c>
      <c r="G93" s="1" t="s">
        <v>4081</v>
      </c>
    </row>
    <row r="94" spans="1:7" s="1" customFormat="1" ht="30">
      <c r="A94" s="1">
        <v>92</v>
      </c>
      <c r="B94" s="1" t="s">
        <v>826</v>
      </c>
      <c r="C94" s="1">
        <v>15</v>
      </c>
      <c r="D94" s="1" t="s">
        <v>189</v>
      </c>
      <c r="F94" s="1" t="s">
        <v>4087</v>
      </c>
      <c r="G94" s="1" t="s">
        <v>4083</v>
      </c>
    </row>
    <row r="95" spans="1:7" s="1" customFormat="1" ht="75">
      <c r="A95" s="1">
        <v>93</v>
      </c>
      <c r="B95" s="1" t="s">
        <v>827</v>
      </c>
      <c r="C95" s="1">
        <v>15</v>
      </c>
      <c r="D95" s="1" t="s">
        <v>189</v>
      </c>
      <c r="F95" s="1" t="s">
        <v>4088</v>
      </c>
      <c r="G95" s="1" t="s">
        <v>4081</v>
      </c>
    </row>
    <row r="96" spans="1:7" s="1" customFormat="1" ht="30">
      <c r="A96" s="1">
        <v>94</v>
      </c>
      <c r="B96" s="1" t="s">
        <v>828</v>
      </c>
      <c r="C96" s="1">
        <v>15</v>
      </c>
      <c r="D96" s="1" t="s">
        <v>189</v>
      </c>
      <c r="F96" s="1" t="s">
        <v>4089</v>
      </c>
      <c r="G96" s="1" t="s">
        <v>4083</v>
      </c>
    </row>
    <row r="97" spans="1:7" s="1" customFormat="1" ht="75">
      <c r="A97" s="1">
        <v>95</v>
      </c>
      <c r="B97" s="1" t="s">
        <v>829</v>
      </c>
      <c r="C97" s="1">
        <v>15</v>
      </c>
      <c r="D97" s="1" t="s">
        <v>189</v>
      </c>
      <c r="F97" s="1" t="s">
        <v>4090</v>
      </c>
      <c r="G97" s="1" t="s">
        <v>4081</v>
      </c>
    </row>
    <row r="98" spans="1:7" s="1" customFormat="1" ht="30">
      <c r="A98" s="1">
        <v>96</v>
      </c>
      <c r="B98" s="1" t="s">
        <v>830</v>
      </c>
      <c r="C98" s="1">
        <v>15</v>
      </c>
      <c r="D98" s="1" t="s">
        <v>189</v>
      </c>
      <c r="F98" s="1" t="s">
        <v>4091</v>
      </c>
      <c r="G98" s="1" t="s">
        <v>4083</v>
      </c>
    </row>
    <row r="99" spans="1:7" s="1" customFormat="1" ht="75">
      <c r="A99" s="1">
        <v>97</v>
      </c>
      <c r="B99" s="1" t="s">
        <v>831</v>
      </c>
      <c r="C99" s="1">
        <v>15</v>
      </c>
      <c r="D99" s="1" t="s">
        <v>189</v>
      </c>
      <c r="F99" s="1" t="s">
        <v>4092</v>
      </c>
      <c r="G99" s="1" t="s">
        <v>4081</v>
      </c>
    </row>
    <row r="100" spans="1:7" s="1" customFormat="1" ht="30">
      <c r="A100" s="1">
        <v>98</v>
      </c>
      <c r="B100" s="1" t="s">
        <v>832</v>
      </c>
      <c r="C100" s="1">
        <v>15</v>
      </c>
      <c r="D100" s="1" t="s">
        <v>189</v>
      </c>
      <c r="F100" s="1" t="s">
        <v>4093</v>
      </c>
      <c r="G100" s="1" t="s">
        <v>4083</v>
      </c>
    </row>
    <row r="101" spans="1:7" s="1" customFormat="1" ht="75">
      <c r="A101" s="1">
        <v>99</v>
      </c>
      <c r="B101" s="1" t="s">
        <v>833</v>
      </c>
      <c r="C101" s="1">
        <v>15</v>
      </c>
      <c r="D101" s="1" t="s">
        <v>189</v>
      </c>
      <c r="F101" s="1" t="s">
        <v>4094</v>
      </c>
      <c r="G101" s="1" t="s">
        <v>4081</v>
      </c>
    </row>
    <row r="102" spans="1:7" s="1" customFormat="1" ht="30">
      <c r="A102" s="1">
        <v>100</v>
      </c>
      <c r="B102" s="1" t="s">
        <v>834</v>
      </c>
      <c r="C102" s="1">
        <v>15</v>
      </c>
      <c r="D102" s="1" t="s">
        <v>189</v>
      </c>
      <c r="F102" s="1" t="s">
        <v>4095</v>
      </c>
      <c r="G102" s="1" t="s">
        <v>4083</v>
      </c>
    </row>
    <row r="103" spans="1:7" s="1" customFormat="1" ht="75">
      <c r="A103" s="1">
        <v>101</v>
      </c>
      <c r="B103" s="1" t="s">
        <v>835</v>
      </c>
      <c r="C103" s="1">
        <v>15</v>
      </c>
      <c r="D103" s="1" t="s">
        <v>189</v>
      </c>
      <c r="F103" s="1" t="s">
        <v>4096</v>
      </c>
      <c r="G103" s="1" t="s">
        <v>4081</v>
      </c>
    </row>
    <row r="104" spans="1:7" s="1" customFormat="1" ht="30">
      <c r="A104" s="1">
        <v>102</v>
      </c>
      <c r="B104" s="1" t="s">
        <v>836</v>
      </c>
      <c r="C104" s="1">
        <v>15</v>
      </c>
      <c r="D104" s="1" t="s">
        <v>189</v>
      </c>
      <c r="F104" s="1" t="s">
        <v>4097</v>
      </c>
      <c r="G104" s="1" t="s">
        <v>4083</v>
      </c>
    </row>
    <row r="105" spans="1:7" s="1" customFormat="1" ht="75">
      <c r="A105" s="1">
        <v>103</v>
      </c>
      <c r="B105" s="1" t="s">
        <v>837</v>
      </c>
      <c r="C105" s="1">
        <v>15</v>
      </c>
      <c r="D105" s="1" t="s">
        <v>189</v>
      </c>
      <c r="F105" s="1" t="s">
        <v>4098</v>
      </c>
      <c r="G105" s="1" t="s">
        <v>4081</v>
      </c>
    </row>
    <row r="106" spans="1:7" s="1" customFormat="1" ht="30">
      <c r="A106" s="1">
        <v>104</v>
      </c>
      <c r="B106" s="1" t="s">
        <v>838</v>
      </c>
      <c r="C106" s="1">
        <v>15</v>
      </c>
      <c r="D106" s="1" t="s">
        <v>189</v>
      </c>
      <c r="F106" s="1" t="s">
        <v>4099</v>
      </c>
      <c r="G106" s="1" t="s">
        <v>4083</v>
      </c>
    </row>
    <row r="107" spans="1:7" s="1" customFormat="1" ht="75">
      <c r="A107" s="1">
        <v>105</v>
      </c>
      <c r="B107" s="1" t="s">
        <v>839</v>
      </c>
      <c r="C107" s="1">
        <v>15</v>
      </c>
      <c r="D107" s="1" t="s">
        <v>189</v>
      </c>
      <c r="F107" s="1" t="s">
        <v>4100</v>
      </c>
      <c r="G107" s="1" t="s">
        <v>4081</v>
      </c>
    </row>
    <row r="108" spans="1:7" s="1" customFormat="1" ht="30">
      <c r="A108" s="1">
        <v>106</v>
      </c>
      <c r="B108" s="1" t="s">
        <v>840</v>
      </c>
      <c r="C108" s="1">
        <v>15</v>
      </c>
      <c r="D108" s="1" t="s">
        <v>189</v>
      </c>
      <c r="F108" s="1" t="s">
        <v>4101</v>
      </c>
      <c r="G108" s="1" t="s">
        <v>4083</v>
      </c>
    </row>
    <row r="109" spans="1:7" s="1" customFormat="1" ht="75">
      <c r="A109" s="1">
        <v>107</v>
      </c>
      <c r="B109" s="1" t="s">
        <v>841</v>
      </c>
      <c r="C109" s="1">
        <v>15</v>
      </c>
      <c r="D109" s="1" t="s">
        <v>189</v>
      </c>
      <c r="F109" s="1" t="s">
        <v>4102</v>
      </c>
      <c r="G109" s="1" t="s">
        <v>4081</v>
      </c>
    </row>
    <row r="110" spans="1:7" s="1" customFormat="1" ht="30">
      <c r="A110" s="1">
        <v>108</v>
      </c>
      <c r="B110" s="1" t="s">
        <v>842</v>
      </c>
      <c r="C110" s="1">
        <v>15</v>
      </c>
      <c r="D110" s="1" t="s">
        <v>189</v>
      </c>
      <c r="F110" s="1" t="s">
        <v>4103</v>
      </c>
      <c r="G110" s="1" t="s">
        <v>4083</v>
      </c>
    </row>
    <row r="111" spans="1:7" s="1" customFormat="1" ht="75">
      <c r="A111" s="1">
        <v>109</v>
      </c>
      <c r="B111" s="1" t="s">
        <v>843</v>
      </c>
      <c r="C111" s="1">
        <v>15</v>
      </c>
      <c r="D111" s="1" t="s">
        <v>189</v>
      </c>
      <c r="F111" s="1" t="s">
        <v>4104</v>
      </c>
      <c r="G111" s="1" t="s">
        <v>4081</v>
      </c>
    </row>
    <row r="112" spans="1:7" s="1" customFormat="1" ht="30">
      <c r="A112" s="1">
        <v>110</v>
      </c>
      <c r="B112" s="1" t="s">
        <v>844</v>
      </c>
      <c r="C112" s="1">
        <v>15</v>
      </c>
      <c r="D112" s="1" t="s">
        <v>189</v>
      </c>
      <c r="F112" s="1" t="s">
        <v>4105</v>
      </c>
      <c r="G112" s="1" t="s">
        <v>4083</v>
      </c>
    </row>
    <row r="113" spans="1:7" s="1" customFormat="1" ht="75">
      <c r="A113" s="1">
        <v>111</v>
      </c>
      <c r="B113" s="1" t="s">
        <v>845</v>
      </c>
      <c r="C113" s="1">
        <v>15</v>
      </c>
      <c r="D113" s="1" t="s">
        <v>189</v>
      </c>
      <c r="F113" s="1" t="s">
        <v>4106</v>
      </c>
      <c r="G113" s="1" t="s">
        <v>4081</v>
      </c>
    </row>
    <row r="114" spans="1:7" s="1" customFormat="1" ht="30">
      <c r="A114" s="1">
        <v>112</v>
      </c>
      <c r="B114" s="1" t="s">
        <v>846</v>
      </c>
      <c r="C114" s="1">
        <v>15</v>
      </c>
      <c r="D114" s="1" t="s">
        <v>189</v>
      </c>
      <c r="F114" s="1" t="s">
        <v>4107</v>
      </c>
      <c r="G114" s="1" t="s">
        <v>4083</v>
      </c>
    </row>
    <row r="115" spans="1:7" s="1" customFormat="1" ht="75">
      <c r="A115" s="1">
        <v>113</v>
      </c>
      <c r="B115" s="1" t="s">
        <v>847</v>
      </c>
      <c r="C115" s="1">
        <v>15</v>
      </c>
      <c r="D115" s="1" t="s">
        <v>189</v>
      </c>
      <c r="F115" s="1" t="s">
        <v>4108</v>
      </c>
      <c r="G115" s="1" t="s">
        <v>4081</v>
      </c>
    </row>
    <row r="116" spans="1:7" s="1" customFormat="1" ht="30">
      <c r="A116" s="1">
        <v>114</v>
      </c>
      <c r="B116" s="1" t="s">
        <v>848</v>
      </c>
      <c r="C116" s="1">
        <v>15</v>
      </c>
      <c r="D116" s="1" t="s">
        <v>189</v>
      </c>
      <c r="F116" s="1" t="s">
        <v>4109</v>
      </c>
      <c r="G116" s="1" t="s">
        <v>4083</v>
      </c>
    </row>
    <row r="117" spans="1:7" s="1" customFormat="1" ht="75">
      <c r="A117" s="1">
        <v>115</v>
      </c>
      <c r="B117" s="1" t="s">
        <v>849</v>
      </c>
      <c r="C117" s="1">
        <v>15</v>
      </c>
      <c r="D117" s="1" t="s">
        <v>189</v>
      </c>
      <c r="F117" s="1" t="s">
        <v>4110</v>
      </c>
      <c r="G117" s="1" t="s">
        <v>4081</v>
      </c>
    </row>
    <row r="118" spans="1:7" s="1" customFormat="1" ht="30">
      <c r="A118" s="1">
        <v>116</v>
      </c>
      <c r="B118" s="1" t="s">
        <v>850</v>
      </c>
      <c r="C118" s="1">
        <v>15</v>
      </c>
      <c r="D118" s="1" t="s">
        <v>189</v>
      </c>
      <c r="F118" s="1" t="s">
        <v>4111</v>
      </c>
      <c r="G118" s="1" t="s">
        <v>4083</v>
      </c>
    </row>
    <row r="119" spans="1:7" s="1" customFormat="1" ht="75">
      <c r="A119" s="1">
        <v>117</v>
      </c>
      <c r="B119" s="1" t="s">
        <v>851</v>
      </c>
      <c r="C119" s="1">
        <v>15</v>
      </c>
      <c r="D119" s="1" t="s">
        <v>189</v>
      </c>
      <c r="F119" s="1" t="s">
        <v>4112</v>
      </c>
      <c r="G119" s="1" t="s">
        <v>4081</v>
      </c>
    </row>
    <row r="120" spans="1:7" s="1" customFormat="1" ht="30">
      <c r="A120" s="1">
        <v>118</v>
      </c>
      <c r="B120" s="1" t="s">
        <v>852</v>
      </c>
      <c r="C120" s="1">
        <v>15</v>
      </c>
      <c r="D120" s="1" t="s">
        <v>189</v>
      </c>
      <c r="F120" s="1" t="s">
        <v>4113</v>
      </c>
      <c r="G120" s="1" t="s">
        <v>4083</v>
      </c>
    </row>
    <row r="121" spans="1:7" s="1" customFormat="1" ht="75">
      <c r="A121" s="1">
        <v>119</v>
      </c>
      <c r="B121" s="1" t="s">
        <v>853</v>
      </c>
      <c r="C121" s="1">
        <v>15</v>
      </c>
      <c r="D121" s="1" t="s">
        <v>189</v>
      </c>
      <c r="F121" s="1" t="s">
        <v>4114</v>
      </c>
      <c r="G121" s="1" t="s">
        <v>4081</v>
      </c>
    </row>
    <row r="122" spans="1:7" s="1" customFormat="1" ht="30">
      <c r="A122" s="1">
        <v>120</v>
      </c>
      <c r="B122" s="1" t="s">
        <v>854</v>
      </c>
      <c r="C122" s="1">
        <v>15</v>
      </c>
      <c r="D122" s="1" t="s">
        <v>189</v>
      </c>
      <c r="F122" s="1" t="s">
        <v>4115</v>
      </c>
      <c r="G122" s="1" t="s">
        <v>4083</v>
      </c>
    </row>
    <row r="123" spans="1:7" s="1" customFormat="1" ht="75">
      <c r="A123" s="1">
        <v>121</v>
      </c>
      <c r="B123" s="1" t="s">
        <v>855</v>
      </c>
      <c r="C123" s="1">
        <v>15</v>
      </c>
      <c r="D123" s="1" t="s">
        <v>189</v>
      </c>
      <c r="F123" s="1" t="s">
        <v>4116</v>
      </c>
      <c r="G123" s="1" t="s">
        <v>4081</v>
      </c>
    </row>
    <row r="124" spans="1:7" s="1" customFormat="1" ht="30">
      <c r="A124" s="1">
        <v>122</v>
      </c>
      <c r="B124" s="1" t="s">
        <v>856</v>
      </c>
      <c r="C124" s="1">
        <v>15</v>
      </c>
      <c r="D124" s="1" t="s">
        <v>189</v>
      </c>
      <c r="F124" s="1" t="s">
        <v>4117</v>
      </c>
      <c r="G124" s="1" t="s">
        <v>4083</v>
      </c>
    </row>
    <row r="125" spans="1:7" s="1" customFormat="1" ht="75">
      <c r="A125" s="1">
        <v>123</v>
      </c>
      <c r="B125" s="1" t="s">
        <v>857</v>
      </c>
      <c r="C125" s="1">
        <v>15</v>
      </c>
      <c r="D125" s="1" t="s">
        <v>189</v>
      </c>
      <c r="F125" s="1" t="s">
        <v>4118</v>
      </c>
      <c r="G125" s="1" t="s">
        <v>4081</v>
      </c>
    </row>
    <row r="126" spans="1:7" s="1" customFormat="1" ht="30">
      <c r="A126" s="1">
        <v>124</v>
      </c>
      <c r="B126" s="1" t="s">
        <v>858</v>
      </c>
      <c r="C126" s="1">
        <v>15</v>
      </c>
      <c r="D126" s="1" t="s">
        <v>189</v>
      </c>
      <c r="F126" s="1" t="s">
        <v>4119</v>
      </c>
      <c r="G126" s="1" t="s">
        <v>4083</v>
      </c>
    </row>
    <row r="127" spans="1:7" s="1" customFormat="1" ht="75">
      <c r="A127" s="1">
        <v>125</v>
      </c>
      <c r="B127" s="1" t="s">
        <v>859</v>
      </c>
      <c r="C127" s="1">
        <v>15</v>
      </c>
      <c r="D127" s="1" t="s">
        <v>189</v>
      </c>
      <c r="F127" s="1" t="s">
        <v>4120</v>
      </c>
      <c r="G127" s="1" t="s">
        <v>4081</v>
      </c>
    </row>
    <row r="128" spans="1:7" s="1" customFormat="1" ht="30">
      <c r="A128" s="1">
        <v>126</v>
      </c>
      <c r="B128" s="1" t="s">
        <v>860</v>
      </c>
      <c r="C128" s="1">
        <v>15</v>
      </c>
      <c r="D128" s="1" t="s">
        <v>189</v>
      </c>
      <c r="F128" s="1" t="s">
        <v>4121</v>
      </c>
      <c r="G128" s="1" t="s">
        <v>4083</v>
      </c>
    </row>
    <row r="129" spans="1:7" s="1" customFormat="1" ht="75">
      <c r="A129" s="1">
        <v>127</v>
      </c>
      <c r="B129" s="1" t="s">
        <v>861</v>
      </c>
      <c r="C129" s="1">
        <v>15</v>
      </c>
      <c r="D129" s="1" t="s">
        <v>189</v>
      </c>
      <c r="F129" s="1" t="s">
        <v>4122</v>
      </c>
      <c r="G129" s="1" t="s">
        <v>4081</v>
      </c>
    </row>
    <row r="130" spans="1:7" s="1" customFormat="1" ht="30">
      <c r="A130" s="1">
        <v>128</v>
      </c>
      <c r="B130" s="1" t="s">
        <v>862</v>
      </c>
      <c r="C130" s="1">
        <v>15</v>
      </c>
      <c r="D130" s="1" t="s">
        <v>189</v>
      </c>
      <c r="F130" s="1" t="s">
        <v>4123</v>
      </c>
      <c r="G130" s="1" t="s">
        <v>4083</v>
      </c>
    </row>
    <row r="131" spans="1:7" s="1" customFormat="1" ht="75">
      <c r="A131" s="1">
        <v>129</v>
      </c>
      <c r="B131" s="1" t="s">
        <v>863</v>
      </c>
      <c r="C131" s="1">
        <v>15</v>
      </c>
      <c r="D131" s="1" t="s">
        <v>189</v>
      </c>
      <c r="F131" s="1" t="s">
        <v>4124</v>
      </c>
      <c r="G131" s="1" t="s">
        <v>4081</v>
      </c>
    </row>
    <row r="132" spans="1:7" s="1" customFormat="1" ht="30">
      <c r="A132" s="1">
        <v>130</v>
      </c>
      <c r="B132" s="1" t="s">
        <v>864</v>
      </c>
      <c r="C132" s="1">
        <v>15</v>
      </c>
      <c r="D132" s="1" t="s">
        <v>189</v>
      </c>
      <c r="F132" s="1" t="s">
        <v>4125</v>
      </c>
      <c r="G132" s="1" t="s">
        <v>4083</v>
      </c>
    </row>
    <row r="133" spans="1:7" s="1" customFormat="1" ht="75">
      <c r="A133" s="1">
        <v>131</v>
      </c>
      <c r="B133" s="1" t="s">
        <v>865</v>
      </c>
      <c r="C133" s="1">
        <v>15</v>
      </c>
      <c r="D133" s="1" t="s">
        <v>189</v>
      </c>
      <c r="F133" s="1" t="s">
        <v>4126</v>
      </c>
      <c r="G133" s="1" t="s">
        <v>4081</v>
      </c>
    </row>
    <row r="134" spans="1:7" s="1" customFormat="1" ht="30">
      <c r="A134" s="1">
        <v>132</v>
      </c>
      <c r="B134" s="1" t="s">
        <v>866</v>
      </c>
      <c r="C134" s="1">
        <v>15</v>
      </c>
      <c r="D134" s="1" t="s">
        <v>189</v>
      </c>
      <c r="F134" s="1" t="s">
        <v>4127</v>
      </c>
      <c r="G134" s="1" t="s">
        <v>4083</v>
      </c>
    </row>
    <row r="135" spans="1:7" s="1" customFormat="1" ht="75">
      <c r="A135" s="1">
        <v>133</v>
      </c>
      <c r="B135" s="1" t="s">
        <v>867</v>
      </c>
      <c r="C135" s="1">
        <v>15</v>
      </c>
      <c r="D135" s="1" t="s">
        <v>189</v>
      </c>
      <c r="F135" s="1" t="s">
        <v>4128</v>
      </c>
      <c r="G135" s="1" t="s">
        <v>4081</v>
      </c>
    </row>
    <row r="136" spans="1:7" s="1" customFormat="1" ht="30">
      <c r="A136" s="1">
        <v>134</v>
      </c>
      <c r="B136" s="1" t="s">
        <v>868</v>
      </c>
      <c r="C136" s="1">
        <v>15</v>
      </c>
      <c r="D136" s="1" t="s">
        <v>189</v>
      </c>
      <c r="F136" s="1" t="s">
        <v>4129</v>
      </c>
      <c r="G136" s="1" t="s">
        <v>4083</v>
      </c>
    </row>
    <row r="137" spans="1:7" s="1" customFormat="1" ht="75">
      <c r="A137" s="1">
        <v>135</v>
      </c>
      <c r="B137" s="1" t="s">
        <v>869</v>
      </c>
      <c r="C137" s="1">
        <v>15</v>
      </c>
      <c r="D137" s="1" t="s">
        <v>189</v>
      </c>
      <c r="F137" s="1" t="s">
        <v>4130</v>
      </c>
      <c r="G137" s="1" t="s">
        <v>4081</v>
      </c>
    </row>
    <row r="138" spans="1:7" s="1" customFormat="1" ht="30">
      <c r="A138" s="1">
        <v>136</v>
      </c>
      <c r="B138" s="1" t="s">
        <v>870</v>
      </c>
      <c r="C138" s="1">
        <v>15</v>
      </c>
      <c r="D138" s="1" t="s">
        <v>189</v>
      </c>
      <c r="F138" s="1" t="s">
        <v>4131</v>
      </c>
      <c r="G138" s="1" t="s">
        <v>4083</v>
      </c>
    </row>
    <row r="139" spans="1:7" s="1" customFormat="1" ht="75">
      <c r="A139" s="1">
        <v>137</v>
      </c>
      <c r="B139" s="1" t="s">
        <v>871</v>
      </c>
      <c r="C139" s="1">
        <v>15</v>
      </c>
      <c r="D139" s="1" t="s">
        <v>189</v>
      </c>
      <c r="F139" s="1" t="s">
        <v>4132</v>
      </c>
      <c r="G139" s="1" t="s">
        <v>4081</v>
      </c>
    </row>
    <row r="140" spans="1:7" s="1" customFormat="1" ht="30">
      <c r="A140" s="1">
        <v>138</v>
      </c>
      <c r="B140" s="1" t="s">
        <v>872</v>
      </c>
      <c r="C140" s="1">
        <v>15</v>
      </c>
      <c r="D140" s="1" t="s">
        <v>189</v>
      </c>
      <c r="F140" s="1" t="s">
        <v>4133</v>
      </c>
      <c r="G140" s="1" t="s">
        <v>4083</v>
      </c>
    </row>
    <row r="141" spans="1:7" s="1" customFormat="1" ht="75">
      <c r="A141" s="1">
        <v>139</v>
      </c>
      <c r="B141" s="1" t="s">
        <v>873</v>
      </c>
      <c r="C141" s="1">
        <v>15</v>
      </c>
      <c r="D141" s="1" t="s">
        <v>189</v>
      </c>
      <c r="F141" s="1" t="s">
        <v>4134</v>
      </c>
      <c r="G141" s="1" t="s">
        <v>4081</v>
      </c>
    </row>
    <row r="142" spans="1:7" s="1" customFormat="1" ht="30">
      <c r="A142" s="1">
        <v>140</v>
      </c>
      <c r="B142" s="1" t="s">
        <v>874</v>
      </c>
      <c r="C142" s="1">
        <v>15</v>
      </c>
      <c r="D142" s="1" t="s">
        <v>189</v>
      </c>
      <c r="F142" s="1" t="s">
        <v>4135</v>
      </c>
      <c r="G142" s="1" t="s">
        <v>4083</v>
      </c>
    </row>
    <row r="143" spans="1:7" s="1" customFormat="1" ht="75">
      <c r="A143" s="1">
        <v>141</v>
      </c>
      <c r="B143" s="1" t="s">
        <v>875</v>
      </c>
      <c r="C143" s="1">
        <v>15</v>
      </c>
      <c r="D143" s="1" t="s">
        <v>189</v>
      </c>
      <c r="F143" s="1" t="s">
        <v>4136</v>
      </c>
      <c r="G143" s="1" t="s">
        <v>4081</v>
      </c>
    </row>
    <row r="144" spans="1:7" s="1" customFormat="1" ht="30">
      <c r="A144" s="1">
        <v>142</v>
      </c>
      <c r="B144" s="1" t="s">
        <v>876</v>
      </c>
      <c r="C144" s="1">
        <v>15</v>
      </c>
      <c r="D144" s="1" t="s">
        <v>189</v>
      </c>
      <c r="F144" s="1" t="s">
        <v>4137</v>
      </c>
      <c r="G144" s="1" t="s">
        <v>4083</v>
      </c>
    </row>
    <row r="145" spans="1:7" s="1" customFormat="1" ht="75">
      <c r="A145" s="1">
        <v>143</v>
      </c>
      <c r="B145" s="1" t="s">
        <v>877</v>
      </c>
      <c r="C145" s="1">
        <v>15</v>
      </c>
      <c r="D145" s="1" t="s">
        <v>189</v>
      </c>
      <c r="F145" s="1" t="s">
        <v>4138</v>
      </c>
      <c r="G145" s="1" t="s">
        <v>4081</v>
      </c>
    </row>
    <row r="146" spans="1:7" s="1" customFormat="1" ht="30">
      <c r="A146" s="1">
        <v>144</v>
      </c>
      <c r="B146" s="1" t="s">
        <v>878</v>
      </c>
      <c r="C146" s="1">
        <v>15</v>
      </c>
      <c r="D146" s="1" t="s">
        <v>189</v>
      </c>
      <c r="F146" s="1" t="s">
        <v>4139</v>
      </c>
      <c r="G146" s="1" t="s">
        <v>4083</v>
      </c>
    </row>
    <row r="147" spans="1:7" s="1" customFormat="1" ht="75">
      <c r="A147" s="1">
        <v>145</v>
      </c>
      <c r="B147" s="1" t="s">
        <v>879</v>
      </c>
      <c r="C147" s="1">
        <v>15</v>
      </c>
      <c r="D147" s="1" t="s">
        <v>189</v>
      </c>
      <c r="F147" s="1" t="s">
        <v>4140</v>
      </c>
      <c r="G147" s="1" t="s">
        <v>4081</v>
      </c>
    </row>
    <row r="148" spans="1:7" s="1" customFormat="1" ht="30">
      <c r="A148" s="1">
        <v>146</v>
      </c>
      <c r="B148" s="1" t="s">
        <v>880</v>
      </c>
      <c r="C148" s="1">
        <v>15</v>
      </c>
      <c r="D148" s="1" t="s">
        <v>189</v>
      </c>
      <c r="F148" s="1" t="s">
        <v>4141</v>
      </c>
      <c r="G148" s="1" t="s">
        <v>4083</v>
      </c>
    </row>
    <row r="149" spans="1:7" s="1" customFormat="1" ht="75">
      <c r="A149" s="1">
        <v>147</v>
      </c>
      <c r="B149" s="1" t="s">
        <v>881</v>
      </c>
      <c r="C149" s="1">
        <v>15</v>
      </c>
      <c r="D149" s="1" t="s">
        <v>189</v>
      </c>
      <c r="F149" s="1" t="s">
        <v>4142</v>
      </c>
      <c r="G149" s="1" t="s">
        <v>4081</v>
      </c>
    </row>
    <row r="150" spans="1:7" s="1" customFormat="1" ht="30">
      <c r="A150" s="1">
        <v>148</v>
      </c>
      <c r="B150" s="1" t="s">
        <v>882</v>
      </c>
      <c r="C150" s="1">
        <v>15</v>
      </c>
      <c r="D150" s="1" t="s">
        <v>189</v>
      </c>
      <c r="F150" s="1" t="s">
        <v>4143</v>
      </c>
      <c r="G150" s="1" t="s">
        <v>4083</v>
      </c>
    </row>
    <row r="151" spans="1:7" s="1" customFormat="1" ht="75">
      <c r="A151" s="1">
        <v>149</v>
      </c>
      <c r="B151" s="1" t="s">
        <v>883</v>
      </c>
      <c r="C151" s="1">
        <v>15</v>
      </c>
      <c r="D151" s="1" t="s">
        <v>189</v>
      </c>
      <c r="F151" s="1" t="s">
        <v>4144</v>
      </c>
      <c r="G151" s="1" t="s">
        <v>4081</v>
      </c>
    </row>
    <row r="152" spans="1:7" s="1" customFormat="1" ht="30">
      <c r="A152" s="1">
        <v>150</v>
      </c>
      <c r="B152" s="1" t="s">
        <v>884</v>
      </c>
      <c r="C152" s="1">
        <v>15</v>
      </c>
      <c r="D152" s="1" t="s">
        <v>189</v>
      </c>
      <c r="F152" s="1" t="s">
        <v>4145</v>
      </c>
      <c r="G152" s="1" t="s">
        <v>4083</v>
      </c>
    </row>
    <row r="153" spans="1:7" s="1" customFormat="1" ht="75">
      <c r="A153" s="1">
        <v>151</v>
      </c>
      <c r="B153" s="1" t="s">
        <v>885</v>
      </c>
      <c r="C153" s="1">
        <v>15</v>
      </c>
      <c r="D153" s="1" t="s">
        <v>189</v>
      </c>
      <c r="F153" s="1" t="s">
        <v>4146</v>
      </c>
      <c r="G153" s="1" t="s">
        <v>4081</v>
      </c>
    </row>
    <row r="154" spans="1:7" s="1" customFormat="1" ht="30">
      <c r="A154" s="1">
        <v>152</v>
      </c>
      <c r="B154" s="1" t="s">
        <v>886</v>
      </c>
      <c r="C154" s="1">
        <v>15</v>
      </c>
      <c r="D154" s="1" t="s">
        <v>189</v>
      </c>
      <c r="F154" s="1" t="s">
        <v>4147</v>
      </c>
      <c r="G154" s="1" t="s">
        <v>4083</v>
      </c>
    </row>
    <row r="155" spans="1:7" s="1" customFormat="1" ht="75">
      <c r="A155" s="1">
        <v>153</v>
      </c>
      <c r="B155" s="1" t="s">
        <v>887</v>
      </c>
      <c r="C155" s="1">
        <v>15</v>
      </c>
      <c r="D155" s="1" t="s">
        <v>189</v>
      </c>
      <c r="F155" s="1" t="s">
        <v>4148</v>
      </c>
      <c r="G155" s="1" t="s">
        <v>4081</v>
      </c>
    </row>
    <row r="156" spans="1:7" s="1" customFormat="1" ht="30">
      <c r="A156" s="1">
        <v>154</v>
      </c>
      <c r="B156" s="1" t="s">
        <v>888</v>
      </c>
      <c r="C156" s="1">
        <v>15</v>
      </c>
      <c r="D156" s="1" t="s">
        <v>189</v>
      </c>
      <c r="F156" s="1" t="s">
        <v>4149</v>
      </c>
      <c r="G156" s="1" t="s">
        <v>4083</v>
      </c>
    </row>
    <row r="157" spans="1:7" s="1" customFormat="1" ht="75">
      <c r="A157" s="1">
        <v>155</v>
      </c>
      <c r="B157" s="1" t="s">
        <v>889</v>
      </c>
      <c r="C157" s="1">
        <v>15</v>
      </c>
      <c r="D157" s="1" t="s">
        <v>189</v>
      </c>
      <c r="F157" s="1" t="s">
        <v>4150</v>
      </c>
      <c r="G157" s="1" t="s">
        <v>4081</v>
      </c>
    </row>
    <row r="158" spans="1:7" s="1" customFormat="1" ht="30">
      <c r="A158" s="1">
        <v>156</v>
      </c>
      <c r="B158" s="1" t="s">
        <v>890</v>
      </c>
      <c r="C158" s="1">
        <v>15</v>
      </c>
      <c r="D158" s="1" t="s">
        <v>189</v>
      </c>
      <c r="F158" s="1" t="s">
        <v>4151</v>
      </c>
      <c r="G158" s="1" t="s">
        <v>4083</v>
      </c>
    </row>
    <row r="159" spans="1:7" s="1" customFormat="1" ht="75">
      <c r="A159" s="1">
        <v>157</v>
      </c>
      <c r="B159" s="1" t="s">
        <v>891</v>
      </c>
      <c r="C159" s="1">
        <v>15</v>
      </c>
      <c r="D159" s="1" t="s">
        <v>189</v>
      </c>
      <c r="F159" s="1" t="s">
        <v>4152</v>
      </c>
      <c r="G159" s="1" t="s">
        <v>4081</v>
      </c>
    </row>
    <row r="160" spans="1:7" s="1" customFormat="1" ht="30">
      <c r="A160" s="1">
        <v>158</v>
      </c>
      <c r="B160" s="1" t="s">
        <v>892</v>
      </c>
      <c r="C160" s="1">
        <v>15</v>
      </c>
      <c r="D160" s="1" t="s">
        <v>189</v>
      </c>
      <c r="F160" s="1" t="s">
        <v>4153</v>
      </c>
      <c r="G160" s="1" t="s">
        <v>4083</v>
      </c>
    </row>
    <row r="161" spans="1:7" s="1" customFormat="1" ht="75">
      <c r="A161" s="1">
        <v>159</v>
      </c>
      <c r="B161" s="1" t="s">
        <v>893</v>
      </c>
      <c r="C161" s="1">
        <v>15</v>
      </c>
      <c r="D161" s="1" t="s">
        <v>189</v>
      </c>
      <c r="F161" s="1" t="s">
        <v>4154</v>
      </c>
      <c r="G161" s="1" t="s">
        <v>4081</v>
      </c>
    </row>
    <row r="162" spans="1:7" s="1" customFormat="1" ht="30">
      <c r="A162" s="1">
        <v>160</v>
      </c>
      <c r="B162" s="1" t="s">
        <v>894</v>
      </c>
      <c r="C162" s="1">
        <v>15</v>
      </c>
      <c r="D162" s="1" t="s">
        <v>189</v>
      </c>
      <c r="F162" s="1" t="s">
        <v>4155</v>
      </c>
      <c r="G162" s="1" t="s">
        <v>4083</v>
      </c>
    </row>
    <row r="163" spans="1:7" s="1" customFormat="1" ht="75">
      <c r="A163" s="1">
        <v>161</v>
      </c>
      <c r="B163" s="1" t="s">
        <v>895</v>
      </c>
      <c r="C163" s="1">
        <v>15</v>
      </c>
      <c r="D163" s="1" t="s">
        <v>189</v>
      </c>
      <c r="F163" s="1" t="s">
        <v>4156</v>
      </c>
      <c r="G163" s="1" t="s">
        <v>4081</v>
      </c>
    </row>
    <row r="164" spans="1:7" s="1" customFormat="1" ht="30">
      <c r="A164" s="1">
        <v>162</v>
      </c>
      <c r="B164" s="1" t="s">
        <v>896</v>
      </c>
      <c r="C164" s="1">
        <v>15</v>
      </c>
      <c r="D164" s="1" t="s">
        <v>189</v>
      </c>
      <c r="F164" s="1" t="s">
        <v>4157</v>
      </c>
      <c r="G164" s="1" t="s">
        <v>4083</v>
      </c>
    </row>
    <row r="165" spans="1:7" s="1" customFormat="1" ht="75">
      <c r="A165" s="1">
        <v>163</v>
      </c>
      <c r="B165" s="1" t="s">
        <v>897</v>
      </c>
      <c r="C165" s="1">
        <v>15</v>
      </c>
      <c r="D165" s="1" t="s">
        <v>189</v>
      </c>
      <c r="F165" s="1" t="s">
        <v>4158</v>
      </c>
      <c r="G165" s="1" t="s">
        <v>4081</v>
      </c>
    </row>
    <row r="166" spans="1:7" s="1" customFormat="1" ht="30">
      <c r="A166" s="1">
        <v>164</v>
      </c>
      <c r="B166" s="1" t="s">
        <v>898</v>
      </c>
      <c r="C166" s="1">
        <v>15</v>
      </c>
      <c r="D166" s="1" t="s">
        <v>189</v>
      </c>
      <c r="F166" s="1" t="s">
        <v>4159</v>
      </c>
      <c r="G166" s="1" t="s">
        <v>4083</v>
      </c>
    </row>
    <row r="167" spans="1:7" s="1" customFormat="1" ht="75">
      <c r="A167" s="1">
        <v>165</v>
      </c>
      <c r="B167" s="1" t="s">
        <v>899</v>
      </c>
      <c r="C167" s="1">
        <v>15</v>
      </c>
      <c r="D167" s="1" t="s">
        <v>189</v>
      </c>
      <c r="F167" s="1" t="s">
        <v>4160</v>
      </c>
      <c r="G167" s="1" t="s">
        <v>4081</v>
      </c>
    </row>
    <row r="168" spans="1:7" s="1" customFormat="1" ht="30">
      <c r="A168" s="1">
        <v>166</v>
      </c>
      <c r="B168" s="1" t="s">
        <v>900</v>
      </c>
      <c r="C168" s="1">
        <v>15</v>
      </c>
      <c r="D168" s="1" t="s">
        <v>189</v>
      </c>
      <c r="F168" s="1" t="s">
        <v>4161</v>
      </c>
      <c r="G168" s="1" t="s">
        <v>4083</v>
      </c>
    </row>
    <row r="169" spans="1:7" s="1" customFormat="1" ht="75">
      <c r="A169" s="1">
        <v>167</v>
      </c>
      <c r="B169" s="1" t="s">
        <v>901</v>
      </c>
      <c r="C169" s="1">
        <v>15</v>
      </c>
      <c r="D169" s="1" t="s">
        <v>189</v>
      </c>
      <c r="F169" s="1" t="s">
        <v>4162</v>
      </c>
      <c r="G169" s="1" t="s">
        <v>4081</v>
      </c>
    </row>
    <row r="170" spans="1:7" s="1" customFormat="1" ht="30">
      <c r="A170" s="1">
        <v>168</v>
      </c>
      <c r="B170" s="1" t="s">
        <v>902</v>
      </c>
      <c r="C170" s="1">
        <v>15</v>
      </c>
      <c r="D170" s="1" t="s">
        <v>189</v>
      </c>
      <c r="F170" s="1" t="s">
        <v>4163</v>
      </c>
      <c r="G170" s="1" t="s">
        <v>4083</v>
      </c>
    </row>
    <row r="171" spans="1:7" s="1" customFormat="1" ht="75">
      <c r="A171" s="1">
        <v>169</v>
      </c>
      <c r="B171" s="1" t="s">
        <v>903</v>
      </c>
      <c r="C171" s="1">
        <v>15</v>
      </c>
      <c r="D171" s="1" t="s">
        <v>189</v>
      </c>
      <c r="F171" s="1" t="s">
        <v>4164</v>
      </c>
      <c r="G171" s="1" t="s">
        <v>4081</v>
      </c>
    </row>
    <row r="172" spans="1:7" s="1" customFormat="1" ht="30">
      <c r="A172" s="1">
        <v>170</v>
      </c>
      <c r="B172" s="1" t="s">
        <v>904</v>
      </c>
      <c r="C172" s="1">
        <v>15</v>
      </c>
      <c r="D172" s="1" t="s">
        <v>189</v>
      </c>
      <c r="F172" s="1" t="s">
        <v>4165</v>
      </c>
      <c r="G172" s="1" t="s">
        <v>4083</v>
      </c>
    </row>
    <row r="173" spans="1:7" s="1" customFormat="1" ht="75">
      <c r="A173" s="1">
        <v>171</v>
      </c>
      <c r="B173" s="1" t="s">
        <v>905</v>
      </c>
      <c r="C173" s="1">
        <v>15</v>
      </c>
      <c r="D173" s="1" t="s">
        <v>189</v>
      </c>
      <c r="F173" s="1" t="s">
        <v>4166</v>
      </c>
      <c r="G173" s="1" t="s">
        <v>4081</v>
      </c>
    </row>
    <row r="174" spans="1:7" s="1" customFormat="1" ht="30">
      <c r="A174" s="1">
        <v>172</v>
      </c>
      <c r="B174" s="1" t="s">
        <v>906</v>
      </c>
      <c r="C174" s="1">
        <v>15</v>
      </c>
      <c r="D174" s="1" t="s">
        <v>189</v>
      </c>
      <c r="F174" s="1" t="s">
        <v>4167</v>
      </c>
      <c r="G174" s="1" t="s">
        <v>4083</v>
      </c>
    </row>
    <row r="175" spans="1:7" s="1" customFormat="1" ht="75">
      <c r="A175" s="1">
        <v>173</v>
      </c>
      <c r="B175" s="1" t="s">
        <v>907</v>
      </c>
      <c r="C175" s="1">
        <v>15</v>
      </c>
      <c r="D175" s="1" t="s">
        <v>189</v>
      </c>
      <c r="F175" s="1" t="s">
        <v>4168</v>
      </c>
      <c r="G175" s="1" t="s">
        <v>4081</v>
      </c>
    </row>
    <row r="176" spans="1:7" s="1" customFormat="1" ht="30">
      <c r="A176" s="1">
        <v>174</v>
      </c>
      <c r="B176" s="1" t="s">
        <v>908</v>
      </c>
      <c r="C176" s="1">
        <v>15</v>
      </c>
      <c r="D176" s="1" t="s">
        <v>189</v>
      </c>
      <c r="F176" s="1" t="s">
        <v>4169</v>
      </c>
      <c r="G176" s="1" t="s">
        <v>4083</v>
      </c>
    </row>
    <row r="177" spans="1:7" s="1" customFormat="1" ht="75">
      <c r="A177" s="1">
        <v>175</v>
      </c>
      <c r="B177" s="1" t="s">
        <v>909</v>
      </c>
      <c r="C177" s="1">
        <v>15</v>
      </c>
      <c r="D177" s="1" t="s">
        <v>189</v>
      </c>
      <c r="F177" s="1" t="s">
        <v>4170</v>
      </c>
      <c r="G177" s="1" t="s">
        <v>4081</v>
      </c>
    </row>
    <row r="178" spans="1:7" s="1" customFormat="1" ht="30">
      <c r="A178" s="1">
        <v>176</v>
      </c>
      <c r="B178" s="1" t="s">
        <v>910</v>
      </c>
      <c r="C178" s="1">
        <v>15</v>
      </c>
      <c r="D178" s="1" t="s">
        <v>189</v>
      </c>
      <c r="F178" s="1" t="s">
        <v>4171</v>
      </c>
      <c r="G178" s="1" t="s">
        <v>4083</v>
      </c>
    </row>
    <row r="179" spans="1:7" s="1" customFormat="1" ht="75">
      <c r="A179" s="1">
        <v>177</v>
      </c>
      <c r="B179" s="1" t="s">
        <v>911</v>
      </c>
      <c r="C179" s="1">
        <v>15</v>
      </c>
      <c r="D179" s="1" t="s">
        <v>189</v>
      </c>
      <c r="F179" s="1" t="s">
        <v>4172</v>
      </c>
      <c r="G179" s="1" t="s">
        <v>4081</v>
      </c>
    </row>
    <row r="180" spans="1:7" s="1" customFormat="1" ht="30">
      <c r="A180" s="1">
        <v>178</v>
      </c>
      <c r="B180" s="1" t="s">
        <v>912</v>
      </c>
      <c r="C180" s="1">
        <v>15</v>
      </c>
      <c r="D180" s="1" t="s">
        <v>189</v>
      </c>
      <c r="F180" s="1" t="s">
        <v>4173</v>
      </c>
      <c r="G180" s="1" t="s">
        <v>4083</v>
      </c>
    </row>
    <row r="181" spans="1:7" s="1" customFormat="1" ht="75">
      <c r="A181" s="1">
        <v>179</v>
      </c>
      <c r="B181" s="1" t="s">
        <v>913</v>
      </c>
      <c r="C181" s="1">
        <v>15</v>
      </c>
      <c r="D181" s="1" t="s">
        <v>189</v>
      </c>
      <c r="F181" s="1" t="s">
        <v>4174</v>
      </c>
      <c r="G181" s="1" t="s">
        <v>4081</v>
      </c>
    </row>
    <row r="182" spans="1:7" s="1" customFormat="1" ht="30">
      <c r="A182" s="1">
        <v>180</v>
      </c>
      <c r="B182" s="1" t="s">
        <v>914</v>
      </c>
      <c r="C182" s="1">
        <v>15</v>
      </c>
      <c r="D182" s="1" t="s">
        <v>189</v>
      </c>
      <c r="F182" s="1" t="s">
        <v>4175</v>
      </c>
      <c r="G182" s="1" t="s">
        <v>4083</v>
      </c>
    </row>
    <row r="183" spans="1:7" s="1" customFormat="1" ht="75">
      <c r="A183" s="1">
        <v>181</v>
      </c>
      <c r="B183" s="1" t="s">
        <v>915</v>
      </c>
      <c r="C183" s="1">
        <v>15</v>
      </c>
      <c r="D183" s="1" t="s">
        <v>189</v>
      </c>
      <c r="F183" s="1" t="s">
        <v>4176</v>
      </c>
      <c r="G183" s="1" t="s">
        <v>4081</v>
      </c>
    </row>
    <row r="184" spans="1:7" s="1" customFormat="1" ht="30">
      <c r="A184" s="1">
        <v>182</v>
      </c>
      <c r="B184" s="1" t="s">
        <v>916</v>
      </c>
      <c r="C184" s="1">
        <v>15</v>
      </c>
      <c r="D184" s="1" t="s">
        <v>189</v>
      </c>
      <c r="F184" s="1" t="s">
        <v>4177</v>
      </c>
      <c r="G184" s="1" t="s">
        <v>4083</v>
      </c>
    </row>
    <row r="185" spans="1:7" s="1" customFormat="1" ht="75">
      <c r="A185" s="1">
        <v>183</v>
      </c>
      <c r="B185" s="1" t="s">
        <v>917</v>
      </c>
      <c r="C185" s="1">
        <v>15</v>
      </c>
      <c r="D185" s="1" t="s">
        <v>189</v>
      </c>
      <c r="F185" s="1" t="s">
        <v>4178</v>
      </c>
      <c r="G185" s="1" t="s">
        <v>4081</v>
      </c>
    </row>
    <row r="186" spans="1:7" s="1" customFormat="1" ht="30">
      <c r="A186" s="1">
        <v>184</v>
      </c>
      <c r="B186" s="1" t="s">
        <v>918</v>
      </c>
      <c r="C186" s="1">
        <v>15</v>
      </c>
      <c r="D186" s="1" t="s">
        <v>189</v>
      </c>
      <c r="F186" s="1" t="s">
        <v>4179</v>
      </c>
      <c r="G186" s="1" t="s">
        <v>4083</v>
      </c>
    </row>
    <row r="187" spans="1:7" s="1" customFormat="1" ht="75">
      <c r="A187" s="1">
        <v>185</v>
      </c>
      <c r="B187" s="1" t="s">
        <v>919</v>
      </c>
      <c r="C187" s="1">
        <v>15</v>
      </c>
      <c r="D187" s="1" t="s">
        <v>189</v>
      </c>
      <c r="F187" s="1" t="s">
        <v>4180</v>
      </c>
      <c r="G187" s="1" t="s">
        <v>4081</v>
      </c>
    </row>
    <row r="188" spans="1:7" s="1" customFormat="1" ht="30">
      <c r="A188" s="1">
        <v>186</v>
      </c>
      <c r="B188" s="1" t="s">
        <v>920</v>
      </c>
      <c r="C188" s="1">
        <v>15</v>
      </c>
      <c r="D188" s="1" t="s">
        <v>189</v>
      </c>
      <c r="F188" s="1" t="s">
        <v>4181</v>
      </c>
      <c r="G188" s="1" t="s">
        <v>4083</v>
      </c>
    </row>
    <row r="189" spans="1:7" s="1" customFormat="1" ht="75">
      <c r="A189" s="1">
        <v>187</v>
      </c>
      <c r="B189" s="1" t="s">
        <v>921</v>
      </c>
      <c r="C189" s="1">
        <v>15</v>
      </c>
      <c r="D189" s="1" t="s">
        <v>189</v>
      </c>
      <c r="F189" s="1" t="s">
        <v>4182</v>
      </c>
      <c r="G189" s="1" t="s">
        <v>4081</v>
      </c>
    </row>
    <row r="190" spans="1:7" s="1" customFormat="1" ht="30">
      <c r="A190" s="1">
        <v>188</v>
      </c>
      <c r="B190" s="1" t="s">
        <v>922</v>
      </c>
      <c r="C190" s="1">
        <v>15</v>
      </c>
      <c r="D190" s="1" t="s">
        <v>189</v>
      </c>
      <c r="F190" s="1" t="s">
        <v>4183</v>
      </c>
      <c r="G190" s="1" t="s">
        <v>4083</v>
      </c>
    </row>
    <row r="191" spans="1:7" s="1" customFormat="1" ht="75">
      <c r="A191" s="1">
        <v>189</v>
      </c>
      <c r="B191" s="1" t="s">
        <v>923</v>
      </c>
      <c r="C191" s="1">
        <v>15</v>
      </c>
      <c r="D191" s="1" t="s">
        <v>189</v>
      </c>
      <c r="F191" s="1" t="s">
        <v>4184</v>
      </c>
      <c r="G191" s="1" t="s">
        <v>4081</v>
      </c>
    </row>
    <row r="192" spans="1:7" s="1" customFormat="1" ht="30">
      <c r="A192" s="1">
        <v>190</v>
      </c>
      <c r="B192" s="1" t="s">
        <v>924</v>
      </c>
      <c r="C192" s="1">
        <v>15</v>
      </c>
      <c r="D192" s="1" t="s">
        <v>189</v>
      </c>
      <c r="F192" s="1" t="s">
        <v>4185</v>
      </c>
      <c r="G192" s="1" t="s">
        <v>4083</v>
      </c>
    </row>
    <row r="193" spans="1:7" s="1" customFormat="1" ht="75">
      <c r="A193" s="1">
        <v>191</v>
      </c>
      <c r="B193" s="1" t="s">
        <v>925</v>
      </c>
      <c r="C193" s="1">
        <v>15</v>
      </c>
      <c r="D193" s="1" t="s">
        <v>189</v>
      </c>
      <c r="F193" s="1" t="s">
        <v>4186</v>
      </c>
      <c r="G193" s="1" t="s">
        <v>4081</v>
      </c>
    </row>
    <row r="194" spans="1:7" s="1" customFormat="1" ht="30">
      <c r="A194" s="1">
        <v>192</v>
      </c>
      <c r="B194" s="1" t="s">
        <v>926</v>
      </c>
      <c r="C194" s="1">
        <v>15</v>
      </c>
      <c r="D194" s="1" t="s">
        <v>189</v>
      </c>
      <c r="F194" s="1" t="s">
        <v>4187</v>
      </c>
      <c r="G194" s="1" t="s">
        <v>4083</v>
      </c>
    </row>
    <row r="195" spans="1:7" s="1" customFormat="1" ht="75">
      <c r="A195" s="1">
        <v>193</v>
      </c>
      <c r="B195" s="1" t="s">
        <v>927</v>
      </c>
      <c r="C195" s="1">
        <v>15</v>
      </c>
      <c r="D195" s="1" t="s">
        <v>189</v>
      </c>
      <c r="F195" s="1" t="s">
        <v>4188</v>
      </c>
      <c r="G195" s="1" t="s">
        <v>4081</v>
      </c>
    </row>
    <row r="196" spans="1:7" s="1" customFormat="1" ht="30">
      <c r="A196" s="1">
        <v>194</v>
      </c>
      <c r="B196" s="1" t="s">
        <v>928</v>
      </c>
      <c r="C196" s="1">
        <v>15</v>
      </c>
      <c r="D196" s="1" t="s">
        <v>189</v>
      </c>
      <c r="F196" s="1" t="s">
        <v>4189</v>
      </c>
      <c r="G196" s="1" t="s">
        <v>4083</v>
      </c>
    </row>
    <row r="197" spans="1:7" s="1" customFormat="1" ht="75">
      <c r="A197" s="1">
        <v>195</v>
      </c>
      <c r="B197" s="1" t="s">
        <v>929</v>
      </c>
      <c r="C197" s="1">
        <v>15</v>
      </c>
      <c r="D197" s="1" t="s">
        <v>189</v>
      </c>
      <c r="F197" s="1" t="s">
        <v>4190</v>
      </c>
      <c r="G197" s="1" t="s">
        <v>4081</v>
      </c>
    </row>
    <row r="198" spans="1:7" s="1" customFormat="1" ht="30">
      <c r="A198" s="1">
        <v>196</v>
      </c>
      <c r="B198" s="1" t="s">
        <v>930</v>
      </c>
      <c r="C198" s="1">
        <v>15</v>
      </c>
      <c r="D198" s="1" t="s">
        <v>189</v>
      </c>
      <c r="F198" s="1" t="s">
        <v>4191</v>
      </c>
      <c r="G198" s="1" t="s">
        <v>4083</v>
      </c>
    </row>
    <row r="199" spans="1:7" s="1" customFormat="1" ht="75">
      <c r="A199" s="1">
        <v>197</v>
      </c>
      <c r="B199" s="1" t="s">
        <v>931</v>
      </c>
      <c r="C199" s="1">
        <v>15</v>
      </c>
      <c r="D199" s="1" t="s">
        <v>189</v>
      </c>
      <c r="F199" s="1" t="s">
        <v>4192</v>
      </c>
      <c r="G199" s="1" t="s">
        <v>4081</v>
      </c>
    </row>
    <row r="200" spans="1:7" s="1" customFormat="1" ht="30">
      <c r="A200" s="1">
        <v>198</v>
      </c>
      <c r="B200" s="1" t="s">
        <v>932</v>
      </c>
      <c r="C200" s="1">
        <v>15</v>
      </c>
      <c r="D200" s="1" t="s">
        <v>189</v>
      </c>
      <c r="F200" s="1" t="s">
        <v>4193</v>
      </c>
      <c r="G200" s="1" t="s">
        <v>4083</v>
      </c>
    </row>
    <row r="201" spans="1:7" s="1" customFormat="1" ht="75">
      <c r="A201" s="1">
        <v>199</v>
      </c>
      <c r="B201" s="1" t="s">
        <v>933</v>
      </c>
      <c r="C201" s="1">
        <v>15</v>
      </c>
      <c r="D201" s="1" t="s">
        <v>189</v>
      </c>
      <c r="F201" s="1" t="s">
        <v>4194</v>
      </c>
      <c r="G201" s="1" t="s">
        <v>4081</v>
      </c>
    </row>
    <row r="202" spans="1:7" s="1" customFormat="1" ht="30">
      <c r="A202" s="1">
        <v>200</v>
      </c>
      <c r="B202" s="1" t="s">
        <v>934</v>
      </c>
      <c r="C202" s="1">
        <v>15</v>
      </c>
      <c r="D202" s="1" t="s">
        <v>189</v>
      </c>
      <c r="F202" s="1" t="s">
        <v>4195</v>
      </c>
      <c r="G202" s="1" t="s">
        <v>4083</v>
      </c>
    </row>
    <row r="203" spans="1:7" s="1" customFormat="1" ht="75">
      <c r="A203" s="1">
        <v>201</v>
      </c>
      <c r="B203" s="1" t="s">
        <v>935</v>
      </c>
      <c r="C203" s="1">
        <v>15</v>
      </c>
      <c r="D203" s="1" t="s">
        <v>189</v>
      </c>
      <c r="F203" s="1" t="s">
        <v>4196</v>
      </c>
      <c r="G203" s="1" t="s">
        <v>4081</v>
      </c>
    </row>
    <row r="204" spans="1:7" s="1" customFormat="1" ht="30">
      <c r="A204" s="1">
        <v>202</v>
      </c>
      <c r="B204" s="1" t="s">
        <v>936</v>
      </c>
      <c r="C204" s="1">
        <v>15</v>
      </c>
      <c r="D204" s="1" t="s">
        <v>189</v>
      </c>
      <c r="F204" s="1" t="s">
        <v>4197</v>
      </c>
      <c r="G204" s="1" t="s">
        <v>4083</v>
      </c>
    </row>
    <row r="205" spans="1:7" s="1" customFormat="1" ht="75">
      <c r="A205" s="1">
        <v>203</v>
      </c>
      <c r="B205" s="1" t="s">
        <v>937</v>
      </c>
      <c r="C205" s="1">
        <v>15</v>
      </c>
      <c r="D205" s="1" t="s">
        <v>189</v>
      </c>
      <c r="F205" s="1" t="s">
        <v>4198</v>
      </c>
      <c r="G205" s="1" t="s">
        <v>4081</v>
      </c>
    </row>
    <row r="206" spans="1:7" s="1" customFormat="1" ht="30">
      <c r="A206" s="1">
        <v>204</v>
      </c>
      <c r="B206" s="1" t="s">
        <v>938</v>
      </c>
      <c r="C206" s="1">
        <v>15</v>
      </c>
      <c r="D206" s="1" t="s">
        <v>189</v>
      </c>
      <c r="F206" s="1" t="s">
        <v>4199</v>
      </c>
      <c r="G206" s="1" t="s">
        <v>4083</v>
      </c>
    </row>
    <row r="207" spans="1:7" s="1" customFormat="1" ht="75">
      <c r="A207" s="1">
        <v>205</v>
      </c>
      <c r="B207" s="1" t="s">
        <v>939</v>
      </c>
      <c r="C207" s="1">
        <v>15</v>
      </c>
      <c r="D207" s="1" t="s">
        <v>189</v>
      </c>
      <c r="F207" s="1" t="s">
        <v>4200</v>
      </c>
      <c r="G207" s="1" t="s">
        <v>4081</v>
      </c>
    </row>
    <row r="208" spans="1:7" s="1" customFormat="1" ht="30">
      <c r="A208" s="1">
        <v>206</v>
      </c>
      <c r="B208" s="1" t="s">
        <v>940</v>
      </c>
      <c r="C208" s="1">
        <v>15</v>
      </c>
      <c r="D208" s="1" t="s">
        <v>189</v>
      </c>
      <c r="F208" s="1" t="s">
        <v>4201</v>
      </c>
      <c r="G208" s="1" t="s">
        <v>4083</v>
      </c>
    </row>
    <row r="209" spans="1:7" s="1" customFormat="1" ht="75">
      <c r="A209" s="1">
        <v>207</v>
      </c>
      <c r="B209" s="1" t="s">
        <v>941</v>
      </c>
      <c r="C209" s="1">
        <v>15</v>
      </c>
      <c r="D209" s="1" t="s">
        <v>189</v>
      </c>
      <c r="F209" s="1" t="s">
        <v>4202</v>
      </c>
      <c r="G209" s="1" t="s">
        <v>4081</v>
      </c>
    </row>
    <row r="210" spans="1:7" s="1" customFormat="1" ht="30">
      <c r="A210" s="1">
        <v>208</v>
      </c>
      <c r="B210" s="1" t="s">
        <v>942</v>
      </c>
      <c r="C210" s="1">
        <v>15</v>
      </c>
      <c r="D210" s="1" t="s">
        <v>189</v>
      </c>
      <c r="F210" s="1" t="s">
        <v>4203</v>
      </c>
      <c r="G210" s="1" t="s">
        <v>4083</v>
      </c>
    </row>
    <row r="211" spans="1:7" s="1" customFormat="1" ht="75">
      <c r="A211" s="1">
        <v>209</v>
      </c>
      <c r="B211" s="1" t="s">
        <v>943</v>
      </c>
      <c r="C211" s="1">
        <v>15</v>
      </c>
      <c r="D211" s="1" t="s">
        <v>189</v>
      </c>
      <c r="F211" s="1" t="s">
        <v>4204</v>
      </c>
      <c r="G211" s="1" t="s">
        <v>4081</v>
      </c>
    </row>
    <row r="212" spans="1:7" s="1" customFormat="1" ht="30">
      <c r="A212" s="1">
        <v>210</v>
      </c>
      <c r="B212" s="1" t="s">
        <v>944</v>
      </c>
      <c r="C212" s="1">
        <v>15</v>
      </c>
      <c r="D212" s="1" t="s">
        <v>189</v>
      </c>
      <c r="F212" s="1" t="s">
        <v>4205</v>
      </c>
      <c r="G212" s="1" t="s">
        <v>4083</v>
      </c>
    </row>
    <row r="213" spans="1:7" s="1" customFormat="1" ht="75">
      <c r="A213" s="1">
        <v>211</v>
      </c>
      <c r="B213" s="1" t="s">
        <v>945</v>
      </c>
      <c r="C213" s="1">
        <v>15</v>
      </c>
      <c r="D213" s="1" t="s">
        <v>189</v>
      </c>
      <c r="F213" s="1" t="s">
        <v>4206</v>
      </c>
      <c r="G213" s="1" t="s">
        <v>4081</v>
      </c>
    </row>
    <row r="214" spans="1:7" s="1" customFormat="1" ht="30">
      <c r="A214" s="1">
        <v>212</v>
      </c>
      <c r="B214" s="1" t="s">
        <v>946</v>
      </c>
      <c r="C214" s="1">
        <v>15</v>
      </c>
      <c r="D214" s="1" t="s">
        <v>189</v>
      </c>
      <c r="F214" s="1" t="s">
        <v>4207</v>
      </c>
      <c r="G214" s="1" t="s">
        <v>4083</v>
      </c>
    </row>
    <row r="215" spans="1:7" s="1" customFormat="1" ht="75">
      <c r="A215" s="1">
        <v>213</v>
      </c>
      <c r="B215" s="1" t="s">
        <v>947</v>
      </c>
      <c r="C215" s="1">
        <v>15</v>
      </c>
      <c r="D215" s="1" t="s">
        <v>189</v>
      </c>
      <c r="F215" s="1" t="s">
        <v>4208</v>
      </c>
      <c r="G215" s="1" t="s">
        <v>4081</v>
      </c>
    </row>
    <row r="216" spans="1:7" s="1" customFormat="1" ht="30">
      <c r="A216" s="1">
        <v>214</v>
      </c>
      <c r="B216" s="1" t="s">
        <v>948</v>
      </c>
      <c r="C216" s="1">
        <v>15</v>
      </c>
      <c r="D216" s="1" t="s">
        <v>189</v>
      </c>
      <c r="F216" s="1" t="s">
        <v>4209</v>
      </c>
      <c r="G216" s="1" t="s">
        <v>4083</v>
      </c>
    </row>
    <row r="217" spans="1:7" s="1" customFormat="1" ht="75">
      <c r="A217" s="1">
        <v>215</v>
      </c>
      <c r="B217" s="1" t="s">
        <v>949</v>
      </c>
      <c r="C217" s="1">
        <v>15</v>
      </c>
      <c r="D217" s="1" t="s">
        <v>189</v>
      </c>
      <c r="F217" s="1" t="s">
        <v>4210</v>
      </c>
      <c r="G217" s="1" t="s">
        <v>4081</v>
      </c>
    </row>
    <row r="218" spans="1:7" s="1" customFormat="1" ht="30">
      <c r="A218" s="1">
        <v>216</v>
      </c>
      <c r="B218" s="1" t="s">
        <v>950</v>
      </c>
      <c r="C218" s="1">
        <v>15</v>
      </c>
      <c r="D218" s="1" t="s">
        <v>189</v>
      </c>
      <c r="F218" s="1" t="s">
        <v>4211</v>
      </c>
      <c r="G218" s="1" t="s">
        <v>4083</v>
      </c>
    </row>
    <row r="219" spans="1:7" s="1" customFormat="1" ht="75">
      <c r="A219" s="1">
        <v>217</v>
      </c>
      <c r="B219" s="1" t="s">
        <v>951</v>
      </c>
      <c r="C219" s="1">
        <v>15</v>
      </c>
      <c r="D219" s="1" t="s">
        <v>189</v>
      </c>
      <c r="F219" s="1" t="s">
        <v>4212</v>
      </c>
      <c r="G219" s="1" t="s">
        <v>4081</v>
      </c>
    </row>
    <row r="220" spans="1:7" s="1" customFormat="1" ht="30">
      <c r="A220" s="1">
        <v>218</v>
      </c>
      <c r="B220" s="1" t="s">
        <v>952</v>
      </c>
      <c r="C220" s="1">
        <v>15</v>
      </c>
      <c r="D220" s="1" t="s">
        <v>189</v>
      </c>
      <c r="F220" s="1" t="s">
        <v>4213</v>
      </c>
      <c r="G220" s="1" t="s">
        <v>4083</v>
      </c>
    </row>
    <row r="221" spans="1:7" s="1" customFormat="1" ht="75">
      <c r="A221" s="1">
        <v>219</v>
      </c>
      <c r="B221" s="1" t="s">
        <v>953</v>
      </c>
      <c r="C221" s="1">
        <v>15</v>
      </c>
      <c r="D221" s="1" t="s">
        <v>189</v>
      </c>
      <c r="F221" s="1" t="s">
        <v>4214</v>
      </c>
      <c r="G221" s="1" t="s">
        <v>4081</v>
      </c>
    </row>
    <row r="222" spans="1:7" s="1" customFormat="1" ht="30">
      <c r="A222" s="1">
        <v>220</v>
      </c>
      <c r="B222" s="1" t="s">
        <v>954</v>
      </c>
      <c r="C222" s="1">
        <v>15</v>
      </c>
      <c r="D222" s="1" t="s">
        <v>189</v>
      </c>
      <c r="F222" s="1" t="s">
        <v>4215</v>
      </c>
      <c r="G222" s="1" t="s">
        <v>4083</v>
      </c>
    </row>
    <row r="223" spans="1:7" s="1" customFormat="1" ht="75">
      <c r="A223" s="1">
        <v>221</v>
      </c>
      <c r="B223" s="1" t="s">
        <v>955</v>
      </c>
      <c r="C223" s="1">
        <v>15</v>
      </c>
      <c r="D223" s="1" t="s">
        <v>189</v>
      </c>
      <c r="F223" s="1" t="s">
        <v>4216</v>
      </c>
      <c r="G223" s="1" t="s">
        <v>4081</v>
      </c>
    </row>
    <row r="224" spans="1:7" s="1" customFormat="1" ht="30">
      <c r="A224" s="1">
        <v>222</v>
      </c>
      <c r="B224" s="1" t="s">
        <v>956</v>
      </c>
      <c r="C224" s="1">
        <v>15</v>
      </c>
      <c r="D224" s="1" t="s">
        <v>189</v>
      </c>
      <c r="F224" s="1" t="s">
        <v>4217</v>
      </c>
      <c r="G224" s="1" t="s">
        <v>4083</v>
      </c>
    </row>
    <row r="225" spans="1:7" s="1" customFormat="1" ht="75">
      <c r="A225" s="1">
        <v>223</v>
      </c>
      <c r="B225" s="1" t="s">
        <v>957</v>
      </c>
      <c r="C225" s="1">
        <v>15</v>
      </c>
      <c r="D225" s="1" t="s">
        <v>189</v>
      </c>
      <c r="F225" s="1" t="s">
        <v>4218</v>
      </c>
      <c r="G225" s="1" t="s">
        <v>4081</v>
      </c>
    </row>
    <row r="226" spans="1:7" s="1" customFormat="1" ht="30">
      <c r="A226" s="1">
        <v>224</v>
      </c>
      <c r="B226" s="1" t="s">
        <v>958</v>
      </c>
      <c r="C226" s="1">
        <v>15</v>
      </c>
      <c r="D226" s="1" t="s">
        <v>189</v>
      </c>
      <c r="F226" s="1" t="s">
        <v>4219</v>
      </c>
      <c r="G226" s="1" t="s">
        <v>4083</v>
      </c>
    </row>
    <row r="227" spans="1:7" s="1" customFormat="1" ht="75">
      <c r="A227" s="1">
        <v>225</v>
      </c>
      <c r="B227" s="1" t="s">
        <v>959</v>
      </c>
      <c r="C227" s="1">
        <v>15</v>
      </c>
      <c r="D227" s="1" t="s">
        <v>189</v>
      </c>
      <c r="F227" s="1" t="s">
        <v>4220</v>
      </c>
      <c r="G227" s="1" t="s">
        <v>4081</v>
      </c>
    </row>
    <row r="228" spans="1:7" s="1" customFormat="1" ht="30">
      <c r="A228" s="1">
        <v>226</v>
      </c>
      <c r="B228" s="1" t="s">
        <v>960</v>
      </c>
      <c r="C228" s="1">
        <v>15</v>
      </c>
      <c r="D228" s="1" t="s">
        <v>189</v>
      </c>
      <c r="F228" s="1" t="s">
        <v>4221</v>
      </c>
      <c r="G228" s="1" t="s">
        <v>4083</v>
      </c>
    </row>
    <row r="229" spans="1:7" s="1" customFormat="1" ht="75">
      <c r="A229" s="1">
        <v>227</v>
      </c>
      <c r="B229" s="1" t="s">
        <v>961</v>
      </c>
      <c r="C229" s="1">
        <v>15</v>
      </c>
      <c r="D229" s="1" t="s">
        <v>189</v>
      </c>
      <c r="F229" s="1" t="s">
        <v>4222</v>
      </c>
      <c r="G229" s="1" t="s">
        <v>4081</v>
      </c>
    </row>
    <row r="230" spans="1:7" s="1" customFormat="1" ht="30">
      <c r="A230" s="1">
        <v>228</v>
      </c>
      <c r="B230" s="1" t="s">
        <v>962</v>
      </c>
      <c r="C230" s="1">
        <v>15</v>
      </c>
      <c r="D230" s="1" t="s">
        <v>189</v>
      </c>
      <c r="F230" s="1" t="s">
        <v>4223</v>
      </c>
      <c r="G230" s="1" t="s">
        <v>4083</v>
      </c>
    </row>
    <row r="231" spans="1:7" s="1" customFormat="1" ht="75">
      <c r="A231" s="1">
        <v>229</v>
      </c>
      <c r="B231" s="1" t="s">
        <v>963</v>
      </c>
      <c r="C231" s="1">
        <v>15</v>
      </c>
      <c r="D231" s="1" t="s">
        <v>189</v>
      </c>
      <c r="F231" s="1" t="s">
        <v>4224</v>
      </c>
      <c r="G231" s="1" t="s">
        <v>4081</v>
      </c>
    </row>
    <row r="232" spans="1:7" s="1" customFormat="1" ht="30">
      <c r="A232" s="1">
        <v>230</v>
      </c>
      <c r="B232" s="1" t="s">
        <v>964</v>
      </c>
      <c r="C232" s="1">
        <v>15</v>
      </c>
      <c r="D232" s="1" t="s">
        <v>189</v>
      </c>
      <c r="F232" s="1" t="s">
        <v>4225</v>
      </c>
      <c r="G232" s="1" t="s">
        <v>4083</v>
      </c>
    </row>
    <row r="233" spans="1:7" s="1" customFormat="1" ht="75">
      <c r="A233" s="1">
        <v>231</v>
      </c>
      <c r="B233" s="1" t="s">
        <v>965</v>
      </c>
      <c r="C233" s="1">
        <v>15</v>
      </c>
      <c r="D233" s="1" t="s">
        <v>189</v>
      </c>
      <c r="F233" s="1" t="s">
        <v>4226</v>
      </c>
      <c r="G233" s="1" t="s">
        <v>4081</v>
      </c>
    </row>
    <row r="234" spans="1:7" s="1" customFormat="1" ht="30">
      <c r="A234" s="1">
        <v>232</v>
      </c>
      <c r="B234" s="1" t="s">
        <v>966</v>
      </c>
      <c r="C234" s="1">
        <v>15</v>
      </c>
      <c r="D234" s="1" t="s">
        <v>189</v>
      </c>
      <c r="F234" s="1" t="s">
        <v>4227</v>
      </c>
      <c r="G234" s="1" t="s">
        <v>4083</v>
      </c>
    </row>
    <row r="235" spans="1:7" s="1" customFormat="1" ht="75">
      <c r="A235" s="1">
        <v>233</v>
      </c>
      <c r="B235" s="1" t="s">
        <v>967</v>
      </c>
      <c r="C235" s="1">
        <v>15</v>
      </c>
      <c r="D235" s="1" t="s">
        <v>189</v>
      </c>
      <c r="F235" s="1" t="s">
        <v>4228</v>
      </c>
      <c r="G235" s="1" t="s">
        <v>4081</v>
      </c>
    </row>
    <row r="236" spans="1:7" s="1" customFormat="1" ht="30">
      <c r="A236" s="1">
        <v>234</v>
      </c>
      <c r="B236" s="1" t="s">
        <v>968</v>
      </c>
      <c r="C236" s="1">
        <v>15</v>
      </c>
      <c r="D236" s="1" t="s">
        <v>189</v>
      </c>
      <c r="F236" s="1" t="s">
        <v>4229</v>
      </c>
      <c r="G236" s="1" t="s">
        <v>4083</v>
      </c>
    </row>
    <row r="237" spans="1:7" s="1" customFormat="1" ht="75">
      <c r="A237" s="1">
        <v>235</v>
      </c>
      <c r="B237" s="1" t="s">
        <v>969</v>
      </c>
      <c r="C237" s="1">
        <v>15</v>
      </c>
      <c r="D237" s="1" t="s">
        <v>189</v>
      </c>
      <c r="F237" s="1" t="s">
        <v>4230</v>
      </c>
      <c r="G237" s="1" t="s">
        <v>4081</v>
      </c>
    </row>
    <row r="238" spans="1:7" s="1" customFormat="1" ht="30">
      <c r="A238" s="1">
        <v>236</v>
      </c>
      <c r="B238" s="1" t="s">
        <v>970</v>
      </c>
      <c r="C238" s="1">
        <v>15</v>
      </c>
      <c r="D238" s="1" t="s">
        <v>189</v>
      </c>
      <c r="F238" s="1" t="s">
        <v>4231</v>
      </c>
      <c r="G238" s="1" t="s">
        <v>4083</v>
      </c>
    </row>
    <row r="239" spans="1:7" s="1" customFormat="1" ht="75">
      <c r="A239" s="1">
        <v>237</v>
      </c>
      <c r="B239" s="1" t="s">
        <v>971</v>
      </c>
      <c r="C239" s="1">
        <v>15</v>
      </c>
      <c r="D239" s="1" t="s">
        <v>189</v>
      </c>
      <c r="F239" s="1" t="s">
        <v>4232</v>
      </c>
      <c r="G239" s="1" t="s">
        <v>4081</v>
      </c>
    </row>
    <row r="240" spans="1:7" s="1" customFormat="1" ht="30">
      <c r="A240" s="1">
        <v>238</v>
      </c>
      <c r="B240" s="1" t="s">
        <v>972</v>
      </c>
      <c r="C240" s="1">
        <v>15</v>
      </c>
      <c r="D240" s="1" t="s">
        <v>189</v>
      </c>
      <c r="F240" s="1" t="s">
        <v>4233</v>
      </c>
      <c r="G240" s="1" t="s">
        <v>4083</v>
      </c>
    </row>
    <row r="241" spans="1:7" s="1" customFormat="1" ht="75">
      <c r="A241" s="1">
        <v>239</v>
      </c>
      <c r="B241" s="1" t="s">
        <v>973</v>
      </c>
      <c r="C241" s="1">
        <v>15</v>
      </c>
      <c r="D241" s="1" t="s">
        <v>189</v>
      </c>
      <c r="F241" s="1" t="s">
        <v>4234</v>
      </c>
      <c r="G241" s="1" t="s">
        <v>4081</v>
      </c>
    </row>
    <row r="242" spans="1:7" s="1" customFormat="1" ht="30">
      <c r="A242" s="1">
        <v>240</v>
      </c>
      <c r="B242" s="1" t="s">
        <v>974</v>
      </c>
      <c r="C242" s="1">
        <v>15</v>
      </c>
      <c r="D242" s="1" t="s">
        <v>189</v>
      </c>
      <c r="F242" s="1" t="s">
        <v>4235</v>
      </c>
      <c r="G242" s="1" t="s">
        <v>4083</v>
      </c>
    </row>
    <row r="243" spans="1:7" s="1" customFormat="1" ht="75">
      <c r="A243" s="1">
        <v>241</v>
      </c>
      <c r="B243" s="1" t="s">
        <v>975</v>
      </c>
      <c r="C243" s="1">
        <v>15</v>
      </c>
      <c r="D243" s="1" t="s">
        <v>189</v>
      </c>
      <c r="F243" s="1" t="s">
        <v>4236</v>
      </c>
      <c r="G243" s="1" t="s">
        <v>4081</v>
      </c>
    </row>
    <row r="244" spans="1:7" s="1" customFormat="1" ht="30">
      <c r="A244" s="1">
        <v>242</v>
      </c>
      <c r="B244" s="1" t="s">
        <v>976</v>
      </c>
      <c r="C244" s="1">
        <v>15</v>
      </c>
      <c r="D244" s="1" t="s">
        <v>189</v>
      </c>
      <c r="F244" s="1" t="s">
        <v>4237</v>
      </c>
      <c r="G244" s="1" t="s">
        <v>4083</v>
      </c>
    </row>
    <row r="245" spans="1:7" s="1" customFormat="1" ht="75">
      <c r="A245" s="1">
        <v>243</v>
      </c>
      <c r="B245" s="1" t="s">
        <v>977</v>
      </c>
      <c r="C245" s="1">
        <v>15</v>
      </c>
      <c r="D245" s="1" t="s">
        <v>189</v>
      </c>
      <c r="F245" s="1" t="s">
        <v>4238</v>
      </c>
      <c r="G245" s="1" t="s">
        <v>4081</v>
      </c>
    </row>
    <row r="246" spans="1:7" s="1" customFormat="1" ht="30">
      <c r="A246" s="1">
        <v>244</v>
      </c>
      <c r="B246" s="1" t="s">
        <v>978</v>
      </c>
      <c r="C246" s="1">
        <v>15</v>
      </c>
      <c r="D246" s="1" t="s">
        <v>189</v>
      </c>
      <c r="F246" s="1" t="s">
        <v>4239</v>
      </c>
      <c r="G246" s="1" t="s">
        <v>4083</v>
      </c>
    </row>
    <row r="247" spans="1:7" s="1" customFormat="1" ht="75">
      <c r="A247" s="1">
        <v>245</v>
      </c>
      <c r="B247" s="1" t="s">
        <v>979</v>
      </c>
      <c r="C247" s="1">
        <v>15</v>
      </c>
      <c r="D247" s="1" t="s">
        <v>189</v>
      </c>
      <c r="F247" s="1" t="s">
        <v>4240</v>
      </c>
      <c r="G247" s="1" t="s">
        <v>4081</v>
      </c>
    </row>
    <row r="248" spans="1:7" s="1" customFormat="1" ht="30">
      <c r="A248" s="1">
        <v>246</v>
      </c>
      <c r="B248" s="1" t="s">
        <v>980</v>
      </c>
      <c r="C248" s="1">
        <v>15</v>
      </c>
      <c r="D248" s="1" t="s">
        <v>189</v>
      </c>
      <c r="F248" s="1" t="s">
        <v>4241</v>
      </c>
      <c r="G248" s="1" t="s">
        <v>4083</v>
      </c>
    </row>
    <row r="249" spans="1:7" s="1" customFormat="1">
      <c r="A249" s="1">
        <v>247</v>
      </c>
      <c r="B249" s="1" t="s">
        <v>1182</v>
      </c>
      <c r="C249" s="1">
        <v>12</v>
      </c>
      <c r="D249" s="1" t="s">
        <v>189</v>
      </c>
      <c r="E249" s="1" t="s">
        <v>5576</v>
      </c>
      <c r="F249" s="1" t="s">
        <v>1688</v>
      </c>
      <c r="G249" s="1" t="s">
        <v>1689</v>
      </c>
    </row>
    <row r="250" spans="1:7" s="1" customFormat="1" ht="30">
      <c r="A250" s="1">
        <v>248</v>
      </c>
      <c r="B250" s="1" t="s">
        <v>1183</v>
      </c>
      <c r="C250" s="1">
        <v>30</v>
      </c>
      <c r="D250" s="1" t="s">
        <v>242</v>
      </c>
      <c r="E250" s="1" t="s">
        <v>5576</v>
      </c>
      <c r="F250" s="1" t="s">
        <v>1690</v>
      </c>
      <c r="G250" s="1" t="s">
        <v>1691</v>
      </c>
    </row>
  </sheetData>
  <autoFilter ref="A2:E250" xr:uid="{57A28C24-20C7-497A-8092-05A946B1EA59}"/>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A2B07-8FA9-46CD-BB5F-F3ED41F40B74}">
  <sheetPr codeName="Sheet119"/>
  <dimension ref="A1:I33"/>
  <sheetViews>
    <sheetView workbookViewId="0">
      <selection activeCell="C22" sqref="C22"/>
    </sheetView>
  </sheetViews>
  <sheetFormatPr defaultRowHeight="15"/>
  <cols>
    <col min="2" max="2" width="19.42578125" customWidth="1"/>
    <col min="6" max="6" width="31.140625" customWidth="1"/>
    <col min="7" max="7" width="72.85546875" bestFit="1" customWidth="1"/>
    <col min="8" max="8" width="5.140625" bestFit="1" customWidth="1"/>
    <col min="9" max="9" width="49" customWidth="1"/>
  </cols>
  <sheetData>
    <row r="1" spans="1:9">
      <c r="A1" s="12" t="s">
        <v>238</v>
      </c>
      <c r="B1" s="12"/>
      <c r="C1" s="12"/>
      <c r="D1" s="12"/>
      <c r="E1" s="12"/>
      <c r="F1" s="12"/>
      <c r="G1" s="12"/>
      <c r="H1" s="12" t="s">
        <v>5363</v>
      </c>
    </row>
    <row r="2" spans="1:9">
      <c r="A2" s="10" t="s">
        <v>350</v>
      </c>
      <c r="B2" s="10" t="s">
        <v>156</v>
      </c>
      <c r="C2" s="10" t="s">
        <v>157</v>
      </c>
      <c r="D2" s="10" t="s">
        <v>239</v>
      </c>
      <c r="E2" s="10" t="s">
        <v>159</v>
      </c>
      <c r="F2" s="10" t="s">
        <v>1684</v>
      </c>
      <c r="G2" s="10" t="s">
        <v>1685</v>
      </c>
      <c r="H2" s="10" t="s">
        <v>5371</v>
      </c>
    </row>
    <row r="3" spans="1:9" ht="30">
      <c r="A3" s="11">
        <v>1</v>
      </c>
      <c r="B3" s="11" t="s">
        <v>240</v>
      </c>
      <c r="C3" s="11">
        <v>8</v>
      </c>
      <c r="D3" s="11" t="s">
        <v>160</v>
      </c>
      <c r="E3" s="11" t="s">
        <v>177</v>
      </c>
      <c r="F3" s="11" t="s">
        <v>1686</v>
      </c>
      <c r="G3" s="11" t="s">
        <v>1687</v>
      </c>
      <c r="H3" s="11" t="s">
        <v>5382</v>
      </c>
    </row>
    <row r="4" spans="1:9" ht="14.25" customHeight="1">
      <c r="A4" s="59">
        <v>2</v>
      </c>
      <c r="B4" s="59" t="s">
        <v>5720</v>
      </c>
      <c r="C4" s="59">
        <v>2</v>
      </c>
      <c r="D4" s="59" t="s">
        <v>160</v>
      </c>
      <c r="E4" s="59"/>
      <c r="F4" s="75" t="s">
        <v>5732</v>
      </c>
      <c r="G4" s="75" t="s">
        <v>5733</v>
      </c>
      <c r="H4" s="59" t="s">
        <v>5384</v>
      </c>
      <c r="I4" s="31" t="s">
        <v>7015</v>
      </c>
    </row>
    <row r="5" spans="1:9">
      <c r="A5" s="59">
        <v>3</v>
      </c>
      <c r="B5" s="59" t="s">
        <v>5721</v>
      </c>
      <c r="C5" s="59">
        <v>14</v>
      </c>
      <c r="D5" s="59" t="s">
        <v>242</v>
      </c>
      <c r="E5" s="59"/>
      <c r="F5" s="75" t="s">
        <v>5734</v>
      </c>
      <c r="G5" s="75" t="s">
        <v>5735</v>
      </c>
      <c r="H5" s="59"/>
      <c r="I5" s="31" t="s">
        <v>7124</v>
      </c>
    </row>
    <row r="6" spans="1:9">
      <c r="A6" s="59">
        <v>4</v>
      </c>
      <c r="B6" s="59" t="s">
        <v>5722</v>
      </c>
      <c r="C6" s="59">
        <v>30</v>
      </c>
      <c r="D6" s="59" t="s">
        <v>242</v>
      </c>
      <c r="E6" s="59"/>
      <c r="F6" s="75" t="s">
        <v>5736</v>
      </c>
      <c r="G6" s="75" t="s">
        <v>5737</v>
      </c>
      <c r="H6" s="59"/>
      <c r="I6" s="72"/>
    </row>
    <row r="7" spans="1:9">
      <c r="A7" s="59">
        <v>5</v>
      </c>
      <c r="B7" s="59" t="s">
        <v>5723</v>
      </c>
      <c r="C7" s="59">
        <v>30</v>
      </c>
      <c r="D7" s="59" t="s">
        <v>242</v>
      </c>
      <c r="E7" s="59"/>
      <c r="F7" s="75" t="s">
        <v>5738</v>
      </c>
      <c r="G7" s="75" t="s">
        <v>5757</v>
      </c>
      <c r="H7" s="59"/>
      <c r="I7" s="72"/>
    </row>
    <row r="8" spans="1:9">
      <c r="A8" s="59">
        <v>6</v>
      </c>
      <c r="B8" s="59" t="s">
        <v>5724</v>
      </c>
      <c r="C8" s="59">
        <v>25</v>
      </c>
      <c r="D8" s="59" t="s">
        <v>242</v>
      </c>
      <c r="E8" s="59"/>
      <c r="F8" s="75" t="s">
        <v>5739</v>
      </c>
      <c r="G8" s="75" t="s">
        <v>5740</v>
      </c>
      <c r="H8" s="59"/>
      <c r="I8" s="78" t="s">
        <v>5914</v>
      </c>
    </row>
    <row r="9" spans="1:9">
      <c r="A9" s="59">
        <v>7</v>
      </c>
      <c r="B9" s="59" t="s">
        <v>5725</v>
      </c>
      <c r="C9" s="59">
        <v>25</v>
      </c>
      <c r="D9" s="59" t="s">
        <v>242</v>
      </c>
      <c r="E9" s="59"/>
      <c r="F9" s="75" t="s">
        <v>5741</v>
      </c>
      <c r="G9" s="75" t="s">
        <v>5754</v>
      </c>
      <c r="H9" s="59"/>
      <c r="I9" s="78" t="s">
        <v>5914</v>
      </c>
    </row>
    <row r="10" spans="1:9">
      <c r="A10" s="59">
        <v>8</v>
      </c>
      <c r="B10" s="59" t="s">
        <v>5726</v>
      </c>
      <c r="C10" s="59">
        <v>25</v>
      </c>
      <c r="D10" s="59" t="s">
        <v>242</v>
      </c>
      <c r="E10" s="59"/>
      <c r="F10" s="75" t="s">
        <v>5742</v>
      </c>
      <c r="G10" s="75" t="s">
        <v>5755</v>
      </c>
      <c r="H10" s="59"/>
      <c r="I10" s="78" t="s">
        <v>5914</v>
      </c>
    </row>
    <row r="11" spans="1:9">
      <c r="A11" s="59">
        <v>9</v>
      </c>
      <c r="B11" s="59" t="s">
        <v>5727</v>
      </c>
      <c r="C11" s="59">
        <v>40</v>
      </c>
      <c r="D11" s="59" t="s">
        <v>242</v>
      </c>
      <c r="E11" s="59"/>
      <c r="F11" s="75" t="s">
        <v>5743</v>
      </c>
      <c r="G11" s="75" t="s">
        <v>5744</v>
      </c>
      <c r="H11" s="59"/>
      <c r="I11" s="72"/>
    </row>
    <row r="12" spans="1:9">
      <c r="A12" s="59">
        <v>10</v>
      </c>
      <c r="B12" s="59" t="s">
        <v>5728</v>
      </c>
      <c r="C12" s="59">
        <v>10</v>
      </c>
      <c r="D12" s="59" t="s">
        <v>242</v>
      </c>
      <c r="E12" s="59"/>
      <c r="F12" s="75" t="s">
        <v>5745</v>
      </c>
      <c r="G12" s="75" t="s">
        <v>5753</v>
      </c>
      <c r="H12" s="59"/>
      <c r="I12" s="72"/>
    </row>
    <row r="13" spans="1:9">
      <c r="A13" s="59">
        <v>11</v>
      </c>
      <c r="B13" s="59" t="s">
        <v>5729</v>
      </c>
      <c r="C13" s="59">
        <v>13</v>
      </c>
      <c r="D13" s="59" t="s">
        <v>242</v>
      </c>
      <c r="E13" s="59"/>
      <c r="F13" s="75" t="s">
        <v>5746</v>
      </c>
      <c r="G13" s="75" t="s">
        <v>5747</v>
      </c>
      <c r="H13" s="59"/>
      <c r="I13" s="72"/>
    </row>
    <row r="14" spans="1:9">
      <c r="A14" s="59">
        <v>12</v>
      </c>
      <c r="B14" s="59" t="s">
        <v>5730</v>
      </c>
      <c r="C14" s="59">
        <v>30</v>
      </c>
      <c r="D14" s="59" t="s">
        <v>189</v>
      </c>
      <c r="E14" s="59"/>
      <c r="F14" s="75" t="s">
        <v>5748</v>
      </c>
      <c r="G14" s="75" t="s">
        <v>5749</v>
      </c>
      <c r="H14" s="59"/>
      <c r="I14" s="31" t="s">
        <v>7015</v>
      </c>
    </row>
    <row r="15" spans="1:9">
      <c r="A15" s="59">
        <v>13</v>
      </c>
      <c r="B15" s="59" t="s">
        <v>5731</v>
      </c>
      <c r="C15" s="59">
        <v>30</v>
      </c>
      <c r="D15" s="59" t="s">
        <v>242</v>
      </c>
      <c r="E15" s="59"/>
      <c r="F15" s="75" t="s">
        <v>5750</v>
      </c>
      <c r="G15" s="75" t="s">
        <v>5756</v>
      </c>
      <c r="H15" s="59"/>
      <c r="I15" s="72"/>
    </row>
    <row r="16" spans="1:9">
      <c r="A16" s="59">
        <v>14</v>
      </c>
      <c r="B16" s="59" t="s">
        <v>457</v>
      </c>
      <c r="C16" s="59">
        <v>14</v>
      </c>
      <c r="D16" s="59" t="s">
        <v>242</v>
      </c>
      <c r="E16" s="59"/>
      <c r="F16" s="75" t="s">
        <v>5751</v>
      </c>
      <c r="G16" s="75" t="s">
        <v>5752</v>
      </c>
      <c r="H16" s="59"/>
      <c r="I16" s="72"/>
    </row>
    <row r="17" spans="1:9" ht="60">
      <c r="A17" s="59">
        <v>15</v>
      </c>
      <c r="B17" s="59" t="s">
        <v>1182</v>
      </c>
      <c r="C17" s="59">
        <v>12</v>
      </c>
      <c r="D17" s="59" t="s">
        <v>189</v>
      </c>
      <c r="E17" s="59" t="s">
        <v>5576</v>
      </c>
      <c r="F17" s="59" t="s">
        <v>1688</v>
      </c>
      <c r="G17" s="59" t="s">
        <v>1689</v>
      </c>
      <c r="H17" s="59"/>
      <c r="I17" s="72"/>
    </row>
    <row r="18" spans="1:9" ht="60">
      <c r="A18" s="11">
        <v>16</v>
      </c>
      <c r="B18" s="11" t="s">
        <v>1183</v>
      </c>
      <c r="C18" s="11">
        <v>30</v>
      </c>
      <c r="D18" s="11" t="s">
        <v>242</v>
      </c>
      <c r="E18" s="11" t="s">
        <v>5576</v>
      </c>
      <c r="F18" s="11" t="s">
        <v>1690</v>
      </c>
      <c r="G18" s="11" t="s">
        <v>1691</v>
      </c>
      <c r="H18" s="11"/>
    </row>
    <row r="21" spans="1:9">
      <c r="C21" s="20"/>
    </row>
    <row r="22" spans="1:9">
      <c r="C22" s="20"/>
    </row>
    <row r="23" spans="1:9">
      <c r="C23" s="20"/>
    </row>
    <row r="24" spans="1:9">
      <c r="C24" s="20"/>
    </row>
    <row r="25" spans="1:9">
      <c r="C25" s="20"/>
    </row>
    <row r="26" spans="1:9">
      <c r="C26" s="20"/>
    </row>
    <row r="27" spans="1:9">
      <c r="C27" s="20"/>
    </row>
    <row r="28" spans="1:9">
      <c r="C28" s="20"/>
    </row>
    <row r="29" spans="1:9">
      <c r="C29" s="20"/>
    </row>
    <row r="30" spans="1:9">
      <c r="C30" s="20"/>
    </row>
    <row r="31" spans="1:9">
      <c r="C31" s="20"/>
    </row>
    <row r="32" spans="1:9">
      <c r="C32" s="20"/>
    </row>
    <row r="33" spans="3:3">
      <c r="C33" s="20"/>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7EF3-FFBC-4DC9-BF6F-58238B19FA83}">
  <sheetPr codeName="Sheet36"/>
  <dimension ref="A1:XFB250"/>
  <sheetViews>
    <sheetView workbookViewId="0">
      <selection activeCell="C22" sqref="C22"/>
    </sheetView>
  </sheetViews>
  <sheetFormatPr defaultColWidth="32.140625" defaultRowHeight="15"/>
  <cols>
    <col min="1" max="1" width="7.140625" style="1" bestFit="1" customWidth="1"/>
    <col min="2" max="2" width="12.140625" style="1" bestFit="1" customWidth="1"/>
    <col min="3" max="3" width="4.5703125" style="1" bestFit="1" customWidth="1"/>
    <col min="4" max="4" width="9" style="1" bestFit="1" customWidth="1"/>
    <col min="5" max="5" width="24.42578125" style="1" bestFit="1" customWidth="1"/>
    <col min="6" max="6" width="24.5703125" style="1" bestFit="1" customWidth="1"/>
    <col min="7" max="7" width="55.140625" style="1" bestFit="1" customWidth="1"/>
    <col min="8" max="8" width="4.7109375" style="2" bestFit="1" customWidth="1"/>
    <col min="9" max="16381" width="32.140625" style="2"/>
    <col min="16382" max="16382" width="1.7109375" style="2" customWidth="1"/>
    <col min="16383" max="16384" width="17.7109375" style="1" customWidth="1"/>
  </cols>
  <sheetData>
    <row r="1" spans="1:8" s="1" customFormat="1">
      <c r="A1" s="12" t="s">
        <v>238</v>
      </c>
      <c r="B1" s="12"/>
      <c r="C1" s="12"/>
      <c r="D1" s="12"/>
      <c r="E1" s="12"/>
      <c r="F1" s="12"/>
      <c r="G1" s="12"/>
      <c r="H1" s="12" t="s">
        <v>5363</v>
      </c>
    </row>
    <row r="2" spans="1:8" s="1" customFormat="1" ht="30">
      <c r="A2" s="10" t="s">
        <v>350</v>
      </c>
      <c r="B2" s="10" t="s">
        <v>156</v>
      </c>
      <c r="C2" s="10" t="s">
        <v>157</v>
      </c>
      <c r="D2" s="10" t="s">
        <v>239</v>
      </c>
      <c r="E2" s="10" t="s">
        <v>159</v>
      </c>
      <c r="F2" s="10" t="s">
        <v>1684</v>
      </c>
      <c r="G2" s="10" t="s">
        <v>1685</v>
      </c>
      <c r="H2" s="10" t="s">
        <v>5371</v>
      </c>
    </row>
    <row r="3" spans="1:8" s="1" customFormat="1">
      <c r="A3" s="11">
        <v>1</v>
      </c>
      <c r="B3" s="11" t="s">
        <v>240</v>
      </c>
      <c r="C3" s="11">
        <v>8</v>
      </c>
      <c r="D3" s="11" t="s">
        <v>160</v>
      </c>
      <c r="E3" s="11" t="s">
        <v>177</v>
      </c>
      <c r="F3" s="11" t="s">
        <v>1686</v>
      </c>
      <c r="G3" s="11" t="s">
        <v>1687</v>
      </c>
      <c r="H3" s="11" t="s">
        <v>5382</v>
      </c>
    </row>
    <row r="4" spans="1:8" s="1" customFormat="1" ht="135">
      <c r="A4" s="11">
        <v>2</v>
      </c>
      <c r="B4" s="11" t="s">
        <v>686</v>
      </c>
      <c r="C4" s="11">
        <v>8</v>
      </c>
      <c r="D4" s="11" t="s">
        <v>160</v>
      </c>
      <c r="E4" s="11" t="s">
        <v>177</v>
      </c>
      <c r="F4" s="11"/>
      <c r="G4" s="11" t="s">
        <v>4805</v>
      </c>
      <c r="H4" s="11" t="s">
        <v>5384</v>
      </c>
    </row>
    <row r="5" spans="1:8" s="1" customFormat="1" ht="60">
      <c r="A5" s="11">
        <v>3</v>
      </c>
      <c r="B5" s="11" t="s">
        <v>687</v>
      </c>
      <c r="C5" s="11">
        <v>1</v>
      </c>
      <c r="D5" s="11" t="s">
        <v>242</v>
      </c>
      <c r="E5" s="11"/>
      <c r="F5" s="11" t="s">
        <v>4650</v>
      </c>
      <c r="G5" s="11" t="s">
        <v>4649</v>
      </c>
      <c r="H5" s="11"/>
    </row>
    <row r="6" spans="1:8" s="1" customFormat="1" ht="45">
      <c r="A6" s="11">
        <v>4</v>
      </c>
      <c r="B6" s="11" t="s">
        <v>688</v>
      </c>
      <c r="C6" s="11">
        <v>1</v>
      </c>
      <c r="D6" s="11" t="s">
        <v>242</v>
      </c>
      <c r="E6" s="11"/>
      <c r="F6" s="11" t="s">
        <v>4651</v>
      </c>
      <c r="G6" s="11" t="s">
        <v>4652</v>
      </c>
      <c r="H6" s="11"/>
    </row>
    <row r="7" spans="1:8" s="1" customFormat="1" ht="45">
      <c r="A7" s="11">
        <v>5</v>
      </c>
      <c r="B7" s="11" t="s">
        <v>689</v>
      </c>
      <c r="C7" s="11">
        <v>2</v>
      </c>
      <c r="D7" s="11" t="s">
        <v>242</v>
      </c>
      <c r="E7" s="11"/>
      <c r="F7" s="11" t="s">
        <v>4653</v>
      </c>
      <c r="G7" s="11" t="s">
        <v>4654</v>
      </c>
      <c r="H7" s="11"/>
    </row>
    <row r="8" spans="1:8" s="1" customFormat="1" ht="60">
      <c r="A8" s="11">
        <v>6</v>
      </c>
      <c r="B8" s="11" t="s">
        <v>690</v>
      </c>
      <c r="C8" s="11">
        <v>3</v>
      </c>
      <c r="D8" s="11" t="s">
        <v>189</v>
      </c>
      <c r="E8" s="11"/>
      <c r="F8" s="11" t="s">
        <v>4655</v>
      </c>
      <c r="G8" s="11" t="s">
        <v>4656</v>
      </c>
      <c r="H8" s="11"/>
    </row>
    <row r="9" spans="1:8" s="1" customFormat="1">
      <c r="A9" s="11">
        <v>7</v>
      </c>
      <c r="B9" s="11" t="s">
        <v>243</v>
      </c>
      <c r="C9" s="11">
        <v>2</v>
      </c>
      <c r="D9" s="11" t="s">
        <v>242</v>
      </c>
      <c r="E9" s="11"/>
      <c r="F9" s="11" t="s">
        <v>2675</v>
      </c>
      <c r="G9" s="11"/>
      <c r="H9" s="11"/>
    </row>
    <row r="10" spans="1:8" s="1" customFormat="1">
      <c r="A10" s="11">
        <v>8</v>
      </c>
      <c r="B10" s="11" t="s">
        <v>1182</v>
      </c>
      <c r="C10" s="11">
        <v>12</v>
      </c>
      <c r="D10" s="11" t="s">
        <v>189</v>
      </c>
      <c r="E10" s="11" t="s">
        <v>5576</v>
      </c>
      <c r="F10" s="11" t="s">
        <v>1688</v>
      </c>
      <c r="G10" s="11" t="s">
        <v>1689</v>
      </c>
      <c r="H10" s="11"/>
    </row>
    <row r="11" spans="1:8" s="1" customFormat="1" ht="30">
      <c r="A11" s="11">
        <v>9</v>
      </c>
      <c r="B11" s="11" t="s">
        <v>1183</v>
      </c>
      <c r="C11" s="11">
        <v>30</v>
      </c>
      <c r="D11" s="11" t="s">
        <v>242</v>
      </c>
      <c r="E11" s="11" t="s">
        <v>5576</v>
      </c>
      <c r="F11" s="11" t="s">
        <v>1690</v>
      </c>
      <c r="G11" s="11" t="s">
        <v>1691</v>
      </c>
      <c r="H11" s="11"/>
    </row>
    <row r="12" spans="1:8" s="1" customFormat="1"/>
    <row r="13" spans="1:8" s="1" customFormat="1"/>
    <row r="14" spans="1:8" s="1" customFormat="1"/>
    <row r="15" spans="1:8" s="1" customFormat="1"/>
    <row r="16" spans="1:8"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1E38-A776-4DCB-9266-CD7E332E9D46}">
  <sheetPr codeName="Sheet38"/>
  <dimension ref="A1:XEY250"/>
  <sheetViews>
    <sheetView topLeftCell="A73" workbookViewId="0">
      <selection activeCell="C22" sqref="C22"/>
    </sheetView>
  </sheetViews>
  <sheetFormatPr defaultColWidth="32.140625" defaultRowHeight="15"/>
  <cols>
    <col min="1" max="1" width="7.140625" style="64" bestFit="1" customWidth="1"/>
    <col min="2" max="2" width="23.7109375" style="64" bestFit="1" customWidth="1"/>
    <col min="3" max="3" width="4.5703125" style="64" bestFit="1" customWidth="1"/>
    <col min="4" max="4" width="9" style="64" bestFit="1" customWidth="1"/>
    <col min="5" max="5" width="24.42578125" style="64" bestFit="1" customWidth="1"/>
    <col min="6" max="6" width="32.85546875" style="64" bestFit="1" customWidth="1"/>
    <col min="7" max="7" width="57" style="64" bestFit="1" customWidth="1"/>
    <col min="8" max="8" width="4.7109375" style="65" bestFit="1" customWidth="1"/>
    <col min="9" max="10" width="5.140625" style="65" bestFit="1" customWidth="1"/>
    <col min="11" max="16378" width="32.140625" style="2"/>
    <col min="16379" max="16379" width="1.7109375" style="2" customWidth="1"/>
    <col min="16380" max="16384" width="17.7109375" style="1" customWidth="1"/>
  </cols>
  <sheetData>
    <row r="1" spans="1:10" s="1" customFormat="1">
      <c r="A1" s="56" t="s">
        <v>238</v>
      </c>
      <c r="B1" s="56"/>
      <c r="C1" s="56"/>
      <c r="D1" s="56"/>
      <c r="E1" s="56"/>
      <c r="F1" s="56"/>
      <c r="G1" s="56"/>
      <c r="H1" s="92" t="s">
        <v>5363</v>
      </c>
      <c r="I1" s="93"/>
      <c r="J1" s="93"/>
    </row>
    <row r="2" spans="1:10" s="1" customFormat="1" ht="30">
      <c r="A2" s="10" t="s">
        <v>350</v>
      </c>
      <c r="B2" s="10" t="s">
        <v>156</v>
      </c>
      <c r="C2" s="10" t="s">
        <v>157</v>
      </c>
      <c r="D2" s="10" t="s">
        <v>239</v>
      </c>
      <c r="E2" s="10" t="s">
        <v>159</v>
      </c>
      <c r="F2" s="10" t="s">
        <v>1684</v>
      </c>
      <c r="G2" s="10" t="s">
        <v>1685</v>
      </c>
      <c r="H2" s="10" t="s">
        <v>5371</v>
      </c>
      <c r="I2" s="10" t="s">
        <v>5372</v>
      </c>
      <c r="J2" s="10" t="s">
        <v>5373</v>
      </c>
    </row>
    <row r="3" spans="1:10" s="1" customFormat="1">
      <c r="A3" s="57">
        <v>1</v>
      </c>
      <c r="B3" s="57" t="s">
        <v>240</v>
      </c>
      <c r="C3" s="57">
        <v>8</v>
      </c>
      <c r="D3" s="57" t="s">
        <v>160</v>
      </c>
      <c r="E3" s="57" t="s">
        <v>177</v>
      </c>
      <c r="F3" s="57" t="s">
        <v>1686</v>
      </c>
      <c r="G3" s="57" t="s">
        <v>1687</v>
      </c>
      <c r="H3" s="57" t="s">
        <v>5382</v>
      </c>
      <c r="I3" s="57" t="s">
        <v>5395</v>
      </c>
      <c r="J3" s="57" t="s">
        <v>5383</v>
      </c>
    </row>
    <row r="4" spans="1:10" s="1" customFormat="1" ht="30">
      <c r="A4" s="57">
        <v>2</v>
      </c>
      <c r="B4" s="57" t="s">
        <v>1038</v>
      </c>
      <c r="C4" s="57">
        <v>8</v>
      </c>
      <c r="D4" s="57" t="s">
        <v>160</v>
      </c>
      <c r="E4" s="57" t="s">
        <v>177</v>
      </c>
      <c r="F4" s="57" t="s">
        <v>4518</v>
      </c>
      <c r="G4" s="57" t="s">
        <v>4517</v>
      </c>
      <c r="H4" s="57" t="s">
        <v>5384</v>
      </c>
      <c r="I4" s="57" t="s">
        <v>5386</v>
      </c>
      <c r="J4" s="57" t="s">
        <v>5388</v>
      </c>
    </row>
    <row r="5" spans="1:10" s="1" customFormat="1" ht="75">
      <c r="A5" s="57">
        <v>3</v>
      </c>
      <c r="B5" s="57" t="s">
        <v>1039</v>
      </c>
      <c r="C5" s="57">
        <v>4</v>
      </c>
      <c r="D5" s="57" t="s">
        <v>242</v>
      </c>
      <c r="E5" s="57"/>
      <c r="F5" s="57" t="s">
        <v>4523</v>
      </c>
      <c r="G5" s="57" t="s">
        <v>4531</v>
      </c>
      <c r="H5" s="57" t="s">
        <v>5385</v>
      </c>
      <c r="I5" s="57"/>
      <c r="J5" s="57"/>
    </row>
    <row r="6" spans="1:10" s="1" customFormat="1">
      <c r="A6" s="57">
        <v>4</v>
      </c>
      <c r="B6" s="57" t="s">
        <v>614</v>
      </c>
      <c r="C6" s="57">
        <v>2</v>
      </c>
      <c r="D6" s="57" t="s">
        <v>242</v>
      </c>
      <c r="E6" s="57"/>
      <c r="F6" s="57" t="s">
        <v>4532</v>
      </c>
      <c r="G6" s="57" t="s">
        <v>4524</v>
      </c>
      <c r="H6" s="57" t="s">
        <v>5402</v>
      </c>
      <c r="I6" s="57"/>
      <c r="J6" s="57" t="s">
        <v>1291</v>
      </c>
    </row>
    <row r="7" spans="1:10" s="1" customFormat="1" ht="45">
      <c r="A7" s="57">
        <v>5</v>
      </c>
      <c r="B7" s="57" t="s">
        <v>1040</v>
      </c>
      <c r="C7" s="57">
        <v>14</v>
      </c>
      <c r="D7" s="57" t="s">
        <v>242</v>
      </c>
      <c r="E7" s="57"/>
      <c r="F7" s="57" t="s">
        <v>4525</v>
      </c>
      <c r="G7" s="57" t="s">
        <v>4526</v>
      </c>
      <c r="H7" s="57" t="s">
        <v>5451</v>
      </c>
      <c r="I7" s="57" t="s">
        <v>5387</v>
      </c>
      <c r="J7" s="57" t="s">
        <v>5396</v>
      </c>
    </row>
    <row r="8" spans="1:10" s="1" customFormat="1" ht="45">
      <c r="A8" s="57">
        <v>6</v>
      </c>
      <c r="B8" s="57" t="s">
        <v>1041</v>
      </c>
      <c r="C8" s="57">
        <v>7</v>
      </c>
      <c r="D8" s="57" t="s">
        <v>242</v>
      </c>
      <c r="E8" s="57"/>
      <c r="F8" s="57" t="s">
        <v>4534</v>
      </c>
      <c r="G8" s="57" t="s">
        <v>4533</v>
      </c>
      <c r="H8" s="57"/>
      <c r="I8" s="57"/>
      <c r="J8" s="57"/>
    </row>
    <row r="9" spans="1:10" s="1" customFormat="1" ht="45">
      <c r="A9" s="57">
        <v>7</v>
      </c>
      <c r="B9" s="57" t="s">
        <v>1042</v>
      </c>
      <c r="C9" s="57">
        <v>2</v>
      </c>
      <c r="D9" s="57" t="s">
        <v>242</v>
      </c>
      <c r="E9" s="57"/>
      <c r="F9" s="57" t="s">
        <v>3685</v>
      </c>
      <c r="G9" s="57" t="s">
        <v>4537</v>
      </c>
      <c r="H9" s="57"/>
      <c r="I9" s="57"/>
      <c r="J9" s="57"/>
    </row>
    <row r="10" spans="1:10" s="1" customFormat="1" ht="60">
      <c r="A10" s="57">
        <v>8</v>
      </c>
      <c r="B10" s="57" t="s">
        <v>1043</v>
      </c>
      <c r="C10" s="57">
        <v>1</v>
      </c>
      <c r="D10" s="57" t="s">
        <v>242</v>
      </c>
      <c r="E10" s="57"/>
      <c r="F10" s="57" t="s">
        <v>4535</v>
      </c>
      <c r="G10" s="57" t="s">
        <v>4536</v>
      </c>
      <c r="H10" s="57"/>
      <c r="I10" s="57"/>
      <c r="J10" s="57"/>
    </row>
    <row r="11" spans="1:10" s="1" customFormat="1" ht="225">
      <c r="A11" s="57">
        <v>9</v>
      </c>
      <c r="B11" s="57" t="s">
        <v>1044</v>
      </c>
      <c r="C11" s="57">
        <v>10</v>
      </c>
      <c r="D11" s="57" t="s">
        <v>242</v>
      </c>
      <c r="E11" s="57"/>
      <c r="F11" s="57" t="s">
        <v>4538</v>
      </c>
      <c r="G11" s="57" t="s">
        <v>4539</v>
      </c>
      <c r="H11" s="57"/>
      <c r="I11" s="57"/>
      <c r="J11" s="57"/>
    </row>
    <row r="12" spans="1:10" s="1" customFormat="1" ht="45">
      <c r="A12" s="57">
        <v>10</v>
      </c>
      <c r="B12" s="57" t="s">
        <v>1045</v>
      </c>
      <c r="C12" s="57">
        <v>25</v>
      </c>
      <c r="D12" s="57" t="s">
        <v>242</v>
      </c>
      <c r="E12" s="57"/>
      <c r="F12" s="57" t="s">
        <v>4519</v>
      </c>
      <c r="G12" s="57" t="s">
        <v>4542</v>
      </c>
      <c r="H12" s="57"/>
      <c r="I12" s="57"/>
      <c r="J12" s="57"/>
    </row>
    <row r="13" spans="1:10" s="1" customFormat="1" ht="45">
      <c r="A13" s="57">
        <v>11</v>
      </c>
      <c r="B13" s="57" t="s">
        <v>1046</v>
      </c>
      <c r="C13" s="57">
        <v>25</v>
      </c>
      <c r="D13" s="57" t="s">
        <v>242</v>
      </c>
      <c r="E13" s="57"/>
      <c r="F13" s="57" t="s">
        <v>4520</v>
      </c>
      <c r="G13" s="57" t="s">
        <v>4541</v>
      </c>
      <c r="H13" s="57"/>
      <c r="I13" s="57"/>
      <c r="J13" s="57"/>
    </row>
    <row r="14" spans="1:10" s="1" customFormat="1" ht="45">
      <c r="A14" s="57">
        <v>12</v>
      </c>
      <c r="B14" s="57" t="s">
        <v>1047</v>
      </c>
      <c r="C14" s="57">
        <v>25</v>
      </c>
      <c r="D14" s="57" t="s">
        <v>242</v>
      </c>
      <c r="E14" s="57"/>
      <c r="F14" s="57" t="s">
        <v>4521</v>
      </c>
      <c r="G14" s="57" t="s">
        <v>4540</v>
      </c>
      <c r="H14" s="57"/>
      <c r="I14" s="57"/>
      <c r="J14" s="57"/>
    </row>
    <row r="15" spans="1:10" s="1" customFormat="1" ht="45">
      <c r="A15" s="57">
        <v>13</v>
      </c>
      <c r="B15" s="57" t="s">
        <v>1048</v>
      </c>
      <c r="C15" s="57">
        <v>14</v>
      </c>
      <c r="D15" s="57" t="s">
        <v>189</v>
      </c>
      <c r="E15" s="57"/>
      <c r="F15" s="57" t="s">
        <v>2691</v>
      </c>
      <c r="G15" s="57" t="s">
        <v>4543</v>
      </c>
      <c r="H15" s="57"/>
      <c r="I15" s="57"/>
      <c r="J15" s="57"/>
    </row>
    <row r="16" spans="1:10" s="1" customFormat="1" ht="45">
      <c r="A16" s="57">
        <v>14</v>
      </c>
      <c r="B16" s="57" t="s">
        <v>1049</v>
      </c>
      <c r="C16" s="57">
        <v>14</v>
      </c>
      <c r="D16" s="57" t="s">
        <v>189</v>
      </c>
      <c r="E16" s="57"/>
      <c r="F16" s="57" t="s">
        <v>4544</v>
      </c>
      <c r="G16" s="57" t="s">
        <v>4545</v>
      </c>
      <c r="H16" s="57"/>
      <c r="I16" s="57"/>
      <c r="J16" s="57"/>
    </row>
    <row r="17" spans="1:10" s="1" customFormat="1" ht="45">
      <c r="A17" s="57">
        <v>15</v>
      </c>
      <c r="B17" s="57" t="s">
        <v>1050</v>
      </c>
      <c r="C17" s="57">
        <v>14</v>
      </c>
      <c r="D17" s="57" t="s">
        <v>189</v>
      </c>
      <c r="E17" s="57"/>
      <c r="F17" s="57" t="s">
        <v>2578</v>
      </c>
      <c r="G17" s="57" t="s">
        <v>4546</v>
      </c>
      <c r="H17" s="57"/>
      <c r="I17" s="57"/>
      <c r="J17" s="57"/>
    </row>
    <row r="18" spans="1:10" s="1" customFormat="1" ht="45">
      <c r="A18" s="57">
        <v>16</v>
      </c>
      <c r="B18" s="57" t="s">
        <v>1051</v>
      </c>
      <c r="C18" s="57">
        <v>8</v>
      </c>
      <c r="D18" s="57" t="s">
        <v>160</v>
      </c>
      <c r="E18" s="57" t="s">
        <v>177</v>
      </c>
      <c r="F18" s="57" t="s">
        <v>2519</v>
      </c>
      <c r="G18" s="57" t="s">
        <v>4547</v>
      </c>
      <c r="H18" s="57"/>
      <c r="I18" s="57"/>
      <c r="J18" s="57"/>
    </row>
    <row r="19" spans="1:10" s="1" customFormat="1" ht="255">
      <c r="A19" s="57">
        <v>17</v>
      </c>
      <c r="B19" s="57" t="s">
        <v>1052</v>
      </c>
      <c r="C19" s="57">
        <v>2</v>
      </c>
      <c r="D19" s="57" t="s">
        <v>242</v>
      </c>
      <c r="E19" s="57"/>
      <c r="F19" s="57" t="s">
        <v>2699</v>
      </c>
      <c r="G19" s="57" t="s">
        <v>4548</v>
      </c>
      <c r="H19" s="57"/>
      <c r="I19" s="57"/>
      <c r="J19" s="57"/>
    </row>
    <row r="20" spans="1:10" s="1" customFormat="1" ht="60">
      <c r="A20" s="57">
        <v>18</v>
      </c>
      <c r="B20" s="57" t="s">
        <v>1053</v>
      </c>
      <c r="C20" s="57">
        <v>1</v>
      </c>
      <c r="D20" s="57" t="s">
        <v>242</v>
      </c>
      <c r="E20" s="57"/>
      <c r="F20" s="57" t="s">
        <v>4549</v>
      </c>
      <c r="G20" s="57" t="s">
        <v>4550</v>
      </c>
      <c r="H20" s="57"/>
      <c r="I20" s="57"/>
      <c r="J20" s="57"/>
    </row>
    <row r="21" spans="1:10" s="1" customFormat="1" ht="75">
      <c r="A21" s="57">
        <v>19</v>
      </c>
      <c r="B21" s="57" t="s">
        <v>1054</v>
      </c>
      <c r="C21" s="57">
        <v>9</v>
      </c>
      <c r="D21" s="57" t="s">
        <v>189</v>
      </c>
      <c r="E21" s="57"/>
      <c r="F21" s="57" t="s">
        <v>4551</v>
      </c>
      <c r="G21" s="57" t="s">
        <v>4552</v>
      </c>
      <c r="H21" s="57"/>
      <c r="I21" s="57"/>
      <c r="J21" s="57"/>
    </row>
    <row r="22" spans="1:10" s="1" customFormat="1" ht="45">
      <c r="A22" s="57">
        <v>20</v>
      </c>
      <c r="B22" s="57" t="s">
        <v>1055</v>
      </c>
      <c r="C22" s="57">
        <v>8</v>
      </c>
      <c r="D22" s="57" t="s">
        <v>160</v>
      </c>
      <c r="E22" s="57" t="s">
        <v>177</v>
      </c>
      <c r="F22" s="57" t="s">
        <v>4553</v>
      </c>
      <c r="G22" s="57" t="s">
        <v>4558</v>
      </c>
      <c r="H22" s="57"/>
      <c r="I22" s="57"/>
      <c r="J22" s="57"/>
    </row>
    <row r="23" spans="1:10" s="1" customFormat="1" ht="75">
      <c r="A23" s="57">
        <v>21</v>
      </c>
      <c r="B23" s="57" t="s">
        <v>1056</v>
      </c>
      <c r="C23" s="57">
        <v>2</v>
      </c>
      <c r="D23" s="57" t="s">
        <v>242</v>
      </c>
      <c r="E23" s="57"/>
      <c r="F23" s="57" t="s">
        <v>4554</v>
      </c>
      <c r="G23" s="57" t="s">
        <v>4559</v>
      </c>
      <c r="H23" s="57"/>
      <c r="I23" s="57"/>
      <c r="J23" s="57"/>
    </row>
    <row r="24" spans="1:10" s="1" customFormat="1" ht="60">
      <c r="A24" s="57">
        <v>22</v>
      </c>
      <c r="B24" s="57" t="s">
        <v>1057</v>
      </c>
      <c r="C24" s="57">
        <v>8</v>
      </c>
      <c r="D24" s="57" t="s">
        <v>160</v>
      </c>
      <c r="E24" s="57" t="s">
        <v>177</v>
      </c>
      <c r="F24" s="57" t="s">
        <v>4560</v>
      </c>
      <c r="G24" s="57" t="s">
        <v>4561</v>
      </c>
      <c r="H24" s="57"/>
      <c r="I24" s="57"/>
      <c r="J24" s="57"/>
    </row>
    <row r="25" spans="1:10" s="1" customFormat="1" ht="90">
      <c r="A25" s="57">
        <v>23</v>
      </c>
      <c r="B25" s="57" t="s">
        <v>1058</v>
      </c>
      <c r="C25" s="57">
        <v>14</v>
      </c>
      <c r="D25" s="57" t="s">
        <v>189</v>
      </c>
      <c r="E25" s="57"/>
      <c r="F25" s="57" t="s">
        <v>4555</v>
      </c>
      <c r="G25" s="57" t="s">
        <v>4556</v>
      </c>
      <c r="H25" s="57"/>
      <c r="I25" s="57"/>
      <c r="J25" s="57"/>
    </row>
    <row r="26" spans="1:10" s="1" customFormat="1" ht="240">
      <c r="A26" s="57">
        <v>24</v>
      </c>
      <c r="B26" s="57" t="s">
        <v>1059</v>
      </c>
      <c r="C26" s="57">
        <v>1</v>
      </c>
      <c r="D26" s="57" t="s">
        <v>242</v>
      </c>
      <c r="E26" s="57"/>
      <c r="F26" s="57" t="s">
        <v>2732</v>
      </c>
      <c r="G26" s="57" t="s">
        <v>4557</v>
      </c>
      <c r="H26" s="57"/>
      <c r="I26" s="57"/>
      <c r="J26" s="57"/>
    </row>
    <row r="27" spans="1:10" s="1" customFormat="1" ht="150">
      <c r="A27" s="57">
        <v>25</v>
      </c>
      <c r="B27" s="57" t="s">
        <v>1060</v>
      </c>
      <c r="C27" s="57">
        <v>1</v>
      </c>
      <c r="D27" s="57" t="s">
        <v>242</v>
      </c>
      <c r="E27" s="57"/>
      <c r="F27" s="57" t="s">
        <v>3990</v>
      </c>
      <c r="G27" s="57" t="s">
        <v>4562</v>
      </c>
      <c r="H27" s="57"/>
      <c r="I27" s="57"/>
      <c r="J27" s="57"/>
    </row>
    <row r="28" spans="1:10" s="1" customFormat="1" ht="60">
      <c r="A28" s="57">
        <v>26</v>
      </c>
      <c r="B28" s="57" t="s">
        <v>1061</v>
      </c>
      <c r="C28" s="57">
        <v>1</v>
      </c>
      <c r="D28" s="57" t="s">
        <v>242</v>
      </c>
      <c r="E28" s="57"/>
      <c r="F28" s="57" t="s">
        <v>3984</v>
      </c>
      <c r="G28" s="57" t="s">
        <v>3985</v>
      </c>
      <c r="H28" s="57"/>
      <c r="I28" s="57"/>
      <c r="J28" s="57"/>
    </row>
    <row r="29" spans="1:10" s="1" customFormat="1" ht="135">
      <c r="A29" s="57">
        <v>27</v>
      </c>
      <c r="B29" s="57" t="s">
        <v>1062</v>
      </c>
      <c r="C29" s="57">
        <v>1</v>
      </c>
      <c r="D29" s="57" t="s">
        <v>242</v>
      </c>
      <c r="E29" s="57"/>
      <c r="F29" s="57" t="s">
        <v>4563</v>
      </c>
      <c r="G29" s="57" t="s">
        <v>4564</v>
      </c>
      <c r="H29" s="57"/>
      <c r="I29" s="57"/>
      <c r="J29" s="57"/>
    </row>
    <row r="30" spans="1:10" s="1" customFormat="1" ht="60">
      <c r="A30" s="57">
        <v>28</v>
      </c>
      <c r="B30" s="57" t="s">
        <v>1063</v>
      </c>
      <c r="C30" s="57">
        <v>1</v>
      </c>
      <c r="D30" s="57" t="s">
        <v>242</v>
      </c>
      <c r="E30" s="57"/>
      <c r="F30" s="57" t="s">
        <v>4565</v>
      </c>
      <c r="G30" s="57" t="s">
        <v>4566</v>
      </c>
      <c r="H30" s="57"/>
      <c r="I30" s="57"/>
      <c r="J30" s="57"/>
    </row>
    <row r="31" spans="1:10" s="1" customFormat="1" ht="105">
      <c r="A31" s="57">
        <v>29</v>
      </c>
      <c r="B31" s="57" t="s">
        <v>1064</v>
      </c>
      <c r="C31" s="57">
        <v>14</v>
      </c>
      <c r="D31" s="57" t="s">
        <v>242</v>
      </c>
      <c r="E31" s="57"/>
      <c r="F31" s="57" t="s">
        <v>2728</v>
      </c>
      <c r="G31" s="57" t="s">
        <v>4567</v>
      </c>
      <c r="H31" s="57"/>
      <c r="I31" s="57"/>
      <c r="J31" s="57"/>
    </row>
    <row r="32" spans="1:10" s="1" customFormat="1" ht="45">
      <c r="A32" s="57">
        <v>30</v>
      </c>
      <c r="B32" s="57" t="s">
        <v>1065</v>
      </c>
      <c r="C32" s="57">
        <v>8</v>
      </c>
      <c r="D32" s="57" t="s">
        <v>160</v>
      </c>
      <c r="E32" s="57" t="s">
        <v>177</v>
      </c>
      <c r="F32" s="57" t="s">
        <v>4568</v>
      </c>
      <c r="G32" s="57" t="s">
        <v>4569</v>
      </c>
      <c r="H32" s="57"/>
      <c r="I32" s="57"/>
      <c r="J32" s="57"/>
    </row>
    <row r="33" spans="1:11" s="1" customFormat="1" ht="105">
      <c r="A33" s="57">
        <v>31</v>
      </c>
      <c r="B33" s="57" t="s">
        <v>1066</v>
      </c>
      <c r="C33" s="57">
        <v>1</v>
      </c>
      <c r="D33" s="57" t="s">
        <v>242</v>
      </c>
      <c r="E33" s="57"/>
      <c r="F33" s="57" t="s">
        <v>4570</v>
      </c>
      <c r="G33" s="57" t="s">
        <v>4571</v>
      </c>
      <c r="H33" s="57"/>
      <c r="I33" s="57"/>
      <c r="J33" s="57"/>
    </row>
    <row r="34" spans="1:11" s="1" customFormat="1" ht="30">
      <c r="A34" s="57">
        <v>32</v>
      </c>
      <c r="B34" s="57" t="s">
        <v>1067</v>
      </c>
      <c r="C34" s="57">
        <v>105</v>
      </c>
      <c r="D34" s="57" t="s">
        <v>242</v>
      </c>
      <c r="E34" s="57"/>
      <c r="F34" s="57" t="s">
        <v>4572</v>
      </c>
      <c r="G34" s="57" t="s">
        <v>4573</v>
      </c>
      <c r="H34" s="57"/>
      <c r="I34" s="57"/>
      <c r="J34" s="57"/>
    </row>
    <row r="35" spans="1:11" s="1" customFormat="1" ht="30">
      <c r="A35" s="57">
        <v>33</v>
      </c>
      <c r="B35" s="57" t="s">
        <v>1068</v>
      </c>
      <c r="C35" s="57">
        <v>1</v>
      </c>
      <c r="D35" s="57" t="s">
        <v>242</v>
      </c>
      <c r="E35" s="57"/>
      <c r="F35" s="57" t="s">
        <v>4574</v>
      </c>
      <c r="G35" s="57" t="s">
        <v>4575</v>
      </c>
      <c r="H35" s="57"/>
      <c r="I35" s="57"/>
      <c r="J35" s="57"/>
    </row>
    <row r="36" spans="1:11" s="1" customFormat="1" ht="60">
      <c r="A36" s="57">
        <v>34</v>
      </c>
      <c r="B36" s="57" t="s">
        <v>1069</v>
      </c>
      <c r="C36" s="57">
        <v>2</v>
      </c>
      <c r="D36" s="57" t="s">
        <v>242</v>
      </c>
      <c r="E36" s="57"/>
      <c r="F36" s="57" t="s">
        <v>4576</v>
      </c>
      <c r="G36" s="57" t="s">
        <v>4577</v>
      </c>
      <c r="H36" s="57"/>
      <c r="I36" s="57"/>
      <c r="J36" s="57"/>
    </row>
    <row r="37" spans="1:11" s="1" customFormat="1" ht="90">
      <c r="A37" s="57">
        <v>35</v>
      </c>
      <c r="B37" s="57" t="s">
        <v>1070</v>
      </c>
      <c r="C37" s="57">
        <v>2</v>
      </c>
      <c r="D37" s="57" t="s">
        <v>242</v>
      </c>
      <c r="E37" s="57"/>
      <c r="F37" s="57" t="s">
        <v>4578</v>
      </c>
      <c r="G37" s="57" t="s">
        <v>4579</v>
      </c>
      <c r="H37" s="57"/>
      <c r="I37" s="57"/>
      <c r="J37" s="57"/>
    </row>
    <row r="38" spans="1:11" s="1" customFormat="1" ht="60">
      <c r="A38" s="57">
        <v>36</v>
      </c>
      <c r="B38" s="57" t="s">
        <v>1071</v>
      </c>
      <c r="C38" s="57">
        <v>8</v>
      </c>
      <c r="D38" s="57" t="s">
        <v>160</v>
      </c>
      <c r="E38" s="57" t="s">
        <v>177</v>
      </c>
      <c r="F38" s="57" t="s">
        <v>4580</v>
      </c>
      <c r="G38" s="57" t="s">
        <v>4583</v>
      </c>
      <c r="H38" s="57"/>
      <c r="I38" s="57"/>
      <c r="J38" s="57"/>
    </row>
    <row r="39" spans="1:11" s="1" customFormat="1" ht="135">
      <c r="A39" s="57">
        <v>37</v>
      </c>
      <c r="B39" s="57" t="s">
        <v>1072</v>
      </c>
      <c r="C39" s="57">
        <v>1</v>
      </c>
      <c r="D39" s="57" t="s">
        <v>242</v>
      </c>
      <c r="E39" s="57"/>
      <c r="F39" s="57" t="s">
        <v>4584</v>
      </c>
      <c r="G39" s="57" t="s">
        <v>4585</v>
      </c>
      <c r="H39" s="57"/>
      <c r="I39" s="57"/>
      <c r="J39" s="57"/>
    </row>
    <row r="40" spans="1:11" s="1" customFormat="1" ht="75">
      <c r="A40" s="57">
        <v>38</v>
      </c>
      <c r="B40" s="57" t="s">
        <v>1073</v>
      </c>
      <c r="C40" s="57">
        <v>1</v>
      </c>
      <c r="D40" s="57" t="s">
        <v>242</v>
      </c>
      <c r="E40" s="57"/>
      <c r="F40" s="57" t="s">
        <v>4586</v>
      </c>
      <c r="G40" s="57" t="s">
        <v>4587</v>
      </c>
      <c r="H40" s="57"/>
      <c r="I40" s="57"/>
      <c r="J40" s="57"/>
    </row>
    <row r="41" spans="1:11" s="1" customFormat="1" ht="75">
      <c r="A41" s="57">
        <v>39</v>
      </c>
      <c r="B41" s="57" t="s">
        <v>1074</v>
      </c>
      <c r="C41" s="57">
        <v>1</v>
      </c>
      <c r="D41" s="57" t="s">
        <v>242</v>
      </c>
      <c r="E41" s="57"/>
      <c r="F41" s="57" t="s">
        <v>4588</v>
      </c>
      <c r="G41" s="57" t="s">
        <v>4589</v>
      </c>
      <c r="H41" s="57"/>
      <c r="I41" s="57"/>
      <c r="J41" s="57"/>
    </row>
    <row r="42" spans="1:11" s="1" customFormat="1" ht="45">
      <c r="A42" s="59">
        <v>40</v>
      </c>
      <c r="B42" s="59" t="s">
        <v>1075</v>
      </c>
      <c r="C42" s="59">
        <v>14</v>
      </c>
      <c r="D42" s="59" t="s">
        <v>242</v>
      </c>
      <c r="E42" s="59"/>
      <c r="F42" s="59" t="s">
        <v>4590</v>
      </c>
      <c r="G42" s="59" t="s">
        <v>4591</v>
      </c>
      <c r="H42" s="59"/>
      <c r="I42" s="59"/>
      <c r="J42" s="59"/>
      <c r="K42" s="31" t="s">
        <v>7124</v>
      </c>
    </row>
    <row r="43" spans="1:11" s="1" customFormat="1" ht="75">
      <c r="A43" s="57">
        <v>41</v>
      </c>
      <c r="B43" s="57" t="s">
        <v>1076</v>
      </c>
      <c r="C43" s="57">
        <v>1</v>
      </c>
      <c r="D43" s="57" t="s">
        <v>242</v>
      </c>
      <c r="E43" s="57"/>
      <c r="F43" s="57" t="s">
        <v>4592</v>
      </c>
      <c r="G43" s="57" t="s">
        <v>4593</v>
      </c>
      <c r="H43" s="57"/>
      <c r="I43" s="57"/>
      <c r="J43" s="57"/>
    </row>
    <row r="44" spans="1:11" s="1" customFormat="1" ht="30">
      <c r="A44" s="57">
        <v>42</v>
      </c>
      <c r="B44" s="57" t="s">
        <v>1077</v>
      </c>
      <c r="C44" s="57">
        <v>8</v>
      </c>
      <c r="D44" s="57" t="s">
        <v>160</v>
      </c>
      <c r="E44" s="57" t="s">
        <v>177</v>
      </c>
      <c r="F44" s="57" t="s">
        <v>4594</v>
      </c>
      <c r="G44" s="57" t="s">
        <v>4595</v>
      </c>
      <c r="H44" s="57"/>
      <c r="I44" s="57"/>
      <c r="J44" s="57"/>
    </row>
    <row r="45" spans="1:11" s="1" customFormat="1" ht="45">
      <c r="A45" s="57">
        <v>43</v>
      </c>
      <c r="B45" s="57" t="s">
        <v>1078</v>
      </c>
      <c r="C45" s="57">
        <v>8</v>
      </c>
      <c r="D45" s="57" t="s">
        <v>189</v>
      </c>
      <c r="E45" s="57"/>
      <c r="F45" s="57" t="s">
        <v>4596</v>
      </c>
      <c r="G45" s="57" t="s">
        <v>4597</v>
      </c>
      <c r="H45" s="57"/>
      <c r="I45" s="57"/>
      <c r="J45" s="57"/>
    </row>
    <row r="46" spans="1:11" s="1" customFormat="1" ht="180">
      <c r="A46" s="57">
        <v>44</v>
      </c>
      <c r="B46" s="57" t="s">
        <v>1079</v>
      </c>
      <c r="C46" s="57">
        <v>1</v>
      </c>
      <c r="D46" s="57" t="s">
        <v>242</v>
      </c>
      <c r="E46" s="57"/>
      <c r="F46" s="57" t="s">
        <v>4598</v>
      </c>
      <c r="G46" s="57" t="s">
        <v>4599</v>
      </c>
      <c r="H46" s="57"/>
      <c r="I46" s="57"/>
      <c r="J46" s="57"/>
    </row>
    <row r="47" spans="1:11" s="1" customFormat="1" ht="105">
      <c r="A47" s="57">
        <v>45</v>
      </c>
      <c r="B47" s="57" t="s">
        <v>1080</v>
      </c>
      <c r="C47" s="57">
        <v>14</v>
      </c>
      <c r="D47" s="57" t="s">
        <v>189</v>
      </c>
      <c r="E47" s="57"/>
      <c r="F47" s="57" t="s">
        <v>4600</v>
      </c>
      <c r="G47" s="57" t="s">
        <v>4601</v>
      </c>
      <c r="H47" s="57"/>
      <c r="I47" s="57"/>
      <c r="J47" s="57"/>
    </row>
    <row r="48" spans="1:11" s="1" customFormat="1" ht="90">
      <c r="A48" s="57">
        <v>46</v>
      </c>
      <c r="B48" s="57" t="s">
        <v>1081</v>
      </c>
      <c r="C48" s="57">
        <v>15</v>
      </c>
      <c r="D48" s="57" t="s">
        <v>242</v>
      </c>
      <c r="E48" s="57"/>
      <c r="F48" s="57" t="s">
        <v>4581</v>
      </c>
      <c r="G48" s="57" t="s">
        <v>4602</v>
      </c>
      <c r="H48" s="57"/>
      <c r="I48" s="57"/>
      <c r="J48" s="57"/>
    </row>
    <row r="49" spans="1:10" s="1" customFormat="1" ht="45">
      <c r="A49" s="57">
        <v>47</v>
      </c>
      <c r="B49" s="57" t="s">
        <v>1082</v>
      </c>
      <c r="C49" s="57">
        <v>6</v>
      </c>
      <c r="D49" s="57" t="s">
        <v>242</v>
      </c>
      <c r="E49" s="57"/>
      <c r="F49" s="57" t="s">
        <v>4604</v>
      </c>
      <c r="G49" s="57" t="s">
        <v>4605</v>
      </c>
      <c r="H49" s="57"/>
      <c r="I49" s="57"/>
      <c r="J49" s="57"/>
    </row>
    <row r="50" spans="1:10" s="1" customFormat="1" ht="75">
      <c r="A50" s="57">
        <v>48</v>
      </c>
      <c r="B50" s="57" t="s">
        <v>1083</v>
      </c>
      <c r="C50" s="57">
        <v>9</v>
      </c>
      <c r="D50" s="57" t="s">
        <v>189</v>
      </c>
      <c r="E50" s="57"/>
      <c r="F50" s="57" t="s">
        <v>4603</v>
      </c>
      <c r="G50" s="57" t="s">
        <v>4606</v>
      </c>
      <c r="H50" s="57"/>
      <c r="I50" s="57"/>
      <c r="J50" s="57"/>
    </row>
    <row r="51" spans="1:10" s="1" customFormat="1" ht="45">
      <c r="A51" s="57">
        <v>49</v>
      </c>
      <c r="B51" s="57" t="s">
        <v>1084</v>
      </c>
      <c r="C51" s="57">
        <v>9</v>
      </c>
      <c r="D51" s="57" t="s">
        <v>189</v>
      </c>
      <c r="E51" s="57"/>
      <c r="F51" s="57" t="s">
        <v>4608</v>
      </c>
      <c r="G51" s="57" t="s">
        <v>4607</v>
      </c>
      <c r="H51" s="57"/>
      <c r="I51" s="57"/>
      <c r="J51" s="57"/>
    </row>
    <row r="52" spans="1:10" s="1" customFormat="1" ht="60">
      <c r="A52" s="57">
        <v>50</v>
      </c>
      <c r="B52" s="57" t="s">
        <v>1085</v>
      </c>
      <c r="C52" s="57">
        <v>1</v>
      </c>
      <c r="D52" s="57" t="s">
        <v>242</v>
      </c>
      <c r="E52" s="57"/>
      <c r="F52" s="57" t="s">
        <v>4609</v>
      </c>
      <c r="G52" s="57" t="s">
        <v>4611</v>
      </c>
      <c r="H52" s="57"/>
      <c r="I52" s="57"/>
      <c r="J52" s="57"/>
    </row>
    <row r="53" spans="1:10" s="1" customFormat="1" ht="75">
      <c r="A53" s="57">
        <v>51</v>
      </c>
      <c r="B53" s="57" t="s">
        <v>1086</v>
      </c>
      <c r="C53" s="57">
        <v>1</v>
      </c>
      <c r="D53" s="57" t="s">
        <v>242</v>
      </c>
      <c r="E53" s="57"/>
      <c r="F53" s="57" t="s">
        <v>4613</v>
      </c>
      <c r="G53" s="57" t="s">
        <v>4612</v>
      </c>
      <c r="H53" s="57"/>
      <c r="I53" s="57"/>
      <c r="J53" s="57"/>
    </row>
    <row r="54" spans="1:10" s="1" customFormat="1" ht="45">
      <c r="A54" s="57">
        <v>52</v>
      </c>
      <c r="B54" s="57" t="s">
        <v>1087</v>
      </c>
      <c r="C54" s="57">
        <v>14</v>
      </c>
      <c r="D54" s="57" t="s">
        <v>189</v>
      </c>
      <c r="E54" s="57"/>
      <c r="F54" s="57" t="s">
        <v>2740</v>
      </c>
      <c r="G54" s="57" t="s">
        <v>4610</v>
      </c>
      <c r="H54" s="57"/>
      <c r="I54" s="57"/>
      <c r="J54" s="57"/>
    </row>
    <row r="55" spans="1:10" s="1" customFormat="1" ht="75">
      <c r="A55" s="57">
        <v>53</v>
      </c>
      <c r="B55" s="57" t="s">
        <v>1088</v>
      </c>
      <c r="C55" s="57">
        <v>1</v>
      </c>
      <c r="D55" s="57" t="s">
        <v>242</v>
      </c>
      <c r="E55" s="57"/>
      <c r="F55" s="57" t="s">
        <v>4614</v>
      </c>
      <c r="G55" s="57" t="s">
        <v>4617</v>
      </c>
      <c r="H55" s="57"/>
      <c r="I55" s="57"/>
      <c r="J55" s="57"/>
    </row>
    <row r="56" spans="1:10" s="1" customFormat="1" ht="45">
      <c r="A56" s="57">
        <v>54</v>
      </c>
      <c r="B56" s="57" t="s">
        <v>1089</v>
      </c>
      <c r="C56" s="57">
        <v>5</v>
      </c>
      <c r="D56" s="57" t="s">
        <v>242</v>
      </c>
      <c r="E56" s="57"/>
      <c r="F56" s="57" t="s">
        <v>4616</v>
      </c>
      <c r="G56" s="57" t="s">
        <v>4615</v>
      </c>
      <c r="H56" s="57"/>
      <c r="I56" s="57"/>
      <c r="J56" s="57"/>
    </row>
    <row r="57" spans="1:10" s="1" customFormat="1" ht="105">
      <c r="A57" s="57">
        <v>55</v>
      </c>
      <c r="B57" s="57" t="s">
        <v>1090</v>
      </c>
      <c r="C57" s="57">
        <v>1</v>
      </c>
      <c r="D57" s="57" t="s">
        <v>242</v>
      </c>
      <c r="E57" s="57"/>
      <c r="F57" s="57" t="s">
        <v>4582</v>
      </c>
      <c r="G57" s="57" t="s">
        <v>4618</v>
      </c>
      <c r="H57" s="57"/>
      <c r="I57" s="57"/>
      <c r="J57" s="57"/>
    </row>
    <row r="58" spans="1:10" s="1" customFormat="1" ht="60">
      <c r="A58" s="57">
        <v>56</v>
      </c>
      <c r="B58" s="57" t="s">
        <v>1091</v>
      </c>
      <c r="C58" s="57">
        <v>4</v>
      </c>
      <c r="D58" s="57" t="s">
        <v>242</v>
      </c>
      <c r="E58" s="57"/>
      <c r="F58" s="57" t="s">
        <v>4620</v>
      </c>
      <c r="G58" s="57" t="s">
        <v>4619</v>
      </c>
      <c r="H58" s="57"/>
      <c r="I58" s="57"/>
      <c r="J58" s="57"/>
    </row>
    <row r="59" spans="1:10" s="1" customFormat="1">
      <c r="A59" s="57">
        <v>57</v>
      </c>
      <c r="B59" s="57" t="s">
        <v>1092</v>
      </c>
      <c r="C59" s="57">
        <v>4</v>
      </c>
      <c r="D59" s="57" t="s">
        <v>242</v>
      </c>
      <c r="E59" s="57"/>
      <c r="F59" s="57" t="s">
        <v>4621</v>
      </c>
      <c r="G59" s="57" t="s">
        <v>4621</v>
      </c>
      <c r="H59" s="57"/>
      <c r="I59" s="57"/>
      <c r="J59" s="57"/>
    </row>
    <row r="60" spans="1:10" s="1" customFormat="1" ht="75">
      <c r="A60" s="57">
        <v>58</v>
      </c>
      <c r="B60" s="57" t="s">
        <v>1093</v>
      </c>
      <c r="C60" s="57">
        <v>3</v>
      </c>
      <c r="D60" s="57" t="s">
        <v>242</v>
      </c>
      <c r="E60" s="57"/>
      <c r="F60" s="57" t="s">
        <v>4622</v>
      </c>
      <c r="G60" s="57" t="s">
        <v>4623</v>
      </c>
      <c r="H60" s="57"/>
      <c r="I60" s="57"/>
      <c r="J60" s="57"/>
    </row>
    <row r="61" spans="1:10" s="1" customFormat="1" ht="30">
      <c r="A61" s="57">
        <v>59</v>
      </c>
      <c r="B61" s="57" t="s">
        <v>1094</v>
      </c>
      <c r="C61" s="57">
        <v>6</v>
      </c>
      <c r="D61" s="57" t="s">
        <v>242</v>
      </c>
      <c r="E61" s="57"/>
      <c r="F61" s="57" t="s">
        <v>4624</v>
      </c>
      <c r="G61" s="57" t="s">
        <v>4625</v>
      </c>
      <c r="H61" s="57"/>
      <c r="I61" s="57"/>
      <c r="J61" s="57"/>
    </row>
    <row r="62" spans="1:10" s="1" customFormat="1" ht="30">
      <c r="A62" s="57">
        <v>60</v>
      </c>
      <c r="B62" s="57" t="s">
        <v>1095</v>
      </c>
      <c r="C62" s="57">
        <v>16</v>
      </c>
      <c r="D62" s="57" t="s">
        <v>242</v>
      </c>
      <c r="E62" s="57"/>
      <c r="F62" s="57" t="s">
        <v>4626</v>
      </c>
      <c r="G62" s="57" t="s">
        <v>4627</v>
      </c>
      <c r="H62" s="57"/>
      <c r="I62" s="57"/>
      <c r="J62" s="57"/>
    </row>
    <row r="63" spans="1:10" s="1" customFormat="1" ht="30">
      <c r="A63" s="57">
        <v>61</v>
      </c>
      <c r="B63" s="57" t="s">
        <v>1096</v>
      </c>
      <c r="C63" s="57">
        <v>16</v>
      </c>
      <c r="D63" s="57" t="s">
        <v>242</v>
      </c>
      <c r="E63" s="57"/>
      <c r="F63" s="57" t="s">
        <v>4628</v>
      </c>
      <c r="G63" s="57" t="s">
        <v>4629</v>
      </c>
      <c r="H63" s="57"/>
      <c r="I63" s="57"/>
      <c r="J63" s="57"/>
    </row>
    <row r="64" spans="1:10" s="1" customFormat="1" ht="30">
      <c r="A64" s="57">
        <v>62</v>
      </c>
      <c r="B64" s="57" t="s">
        <v>1097</v>
      </c>
      <c r="C64" s="57">
        <v>35</v>
      </c>
      <c r="D64" s="57" t="s">
        <v>242</v>
      </c>
      <c r="E64" s="57"/>
      <c r="F64" s="57" t="s">
        <v>4630</v>
      </c>
      <c r="G64" s="57" t="s">
        <v>4636</v>
      </c>
      <c r="H64" s="57"/>
      <c r="I64" s="57"/>
      <c r="J64" s="57"/>
    </row>
    <row r="65" spans="1:10" s="1" customFormat="1" ht="30">
      <c r="A65" s="57">
        <v>63</v>
      </c>
      <c r="B65" s="57" t="s">
        <v>1098</v>
      </c>
      <c r="C65" s="57">
        <v>35</v>
      </c>
      <c r="D65" s="57" t="s">
        <v>242</v>
      </c>
      <c r="E65" s="57"/>
      <c r="F65" s="57" t="s">
        <v>4631</v>
      </c>
      <c r="G65" s="57" t="s">
        <v>4637</v>
      </c>
      <c r="H65" s="57"/>
      <c r="I65" s="57"/>
      <c r="J65" s="57"/>
    </row>
    <row r="66" spans="1:10" s="1" customFormat="1" ht="30">
      <c r="A66" s="57">
        <v>64</v>
      </c>
      <c r="B66" s="57" t="s">
        <v>1099</v>
      </c>
      <c r="C66" s="57">
        <v>35</v>
      </c>
      <c r="D66" s="57" t="s">
        <v>242</v>
      </c>
      <c r="E66" s="57"/>
      <c r="F66" s="57" t="s">
        <v>4632</v>
      </c>
      <c r="G66" s="57" t="s">
        <v>4638</v>
      </c>
      <c r="H66" s="57"/>
      <c r="I66" s="57"/>
      <c r="J66" s="57"/>
    </row>
    <row r="67" spans="1:10" s="1" customFormat="1" ht="30">
      <c r="A67" s="57">
        <v>65</v>
      </c>
      <c r="B67" s="57" t="s">
        <v>1100</v>
      </c>
      <c r="C67" s="57">
        <v>35</v>
      </c>
      <c r="D67" s="57" t="s">
        <v>242</v>
      </c>
      <c r="E67" s="57"/>
      <c r="F67" s="57" t="s">
        <v>4633</v>
      </c>
      <c r="G67" s="57" t="s">
        <v>4639</v>
      </c>
      <c r="H67" s="57"/>
      <c r="I67" s="57"/>
      <c r="J67" s="57"/>
    </row>
    <row r="68" spans="1:10" s="1" customFormat="1" ht="30">
      <c r="A68" s="57">
        <v>66</v>
      </c>
      <c r="B68" s="57" t="s">
        <v>1101</v>
      </c>
      <c r="C68" s="57">
        <v>35</v>
      </c>
      <c r="D68" s="57" t="s">
        <v>242</v>
      </c>
      <c r="E68" s="57"/>
      <c r="F68" s="57" t="s">
        <v>4634</v>
      </c>
      <c r="G68" s="57" t="s">
        <v>4640</v>
      </c>
      <c r="H68" s="57"/>
      <c r="I68" s="57"/>
      <c r="J68" s="57"/>
    </row>
    <row r="69" spans="1:10" s="1" customFormat="1" ht="30">
      <c r="A69" s="57">
        <v>67</v>
      </c>
      <c r="B69" s="57" t="s">
        <v>1102</v>
      </c>
      <c r="C69" s="57">
        <v>35</v>
      </c>
      <c r="D69" s="57" t="s">
        <v>242</v>
      </c>
      <c r="E69" s="57"/>
      <c r="F69" s="57" t="s">
        <v>4635</v>
      </c>
      <c r="G69" s="57" t="s">
        <v>4641</v>
      </c>
      <c r="H69" s="57"/>
      <c r="I69" s="57"/>
      <c r="J69" s="57"/>
    </row>
    <row r="70" spans="1:10" s="1" customFormat="1" ht="45">
      <c r="A70" s="57">
        <v>68</v>
      </c>
      <c r="B70" s="57" t="s">
        <v>1103</v>
      </c>
      <c r="C70" s="57">
        <v>1</v>
      </c>
      <c r="D70" s="57" t="s">
        <v>242</v>
      </c>
      <c r="E70" s="57"/>
      <c r="F70" s="57" t="s">
        <v>4643</v>
      </c>
      <c r="G70" s="57" t="s">
        <v>4642</v>
      </c>
      <c r="H70" s="57"/>
      <c r="I70" s="57"/>
      <c r="J70" s="57"/>
    </row>
    <row r="71" spans="1:10" s="1" customFormat="1" ht="45">
      <c r="A71" s="57">
        <v>69</v>
      </c>
      <c r="B71" s="57" t="s">
        <v>1104</v>
      </c>
      <c r="C71" s="57">
        <v>1</v>
      </c>
      <c r="D71" s="57" t="s">
        <v>242</v>
      </c>
      <c r="E71" s="57"/>
      <c r="F71" s="57" t="s">
        <v>4646</v>
      </c>
      <c r="G71" s="57" t="s">
        <v>4642</v>
      </c>
      <c r="H71" s="57"/>
      <c r="I71" s="57"/>
      <c r="J71" s="57"/>
    </row>
    <row r="72" spans="1:10" s="1" customFormat="1" ht="45">
      <c r="A72" s="57">
        <v>70</v>
      </c>
      <c r="B72" s="57" t="s">
        <v>1105</v>
      </c>
      <c r="C72" s="57">
        <v>1</v>
      </c>
      <c r="D72" s="57" t="s">
        <v>242</v>
      </c>
      <c r="E72" s="57"/>
      <c r="F72" s="57" t="s">
        <v>4647</v>
      </c>
      <c r="G72" s="57" t="s">
        <v>4642</v>
      </c>
      <c r="H72" s="57"/>
      <c r="I72" s="57"/>
      <c r="J72" s="57"/>
    </row>
    <row r="73" spans="1:10" s="1" customFormat="1">
      <c r="A73" s="57">
        <v>71</v>
      </c>
      <c r="B73" s="57" t="s">
        <v>1106</v>
      </c>
      <c r="C73" s="57">
        <v>2</v>
      </c>
      <c r="D73" s="57" t="s">
        <v>242</v>
      </c>
      <c r="E73" s="57"/>
      <c r="F73" s="57" t="s">
        <v>4648</v>
      </c>
      <c r="G73" s="57"/>
      <c r="H73" s="57"/>
      <c r="I73" s="57"/>
      <c r="J73" s="57"/>
    </row>
    <row r="74" spans="1:10" s="1" customFormat="1" ht="75">
      <c r="A74" s="57">
        <v>72</v>
      </c>
      <c r="B74" s="57" t="s">
        <v>191</v>
      </c>
      <c r="C74" s="57">
        <v>16</v>
      </c>
      <c r="D74" s="57" t="s">
        <v>189</v>
      </c>
      <c r="E74" s="57" t="s">
        <v>1266</v>
      </c>
      <c r="F74" s="57" t="s">
        <v>2610</v>
      </c>
      <c r="G74" s="57" t="s">
        <v>2611</v>
      </c>
      <c r="H74" s="57"/>
      <c r="I74" s="57"/>
      <c r="J74" s="57"/>
    </row>
    <row r="75" spans="1:10" s="1" customFormat="1">
      <c r="A75" s="57">
        <v>73</v>
      </c>
      <c r="B75" s="57" t="s">
        <v>1107</v>
      </c>
      <c r="C75" s="57">
        <v>1</v>
      </c>
      <c r="D75" s="57" t="s">
        <v>242</v>
      </c>
      <c r="E75" s="57"/>
      <c r="F75" s="57" t="s">
        <v>4644</v>
      </c>
      <c r="G75" s="57"/>
      <c r="H75" s="57"/>
      <c r="I75" s="57"/>
      <c r="J75" s="57"/>
    </row>
    <row r="76" spans="1:10" s="1" customFormat="1">
      <c r="A76" s="57">
        <v>74</v>
      </c>
      <c r="B76" s="57" t="s">
        <v>1108</v>
      </c>
      <c r="C76" s="57">
        <v>1</v>
      </c>
      <c r="D76" s="57" t="s">
        <v>242</v>
      </c>
      <c r="E76" s="57"/>
      <c r="F76" s="57" t="s">
        <v>4645</v>
      </c>
      <c r="G76" s="57"/>
      <c r="H76" s="57"/>
      <c r="I76" s="57"/>
      <c r="J76" s="57"/>
    </row>
    <row r="77" spans="1:10" s="1" customFormat="1">
      <c r="A77" s="57">
        <v>75</v>
      </c>
      <c r="B77" s="57" t="s">
        <v>1182</v>
      </c>
      <c r="C77" s="57">
        <v>12</v>
      </c>
      <c r="D77" s="57" t="s">
        <v>189</v>
      </c>
      <c r="E77" s="57" t="s">
        <v>5576</v>
      </c>
      <c r="F77" s="57" t="s">
        <v>1688</v>
      </c>
      <c r="G77" s="57" t="s">
        <v>1689</v>
      </c>
      <c r="H77" s="57"/>
      <c r="I77" s="57"/>
      <c r="J77" s="57"/>
    </row>
    <row r="78" spans="1:10" s="1" customFormat="1" ht="30">
      <c r="A78" s="57">
        <v>76</v>
      </c>
      <c r="B78" s="57" t="s">
        <v>1183</v>
      </c>
      <c r="C78" s="57">
        <v>30</v>
      </c>
      <c r="D78" s="57" t="s">
        <v>242</v>
      </c>
      <c r="E78" s="57" t="s">
        <v>5576</v>
      </c>
      <c r="F78" s="57" t="s">
        <v>1690</v>
      </c>
      <c r="G78" s="57" t="s">
        <v>1691</v>
      </c>
      <c r="H78" s="57"/>
      <c r="I78" s="57"/>
      <c r="J78" s="57"/>
    </row>
    <row r="79" spans="1:10" s="1" customFormat="1">
      <c r="A79" s="64"/>
      <c r="B79" s="64"/>
      <c r="C79" s="64"/>
      <c r="D79" s="64"/>
      <c r="E79" s="64"/>
      <c r="F79" s="64"/>
      <c r="G79" s="64"/>
      <c r="H79" s="64"/>
      <c r="I79" s="64"/>
      <c r="J79" s="64"/>
    </row>
    <row r="80" spans="1:10" s="1" customFormat="1">
      <c r="A80" s="64"/>
      <c r="B80" s="64"/>
      <c r="C80" s="64"/>
      <c r="D80" s="64"/>
      <c r="E80" s="64"/>
      <c r="F80" s="64"/>
      <c r="G80" s="64"/>
      <c r="H80" s="64"/>
      <c r="I80" s="64"/>
      <c r="J80" s="64"/>
    </row>
    <row r="81" spans="1:10" s="1" customFormat="1">
      <c r="A81" s="64"/>
      <c r="B81" s="64"/>
      <c r="C81" s="64"/>
      <c r="D81" s="64"/>
      <c r="E81" s="64"/>
      <c r="F81" s="64"/>
      <c r="G81" s="64"/>
      <c r="H81" s="64"/>
      <c r="I81" s="64"/>
      <c r="J81" s="64"/>
    </row>
    <row r="82" spans="1:10" s="1" customFormat="1">
      <c r="A82" s="64"/>
      <c r="B82" s="64"/>
      <c r="C82" s="64"/>
      <c r="D82" s="64"/>
      <c r="E82" s="64"/>
      <c r="F82" s="64"/>
      <c r="G82" s="64"/>
      <c r="H82" s="64"/>
      <c r="I82" s="64"/>
      <c r="J82" s="64"/>
    </row>
    <row r="83" spans="1:10" s="1" customFormat="1">
      <c r="A83" s="64"/>
      <c r="B83" s="64"/>
      <c r="C83" s="64"/>
      <c r="D83" s="64"/>
      <c r="E83" s="64"/>
      <c r="F83" s="64"/>
      <c r="G83" s="64"/>
      <c r="H83" s="64"/>
      <c r="I83" s="64"/>
      <c r="J83" s="64"/>
    </row>
    <row r="84" spans="1:10" s="1" customFormat="1">
      <c r="A84" s="64"/>
      <c r="B84" s="64"/>
      <c r="C84" s="64"/>
      <c r="D84" s="64"/>
      <c r="E84" s="64"/>
      <c r="F84" s="64"/>
      <c r="G84" s="64"/>
      <c r="H84" s="64"/>
      <c r="I84" s="64"/>
      <c r="J84" s="64"/>
    </row>
    <row r="85" spans="1:10" s="1" customFormat="1">
      <c r="A85" s="64"/>
      <c r="B85" s="64"/>
      <c r="C85" s="64"/>
      <c r="D85" s="64"/>
      <c r="E85" s="64"/>
      <c r="F85" s="64"/>
      <c r="G85" s="64"/>
      <c r="H85" s="64"/>
      <c r="I85" s="64"/>
      <c r="J85" s="64"/>
    </row>
    <row r="86" spans="1:10" s="1" customFormat="1">
      <c r="A86" s="64"/>
      <c r="B86" s="64"/>
      <c r="C86" s="64"/>
      <c r="D86" s="64"/>
      <c r="E86" s="64"/>
      <c r="F86" s="64"/>
      <c r="G86" s="64"/>
      <c r="H86" s="64"/>
      <c r="I86" s="64"/>
      <c r="J86" s="64"/>
    </row>
    <row r="87" spans="1:10" s="1" customFormat="1">
      <c r="A87" s="64"/>
      <c r="B87" s="64"/>
      <c r="C87" s="64"/>
      <c r="D87" s="64"/>
      <c r="E87" s="64"/>
      <c r="F87" s="64"/>
      <c r="G87" s="64"/>
      <c r="H87" s="64"/>
      <c r="I87" s="64"/>
      <c r="J87" s="64"/>
    </row>
    <row r="88" spans="1:10" s="1" customFormat="1">
      <c r="A88" s="64"/>
      <c r="B88" s="64"/>
      <c r="C88" s="64"/>
      <c r="D88" s="64"/>
      <c r="E88" s="64"/>
      <c r="F88" s="64"/>
      <c r="G88" s="64"/>
      <c r="H88" s="64"/>
      <c r="I88" s="64"/>
      <c r="J88" s="64"/>
    </row>
    <row r="89" spans="1:10" s="1" customFormat="1">
      <c r="A89" s="64"/>
      <c r="B89" s="64"/>
      <c r="C89" s="64"/>
      <c r="D89" s="64"/>
      <c r="E89" s="64"/>
      <c r="F89" s="64"/>
      <c r="G89" s="64"/>
      <c r="H89" s="64"/>
      <c r="I89" s="64"/>
      <c r="J89" s="64"/>
    </row>
    <row r="90" spans="1:10" s="1" customFormat="1">
      <c r="A90" s="64"/>
      <c r="B90" s="64"/>
      <c r="C90" s="64"/>
      <c r="D90" s="64"/>
      <c r="E90" s="64"/>
      <c r="F90" s="64"/>
      <c r="G90" s="64"/>
      <c r="H90" s="64"/>
      <c r="I90" s="64"/>
      <c r="J90" s="64"/>
    </row>
    <row r="91" spans="1:10" s="1" customFormat="1">
      <c r="A91" s="64"/>
      <c r="B91" s="64"/>
      <c r="C91" s="64"/>
      <c r="D91" s="64"/>
      <c r="E91" s="64"/>
      <c r="F91" s="64"/>
      <c r="G91" s="64"/>
      <c r="H91" s="64"/>
      <c r="I91" s="64"/>
      <c r="J91" s="64"/>
    </row>
    <row r="92" spans="1:10" s="1" customFormat="1">
      <c r="A92" s="64"/>
      <c r="B92" s="64"/>
      <c r="C92" s="64"/>
      <c r="D92" s="64"/>
      <c r="E92" s="64"/>
      <c r="F92" s="64"/>
      <c r="G92" s="64"/>
      <c r="H92" s="64"/>
      <c r="I92" s="64"/>
      <c r="J92" s="64"/>
    </row>
    <row r="93" spans="1:10" s="1" customFormat="1">
      <c r="A93" s="64"/>
      <c r="B93" s="64"/>
      <c r="C93" s="64"/>
      <c r="D93" s="64"/>
      <c r="E93" s="64"/>
      <c r="F93" s="64"/>
      <c r="G93" s="64"/>
      <c r="H93" s="64"/>
      <c r="I93" s="64"/>
      <c r="J93" s="64"/>
    </row>
    <row r="94" spans="1:10" s="1" customFormat="1">
      <c r="A94" s="64"/>
      <c r="B94" s="64"/>
      <c r="C94" s="64"/>
      <c r="D94" s="64"/>
      <c r="E94" s="64"/>
      <c r="F94" s="64"/>
      <c r="G94" s="64"/>
      <c r="H94" s="64"/>
      <c r="I94" s="64"/>
      <c r="J94" s="64"/>
    </row>
    <row r="95" spans="1:10" s="1" customFormat="1">
      <c r="A95" s="64"/>
      <c r="B95" s="64"/>
      <c r="C95" s="64"/>
      <c r="D95" s="64"/>
      <c r="E95" s="64"/>
      <c r="F95" s="64"/>
      <c r="G95" s="64"/>
      <c r="H95" s="64"/>
      <c r="I95" s="64"/>
      <c r="J95" s="64"/>
    </row>
    <row r="96" spans="1:10" s="1" customFormat="1">
      <c r="A96" s="64"/>
      <c r="B96" s="64"/>
      <c r="C96" s="64"/>
      <c r="D96" s="64"/>
      <c r="E96" s="64"/>
      <c r="F96" s="64"/>
      <c r="G96" s="64"/>
      <c r="H96" s="64"/>
      <c r="I96" s="64"/>
      <c r="J96" s="64"/>
    </row>
    <row r="97" spans="1:10" s="1" customFormat="1">
      <c r="A97" s="64"/>
      <c r="B97" s="64"/>
      <c r="C97" s="64"/>
      <c r="D97" s="64"/>
      <c r="E97" s="64"/>
      <c r="F97" s="64"/>
      <c r="G97" s="64"/>
      <c r="H97" s="64"/>
      <c r="I97" s="64"/>
      <c r="J97" s="64"/>
    </row>
    <row r="98" spans="1:10" s="1" customFormat="1">
      <c r="A98" s="64"/>
      <c r="B98" s="64"/>
      <c r="C98" s="64"/>
      <c r="D98" s="64"/>
      <c r="E98" s="64"/>
      <c r="F98" s="64"/>
      <c r="G98" s="64"/>
      <c r="H98" s="64"/>
      <c r="I98" s="64"/>
      <c r="J98" s="64"/>
    </row>
    <row r="99" spans="1:10" s="1" customFormat="1">
      <c r="A99" s="64"/>
      <c r="B99" s="64"/>
      <c r="C99" s="64"/>
      <c r="D99" s="64"/>
      <c r="E99" s="64"/>
      <c r="F99" s="64"/>
      <c r="G99" s="64"/>
      <c r="H99" s="64"/>
      <c r="I99" s="64"/>
      <c r="J99" s="64"/>
    </row>
    <row r="100" spans="1:10" s="1" customFormat="1">
      <c r="A100" s="64"/>
      <c r="B100" s="64"/>
      <c r="C100" s="64"/>
      <c r="D100" s="64"/>
      <c r="E100" s="64"/>
      <c r="F100" s="64"/>
      <c r="G100" s="64"/>
      <c r="H100" s="64"/>
      <c r="I100" s="64"/>
      <c r="J100" s="64"/>
    </row>
    <row r="101" spans="1:10" s="1" customFormat="1">
      <c r="A101" s="64"/>
      <c r="B101" s="64"/>
      <c r="C101" s="64"/>
      <c r="D101" s="64"/>
      <c r="E101" s="64"/>
      <c r="F101" s="64"/>
      <c r="G101" s="64"/>
      <c r="H101" s="64"/>
      <c r="I101" s="64"/>
      <c r="J101" s="64"/>
    </row>
    <row r="102" spans="1:10" s="1" customFormat="1">
      <c r="A102" s="64"/>
      <c r="B102" s="64"/>
      <c r="C102" s="64"/>
      <c r="D102" s="64"/>
      <c r="E102" s="64"/>
      <c r="F102" s="64"/>
      <c r="G102" s="64"/>
      <c r="H102" s="64"/>
      <c r="I102" s="64"/>
      <c r="J102" s="64"/>
    </row>
    <row r="103" spans="1:10" s="1" customFormat="1">
      <c r="A103" s="64"/>
      <c r="B103" s="64"/>
      <c r="C103" s="64"/>
      <c r="D103" s="64"/>
      <c r="E103" s="64"/>
      <c r="F103" s="64"/>
      <c r="G103" s="64"/>
      <c r="H103" s="64"/>
      <c r="I103" s="64"/>
      <c r="J103" s="64"/>
    </row>
    <row r="104" spans="1:10" s="1" customFormat="1">
      <c r="A104" s="64"/>
      <c r="B104" s="64"/>
      <c r="C104" s="64"/>
      <c r="D104" s="64"/>
      <c r="E104" s="64"/>
      <c r="F104" s="64"/>
      <c r="G104" s="64"/>
      <c r="H104" s="64"/>
      <c r="I104" s="64"/>
      <c r="J104" s="64"/>
    </row>
    <row r="105" spans="1:10" s="1" customFormat="1">
      <c r="A105" s="64"/>
      <c r="B105" s="64"/>
      <c r="C105" s="64"/>
      <c r="D105" s="64"/>
      <c r="E105" s="64"/>
      <c r="F105" s="64"/>
      <c r="G105" s="64"/>
      <c r="H105" s="64"/>
      <c r="I105" s="64"/>
      <c r="J105" s="64"/>
    </row>
    <row r="106" spans="1:10" s="1" customFormat="1">
      <c r="A106" s="64"/>
      <c r="B106" s="64"/>
      <c r="C106" s="64"/>
      <c r="D106" s="64"/>
      <c r="E106" s="64"/>
      <c r="F106" s="64"/>
      <c r="G106" s="64"/>
      <c r="H106" s="64"/>
      <c r="I106" s="64"/>
      <c r="J106" s="64"/>
    </row>
    <row r="107" spans="1:10" s="1" customFormat="1">
      <c r="A107" s="64"/>
      <c r="B107" s="64"/>
      <c r="C107" s="64"/>
      <c r="D107" s="64"/>
      <c r="E107" s="64"/>
      <c r="F107" s="64"/>
      <c r="G107" s="64"/>
      <c r="H107" s="64"/>
      <c r="I107" s="64"/>
      <c r="J107" s="64"/>
    </row>
    <row r="108" spans="1:10" s="1" customFormat="1">
      <c r="A108" s="64"/>
      <c r="B108" s="64"/>
      <c r="C108" s="64"/>
      <c r="D108" s="64"/>
      <c r="E108" s="64"/>
      <c r="F108" s="64"/>
      <c r="G108" s="64"/>
      <c r="H108" s="64"/>
      <c r="I108" s="64"/>
      <c r="J108" s="64"/>
    </row>
    <row r="109" spans="1:10" s="1" customFormat="1">
      <c r="A109" s="64"/>
      <c r="B109" s="64"/>
      <c r="C109" s="64"/>
      <c r="D109" s="64"/>
      <c r="E109" s="64"/>
      <c r="F109" s="64"/>
      <c r="G109" s="64"/>
      <c r="H109" s="64"/>
      <c r="I109" s="64"/>
      <c r="J109" s="64"/>
    </row>
    <row r="110" spans="1:10" s="1" customFormat="1">
      <c r="A110" s="64"/>
      <c r="B110" s="64"/>
      <c r="C110" s="64"/>
      <c r="D110" s="64"/>
      <c r="E110" s="64"/>
      <c r="F110" s="64"/>
      <c r="G110" s="64"/>
      <c r="H110" s="64"/>
      <c r="I110" s="64"/>
      <c r="J110" s="64"/>
    </row>
    <row r="111" spans="1:10" s="1" customFormat="1">
      <c r="A111" s="64"/>
      <c r="B111" s="64"/>
      <c r="C111" s="64"/>
      <c r="D111" s="64"/>
      <c r="E111" s="64"/>
      <c r="F111" s="64"/>
      <c r="G111" s="64"/>
      <c r="H111" s="64"/>
      <c r="I111" s="64"/>
      <c r="J111" s="64"/>
    </row>
    <row r="112" spans="1:10" s="1" customFormat="1">
      <c r="A112" s="64"/>
      <c r="B112" s="64"/>
      <c r="C112" s="64"/>
      <c r="D112" s="64"/>
      <c r="E112" s="64"/>
      <c r="F112" s="64"/>
      <c r="G112" s="64"/>
      <c r="H112" s="64"/>
      <c r="I112" s="64"/>
      <c r="J112" s="64"/>
    </row>
    <row r="113" spans="1:10" s="1" customFormat="1">
      <c r="A113" s="64"/>
      <c r="B113" s="64"/>
      <c r="C113" s="64"/>
      <c r="D113" s="64"/>
      <c r="E113" s="64"/>
      <c r="F113" s="64"/>
      <c r="G113" s="64"/>
      <c r="H113" s="64"/>
      <c r="I113" s="64"/>
      <c r="J113" s="64"/>
    </row>
    <row r="114" spans="1:10" s="1" customFormat="1">
      <c r="A114" s="64"/>
      <c r="B114" s="64"/>
      <c r="C114" s="64"/>
      <c r="D114" s="64"/>
      <c r="E114" s="64"/>
      <c r="F114" s="64"/>
      <c r="G114" s="64"/>
      <c r="H114" s="64"/>
      <c r="I114" s="64"/>
      <c r="J114" s="64"/>
    </row>
    <row r="115" spans="1:10" s="1" customFormat="1">
      <c r="A115" s="64"/>
      <c r="B115" s="64"/>
      <c r="C115" s="64"/>
      <c r="D115" s="64"/>
      <c r="E115" s="64"/>
      <c r="F115" s="64"/>
      <c r="G115" s="64"/>
      <c r="H115" s="64"/>
      <c r="I115" s="64"/>
      <c r="J115" s="64"/>
    </row>
    <row r="116" spans="1:10" s="1" customFormat="1">
      <c r="A116" s="64"/>
      <c r="B116" s="64"/>
      <c r="C116" s="64"/>
      <c r="D116" s="64"/>
      <c r="E116" s="64"/>
      <c r="F116" s="64"/>
      <c r="G116" s="64"/>
      <c r="H116" s="64"/>
      <c r="I116" s="64"/>
      <c r="J116" s="64"/>
    </row>
    <row r="117" spans="1:10" s="1" customFormat="1">
      <c r="A117" s="64"/>
      <c r="B117" s="64"/>
      <c r="C117" s="64"/>
      <c r="D117" s="64"/>
      <c r="E117" s="64"/>
      <c r="F117" s="64"/>
      <c r="G117" s="64"/>
      <c r="H117" s="64"/>
      <c r="I117" s="64"/>
      <c r="J117" s="64"/>
    </row>
    <row r="118" spans="1:10" s="1" customFormat="1">
      <c r="A118" s="64"/>
      <c r="B118" s="64"/>
      <c r="C118" s="64"/>
      <c r="D118" s="64"/>
      <c r="E118" s="64"/>
      <c r="F118" s="64"/>
      <c r="G118" s="64"/>
      <c r="H118" s="64"/>
      <c r="I118" s="64"/>
      <c r="J118" s="64"/>
    </row>
    <row r="119" spans="1:10" s="1" customFormat="1">
      <c r="A119" s="64"/>
      <c r="B119" s="64"/>
      <c r="C119" s="64"/>
      <c r="D119" s="64"/>
      <c r="E119" s="64"/>
      <c r="F119" s="64"/>
      <c r="G119" s="64"/>
      <c r="H119" s="64"/>
      <c r="I119" s="64"/>
      <c r="J119" s="64"/>
    </row>
    <row r="120" spans="1:10" s="1" customFormat="1">
      <c r="A120" s="64"/>
      <c r="B120" s="64"/>
      <c r="C120" s="64"/>
      <c r="D120" s="64"/>
      <c r="E120" s="64"/>
      <c r="F120" s="64"/>
      <c r="G120" s="64"/>
      <c r="H120" s="64"/>
      <c r="I120" s="64"/>
      <c r="J120" s="64"/>
    </row>
    <row r="121" spans="1:10" s="1" customFormat="1">
      <c r="A121" s="64"/>
      <c r="B121" s="64"/>
      <c r="C121" s="64"/>
      <c r="D121" s="64"/>
      <c r="E121" s="64"/>
      <c r="F121" s="64"/>
      <c r="G121" s="64"/>
      <c r="H121" s="64"/>
      <c r="I121" s="64"/>
      <c r="J121" s="64"/>
    </row>
    <row r="122" spans="1:10" s="1" customFormat="1">
      <c r="A122" s="64"/>
      <c r="B122" s="64"/>
      <c r="C122" s="64"/>
      <c r="D122" s="64"/>
      <c r="E122" s="64"/>
      <c r="F122" s="64"/>
      <c r="G122" s="64"/>
      <c r="H122" s="64"/>
      <c r="I122" s="64"/>
      <c r="J122" s="64"/>
    </row>
    <row r="123" spans="1:10" s="1" customFormat="1">
      <c r="A123" s="64"/>
      <c r="B123" s="64"/>
      <c r="C123" s="64"/>
      <c r="D123" s="64"/>
      <c r="E123" s="64"/>
      <c r="F123" s="64"/>
      <c r="G123" s="64"/>
      <c r="H123" s="64"/>
      <c r="I123" s="64"/>
      <c r="J123" s="64"/>
    </row>
    <row r="124" spans="1:10" s="1" customFormat="1">
      <c r="A124" s="64"/>
      <c r="B124" s="64"/>
      <c r="C124" s="64"/>
      <c r="D124" s="64"/>
      <c r="E124" s="64"/>
      <c r="F124" s="64"/>
      <c r="G124" s="64"/>
      <c r="H124" s="64"/>
      <c r="I124" s="64"/>
      <c r="J124" s="64"/>
    </row>
    <row r="125" spans="1:10" s="1" customFormat="1">
      <c r="A125" s="64"/>
      <c r="B125" s="64"/>
      <c r="C125" s="64"/>
      <c r="D125" s="64"/>
      <c r="E125" s="64"/>
      <c r="F125" s="64"/>
      <c r="G125" s="64"/>
      <c r="H125" s="64"/>
      <c r="I125" s="64"/>
      <c r="J125" s="64"/>
    </row>
    <row r="126" spans="1:10" s="1" customFormat="1">
      <c r="A126" s="64"/>
      <c r="B126" s="64"/>
      <c r="C126" s="64"/>
      <c r="D126" s="64"/>
      <c r="E126" s="64"/>
      <c r="F126" s="64"/>
      <c r="G126" s="64"/>
      <c r="H126" s="64"/>
      <c r="I126" s="64"/>
      <c r="J126" s="64"/>
    </row>
    <row r="127" spans="1:10" s="1" customFormat="1">
      <c r="A127" s="64"/>
      <c r="B127" s="64"/>
      <c r="C127" s="64"/>
      <c r="D127" s="64"/>
      <c r="E127" s="64"/>
      <c r="F127" s="64"/>
      <c r="G127" s="64"/>
      <c r="H127" s="64"/>
      <c r="I127" s="64"/>
      <c r="J127" s="64"/>
    </row>
    <row r="128" spans="1:10" s="1" customFormat="1">
      <c r="A128" s="64"/>
      <c r="B128" s="64"/>
      <c r="C128" s="64"/>
      <c r="D128" s="64"/>
      <c r="E128" s="64"/>
      <c r="F128" s="64"/>
      <c r="G128" s="64"/>
      <c r="H128" s="64"/>
      <c r="I128" s="64"/>
      <c r="J128" s="64"/>
    </row>
    <row r="129" spans="1:10" s="1" customFormat="1">
      <c r="A129" s="64"/>
      <c r="B129" s="64"/>
      <c r="C129" s="64"/>
      <c r="D129" s="64"/>
      <c r="E129" s="64"/>
      <c r="F129" s="64"/>
      <c r="G129" s="64"/>
      <c r="H129" s="64"/>
      <c r="I129" s="64"/>
      <c r="J129" s="64"/>
    </row>
    <row r="130" spans="1:10" s="1" customFormat="1">
      <c r="A130" s="64"/>
      <c r="B130" s="64"/>
      <c r="C130" s="64"/>
      <c r="D130" s="64"/>
      <c r="E130" s="64"/>
      <c r="F130" s="64"/>
      <c r="G130" s="64"/>
      <c r="H130" s="64"/>
      <c r="I130" s="64"/>
      <c r="J130" s="64"/>
    </row>
    <row r="131" spans="1:10" s="1" customFormat="1">
      <c r="A131" s="64"/>
      <c r="B131" s="64"/>
      <c r="C131" s="64"/>
      <c r="D131" s="64"/>
      <c r="E131" s="64"/>
      <c r="F131" s="64"/>
      <c r="G131" s="64"/>
      <c r="H131" s="64"/>
      <c r="I131" s="64"/>
      <c r="J131" s="64"/>
    </row>
    <row r="132" spans="1:10" s="1" customFormat="1">
      <c r="A132" s="64"/>
      <c r="B132" s="64"/>
      <c r="C132" s="64"/>
      <c r="D132" s="64"/>
      <c r="E132" s="64"/>
      <c r="F132" s="64"/>
      <c r="G132" s="64"/>
      <c r="H132" s="64"/>
      <c r="I132" s="64"/>
      <c r="J132" s="64"/>
    </row>
    <row r="133" spans="1:10" s="1" customFormat="1">
      <c r="A133" s="64"/>
      <c r="B133" s="64"/>
      <c r="C133" s="64"/>
      <c r="D133" s="64"/>
      <c r="E133" s="64"/>
      <c r="F133" s="64"/>
      <c r="G133" s="64"/>
      <c r="H133" s="64"/>
      <c r="I133" s="64"/>
      <c r="J133" s="64"/>
    </row>
    <row r="134" spans="1:10" s="1" customFormat="1">
      <c r="A134" s="64"/>
      <c r="B134" s="64"/>
      <c r="C134" s="64"/>
      <c r="D134" s="64"/>
      <c r="E134" s="64"/>
      <c r="F134" s="64"/>
      <c r="G134" s="64"/>
      <c r="H134" s="64"/>
      <c r="I134" s="64"/>
      <c r="J134" s="64"/>
    </row>
    <row r="135" spans="1:10" s="1" customFormat="1">
      <c r="A135" s="64"/>
      <c r="B135" s="64"/>
      <c r="C135" s="64"/>
      <c r="D135" s="64"/>
      <c r="E135" s="64"/>
      <c r="F135" s="64"/>
      <c r="G135" s="64"/>
      <c r="H135" s="64"/>
      <c r="I135" s="64"/>
      <c r="J135" s="64"/>
    </row>
    <row r="136" spans="1:10" s="1" customFormat="1">
      <c r="A136" s="64"/>
      <c r="B136" s="64"/>
      <c r="C136" s="64"/>
      <c r="D136" s="64"/>
      <c r="E136" s="64"/>
      <c r="F136" s="64"/>
      <c r="G136" s="64"/>
      <c r="H136" s="64"/>
      <c r="I136" s="64"/>
      <c r="J136" s="64"/>
    </row>
    <row r="137" spans="1:10" s="1" customFormat="1">
      <c r="A137" s="64"/>
      <c r="B137" s="64"/>
      <c r="C137" s="64"/>
      <c r="D137" s="64"/>
      <c r="E137" s="64"/>
      <c r="F137" s="64"/>
      <c r="G137" s="64"/>
      <c r="H137" s="64"/>
      <c r="I137" s="64"/>
      <c r="J137" s="64"/>
    </row>
    <row r="138" spans="1:10" s="1" customFormat="1">
      <c r="A138" s="64"/>
      <c r="B138" s="64"/>
      <c r="C138" s="64"/>
      <c r="D138" s="64"/>
      <c r="E138" s="64"/>
      <c r="F138" s="64"/>
      <c r="G138" s="64"/>
      <c r="H138" s="64"/>
      <c r="I138" s="64"/>
      <c r="J138" s="64"/>
    </row>
    <row r="139" spans="1:10" s="1" customFormat="1">
      <c r="A139" s="64"/>
      <c r="B139" s="64"/>
      <c r="C139" s="64"/>
      <c r="D139" s="64"/>
      <c r="E139" s="64"/>
      <c r="F139" s="64"/>
      <c r="G139" s="64"/>
      <c r="H139" s="64"/>
      <c r="I139" s="64"/>
      <c r="J139" s="64"/>
    </row>
    <row r="140" spans="1:10" s="1" customFormat="1">
      <c r="A140" s="64"/>
      <c r="B140" s="64"/>
      <c r="C140" s="64"/>
      <c r="D140" s="64"/>
      <c r="E140" s="64"/>
      <c r="F140" s="64"/>
      <c r="G140" s="64"/>
      <c r="H140" s="64"/>
      <c r="I140" s="64"/>
      <c r="J140" s="64"/>
    </row>
    <row r="141" spans="1:10" s="1" customFormat="1">
      <c r="A141" s="64"/>
      <c r="B141" s="64"/>
      <c r="C141" s="64"/>
      <c r="D141" s="64"/>
      <c r="E141" s="64"/>
      <c r="F141" s="64"/>
      <c r="G141" s="64"/>
      <c r="H141" s="64"/>
      <c r="I141" s="64"/>
      <c r="J141" s="64"/>
    </row>
    <row r="142" spans="1:10" s="1" customFormat="1">
      <c r="A142" s="64"/>
      <c r="B142" s="64"/>
      <c r="C142" s="64"/>
      <c r="D142" s="64"/>
      <c r="E142" s="64"/>
      <c r="F142" s="64"/>
      <c r="G142" s="64"/>
      <c r="H142" s="64"/>
      <c r="I142" s="64"/>
      <c r="J142" s="64"/>
    </row>
    <row r="143" spans="1:10" s="1" customFormat="1">
      <c r="A143" s="64"/>
      <c r="B143" s="64"/>
      <c r="C143" s="64"/>
      <c r="D143" s="64"/>
      <c r="E143" s="64"/>
      <c r="F143" s="64"/>
      <c r="G143" s="64"/>
      <c r="H143" s="64"/>
      <c r="I143" s="64"/>
      <c r="J143" s="64"/>
    </row>
    <row r="144" spans="1:10" s="1" customFormat="1">
      <c r="A144" s="64"/>
      <c r="B144" s="64"/>
      <c r="C144" s="64"/>
      <c r="D144" s="64"/>
      <c r="E144" s="64"/>
      <c r="F144" s="64"/>
      <c r="G144" s="64"/>
      <c r="H144" s="64"/>
      <c r="I144" s="64"/>
      <c r="J144" s="64"/>
    </row>
    <row r="145" spans="1:10" s="1" customFormat="1">
      <c r="A145" s="64"/>
      <c r="B145" s="64"/>
      <c r="C145" s="64"/>
      <c r="D145" s="64"/>
      <c r="E145" s="64"/>
      <c r="F145" s="64"/>
      <c r="G145" s="64"/>
      <c r="H145" s="64"/>
      <c r="I145" s="64"/>
      <c r="J145" s="64"/>
    </row>
    <row r="146" spans="1:10" s="1" customFormat="1">
      <c r="A146" s="64"/>
      <c r="B146" s="64"/>
      <c r="C146" s="64"/>
      <c r="D146" s="64"/>
      <c r="E146" s="64"/>
      <c r="F146" s="64"/>
      <c r="G146" s="64"/>
      <c r="H146" s="64"/>
      <c r="I146" s="64"/>
      <c r="J146" s="64"/>
    </row>
    <row r="147" spans="1:10" s="1" customFormat="1">
      <c r="A147" s="64"/>
      <c r="B147" s="64"/>
      <c r="C147" s="64"/>
      <c r="D147" s="64"/>
      <c r="E147" s="64"/>
      <c r="F147" s="64"/>
      <c r="G147" s="64"/>
      <c r="H147" s="64"/>
      <c r="I147" s="64"/>
      <c r="J147" s="64"/>
    </row>
    <row r="148" spans="1:10" s="1" customFormat="1">
      <c r="A148" s="64"/>
      <c r="B148" s="64"/>
      <c r="C148" s="64"/>
      <c r="D148" s="64"/>
      <c r="E148" s="64"/>
      <c r="F148" s="64"/>
      <c r="G148" s="64"/>
      <c r="H148" s="64"/>
      <c r="I148" s="64"/>
      <c r="J148" s="64"/>
    </row>
    <row r="149" spans="1:10" s="1" customFormat="1">
      <c r="A149" s="64"/>
      <c r="B149" s="64"/>
      <c r="C149" s="64"/>
      <c r="D149" s="64"/>
      <c r="E149" s="64"/>
      <c r="F149" s="64"/>
      <c r="G149" s="64"/>
      <c r="H149" s="64"/>
      <c r="I149" s="64"/>
      <c r="J149" s="64"/>
    </row>
    <row r="150" spans="1:10" s="1" customFormat="1">
      <c r="A150" s="64"/>
      <c r="B150" s="64"/>
      <c r="C150" s="64"/>
      <c r="D150" s="64"/>
      <c r="E150" s="64"/>
      <c r="F150" s="64"/>
      <c r="G150" s="64"/>
      <c r="H150" s="64"/>
      <c r="I150" s="64"/>
      <c r="J150" s="64"/>
    </row>
    <row r="151" spans="1:10" s="1" customFormat="1">
      <c r="A151" s="64"/>
      <c r="B151" s="64"/>
      <c r="C151" s="64"/>
      <c r="D151" s="64"/>
      <c r="E151" s="64"/>
      <c r="F151" s="64"/>
      <c r="G151" s="64"/>
      <c r="H151" s="64"/>
      <c r="I151" s="64"/>
      <c r="J151" s="64"/>
    </row>
    <row r="152" spans="1:10" s="1" customFormat="1">
      <c r="A152" s="64"/>
      <c r="B152" s="64"/>
      <c r="C152" s="64"/>
      <c r="D152" s="64"/>
      <c r="E152" s="64"/>
      <c r="F152" s="64"/>
      <c r="G152" s="64"/>
      <c r="H152" s="64"/>
      <c r="I152" s="64"/>
      <c r="J152" s="64"/>
    </row>
    <row r="153" spans="1:10" s="1" customFormat="1">
      <c r="A153" s="64"/>
      <c r="B153" s="64"/>
      <c r="C153" s="64"/>
      <c r="D153" s="64"/>
      <c r="E153" s="64"/>
      <c r="F153" s="64"/>
      <c r="G153" s="64"/>
      <c r="H153" s="64"/>
      <c r="I153" s="64"/>
      <c r="J153" s="64"/>
    </row>
    <row r="154" spans="1:10" s="1" customFormat="1">
      <c r="A154" s="64"/>
      <c r="B154" s="64"/>
      <c r="C154" s="64"/>
      <c r="D154" s="64"/>
      <c r="E154" s="64"/>
      <c r="F154" s="64"/>
      <c r="G154" s="64"/>
      <c r="H154" s="64"/>
      <c r="I154" s="64"/>
      <c r="J154" s="64"/>
    </row>
    <row r="155" spans="1:10" s="1" customFormat="1">
      <c r="A155" s="64"/>
      <c r="B155" s="64"/>
      <c r="C155" s="64"/>
      <c r="D155" s="64"/>
      <c r="E155" s="64"/>
      <c r="F155" s="64"/>
      <c r="G155" s="64"/>
      <c r="H155" s="64"/>
      <c r="I155" s="64"/>
      <c r="J155" s="64"/>
    </row>
    <row r="156" spans="1:10" s="1" customFormat="1">
      <c r="A156" s="64"/>
      <c r="B156" s="64"/>
      <c r="C156" s="64"/>
      <c r="D156" s="64"/>
      <c r="E156" s="64"/>
      <c r="F156" s="64"/>
      <c r="G156" s="64"/>
      <c r="H156" s="64"/>
      <c r="I156" s="64"/>
      <c r="J156" s="64"/>
    </row>
    <row r="157" spans="1:10" s="1" customFormat="1">
      <c r="A157" s="64"/>
      <c r="B157" s="64"/>
      <c r="C157" s="64"/>
      <c r="D157" s="64"/>
      <c r="E157" s="64"/>
      <c r="F157" s="64"/>
      <c r="G157" s="64"/>
      <c r="H157" s="64"/>
      <c r="I157" s="64"/>
      <c r="J157" s="64"/>
    </row>
    <row r="158" spans="1:10" s="1" customFormat="1">
      <c r="A158" s="64"/>
      <c r="B158" s="64"/>
      <c r="C158" s="64"/>
      <c r="D158" s="64"/>
      <c r="E158" s="64"/>
      <c r="F158" s="64"/>
      <c r="G158" s="64"/>
      <c r="H158" s="64"/>
      <c r="I158" s="64"/>
      <c r="J158" s="64"/>
    </row>
    <row r="159" spans="1:10" s="1" customFormat="1">
      <c r="A159" s="64"/>
      <c r="B159" s="64"/>
      <c r="C159" s="64"/>
      <c r="D159" s="64"/>
      <c r="E159" s="64"/>
      <c r="F159" s="64"/>
      <c r="G159" s="64"/>
      <c r="H159" s="64"/>
      <c r="I159" s="64"/>
      <c r="J159" s="64"/>
    </row>
    <row r="160" spans="1:10" s="1" customFormat="1">
      <c r="A160" s="64"/>
      <c r="B160" s="64"/>
      <c r="C160" s="64"/>
      <c r="D160" s="64"/>
      <c r="E160" s="64"/>
      <c r="F160" s="64"/>
      <c r="G160" s="64"/>
      <c r="H160" s="64"/>
      <c r="I160" s="64"/>
      <c r="J160" s="64"/>
    </row>
    <row r="161" spans="1:10" s="1" customFormat="1">
      <c r="A161" s="64"/>
      <c r="B161" s="64"/>
      <c r="C161" s="64"/>
      <c r="D161" s="64"/>
      <c r="E161" s="64"/>
      <c r="F161" s="64"/>
      <c r="G161" s="64"/>
      <c r="H161" s="64"/>
      <c r="I161" s="64"/>
      <c r="J161" s="64"/>
    </row>
    <row r="162" spans="1:10" s="1" customFormat="1">
      <c r="A162" s="64"/>
      <c r="B162" s="64"/>
      <c r="C162" s="64"/>
      <c r="D162" s="64"/>
      <c r="E162" s="64"/>
      <c r="F162" s="64"/>
      <c r="G162" s="64"/>
      <c r="H162" s="64"/>
      <c r="I162" s="64"/>
      <c r="J162" s="64"/>
    </row>
    <row r="163" spans="1:10" s="1" customFormat="1">
      <c r="A163" s="64"/>
      <c r="B163" s="64"/>
      <c r="C163" s="64"/>
      <c r="D163" s="64"/>
      <c r="E163" s="64"/>
      <c r="F163" s="64"/>
      <c r="G163" s="64"/>
      <c r="H163" s="64"/>
      <c r="I163" s="64"/>
      <c r="J163" s="64"/>
    </row>
    <row r="164" spans="1:10" s="1" customFormat="1">
      <c r="A164" s="64"/>
      <c r="B164" s="64"/>
      <c r="C164" s="64"/>
      <c r="D164" s="64"/>
      <c r="E164" s="64"/>
      <c r="F164" s="64"/>
      <c r="G164" s="64"/>
      <c r="H164" s="64"/>
      <c r="I164" s="64"/>
      <c r="J164" s="64"/>
    </row>
    <row r="165" spans="1:10" s="1" customFormat="1">
      <c r="A165" s="64"/>
      <c r="B165" s="64"/>
      <c r="C165" s="64"/>
      <c r="D165" s="64"/>
      <c r="E165" s="64"/>
      <c r="F165" s="64"/>
      <c r="G165" s="64"/>
      <c r="H165" s="64"/>
      <c r="I165" s="64"/>
      <c r="J165" s="64"/>
    </row>
    <row r="166" spans="1:10" s="1" customFormat="1">
      <c r="A166" s="64"/>
      <c r="B166" s="64"/>
      <c r="C166" s="64"/>
      <c r="D166" s="64"/>
      <c r="E166" s="64"/>
      <c r="F166" s="64"/>
      <c r="G166" s="64"/>
      <c r="H166" s="64"/>
      <c r="I166" s="64"/>
      <c r="J166" s="64"/>
    </row>
    <row r="167" spans="1:10" s="1" customFormat="1">
      <c r="A167" s="64"/>
      <c r="B167" s="64"/>
      <c r="C167" s="64"/>
      <c r="D167" s="64"/>
      <c r="E167" s="64"/>
      <c r="F167" s="64"/>
      <c r="G167" s="64"/>
      <c r="H167" s="64"/>
      <c r="I167" s="64"/>
      <c r="J167" s="64"/>
    </row>
    <row r="168" spans="1:10" s="1" customFormat="1">
      <c r="A168" s="64"/>
      <c r="B168" s="64"/>
      <c r="C168" s="64"/>
      <c r="D168" s="64"/>
      <c r="E168" s="64"/>
      <c r="F168" s="64"/>
      <c r="G168" s="64"/>
      <c r="H168" s="64"/>
      <c r="I168" s="64"/>
      <c r="J168" s="64"/>
    </row>
    <row r="169" spans="1:10" s="1" customFormat="1">
      <c r="A169" s="64"/>
      <c r="B169" s="64"/>
      <c r="C169" s="64"/>
      <c r="D169" s="64"/>
      <c r="E169" s="64"/>
      <c r="F169" s="64"/>
      <c r="G169" s="64"/>
      <c r="H169" s="64"/>
      <c r="I169" s="64"/>
      <c r="J169" s="64"/>
    </row>
    <row r="170" spans="1:10" s="1" customFormat="1">
      <c r="A170" s="64"/>
      <c r="B170" s="64"/>
      <c r="C170" s="64"/>
      <c r="D170" s="64"/>
      <c r="E170" s="64"/>
      <c r="F170" s="64"/>
      <c r="G170" s="64"/>
      <c r="H170" s="64"/>
      <c r="I170" s="64"/>
      <c r="J170" s="64"/>
    </row>
    <row r="171" spans="1:10" s="1" customFormat="1">
      <c r="A171" s="64"/>
      <c r="B171" s="64"/>
      <c r="C171" s="64"/>
      <c r="D171" s="64"/>
      <c r="E171" s="64"/>
      <c r="F171" s="64"/>
      <c r="G171" s="64"/>
      <c r="H171" s="64"/>
      <c r="I171" s="64"/>
      <c r="J171" s="64"/>
    </row>
    <row r="172" spans="1:10" s="1" customFormat="1">
      <c r="A172" s="64"/>
      <c r="B172" s="64"/>
      <c r="C172" s="64"/>
      <c r="D172" s="64"/>
      <c r="E172" s="64"/>
      <c r="F172" s="64"/>
      <c r="G172" s="64"/>
      <c r="H172" s="64"/>
      <c r="I172" s="64"/>
      <c r="J172" s="64"/>
    </row>
    <row r="173" spans="1:10" s="1" customFormat="1">
      <c r="A173" s="64"/>
      <c r="B173" s="64"/>
      <c r="C173" s="64"/>
      <c r="D173" s="64"/>
      <c r="E173" s="64"/>
      <c r="F173" s="64"/>
      <c r="G173" s="64"/>
      <c r="H173" s="64"/>
      <c r="I173" s="64"/>
      <c r="J173" s="64"/>
    </row>
    <row r="174" spans="1:10" s="1" customFormat="1">
      <c r="A174" s="64"/>
      <c r="B174" s="64"/>
      <c r="C174" s="64"/>
      <c r="D174" s="64"/>
      <c r="E174" s="64"/>
      <c r="F174" s="64"/>
      <c r="G174" s="64"/>
      <c r="H174" s="64"/>
      <c r="I174" s="64"/>
      <c r="J174" s="64"/>
    </row>
    <row r="175" spans="1:10" s="1" customFormat="1">
      <c r="A175" s="64"/>
      <c r="B175" s="64"/>
      <c r="C175" s="64"/>
      <c r="D175" s="64"/>
      <c r="E175" s="64"/>
      <c r="F175" s="64"/>
      <c r="G175" s="64"/>
      <c r="H175" s="64"/>
      <c r="I175" s="64"/>
      <c r="J175" s="64"/>
    </row>
    <row r="176" spans="1:10" s="1" customFormat="1">
      <c r="A176" s="64"/>
      <c r="B176" s="64"/>
      <c r="C176" s="64"/>
      <c r="D176" s="64"/>
      <c r="E176" s="64"/>
      <c r="F176" s="64"/>
      <c r="G176" s="64"/>
      <c r="H176" s="64"/>
      <c r="I176" s="64"/>
      <c r="J176" s="64"/>
    </row>
    <row r="177" spans="1:10" s="1" customFormat="1">
      <c r="A177" s="64"/>
      <c r="B177" s="64"/>
      <c r="C177" s="64"/>
      <c r="D177" s="64"/>
      <c r="E177" s="64"/>
      <c r="F177" s="64"/>
      <c r="G177" s="64"/>
      <c r="H177" s="64"/>
      <c r="I177" s="64"/>
      <c r="J177" s="64"/>
    </row>
    <row r="178" spans="1:10" s="1" customFormat="1">
      <c r="A178" s="64"/>
      <c r="B178" s="64"/>
      <c r="C178" s="64"/>
      <c r="D178" s="64"/>
      <c r="E178" s="64"/>
      <c r="F178" s="64"/>
      <c r="G178" s="64"/>
      <c r="H178" s="64"/>
      <c r="I178" s="64"/>
      <c r="J178" s="64"/>
    </row>
    <row r="179" spans="1:10" s="1" customFormat="1">
      <c r="A179" s="64"/>
      <c r="B179" s="64"/>
      <c r="C179" s="64"/>
      <c r="D179" s="64"/>
      <c r="E179" s="64"/>
      <c r="F179" s="64"/>
      <c r="G179" s="64"/>
      <c r="H179" s="64"/>
      <c r="I179" s="64"/>
      <c r="J179" s="64"/>
    </row>
    <row r="180" spans="1:10" s="1" customFormat="1">
      <c r="A180" s="64"/>
      <c r="B180" s="64"/>
      <c r="C180" s="64"/>
      <c r="D180" s="64"/>
      <c r="E180" s="64"/>
      <c r="F180" s="64"/>
      <c r="G180" s="64"/>
      <c r="H180" s="64"/>
      <c r="I180" s="64"/>
      <c r="J180" s="64"/>
    </row>
    <row r="181" spans="1:10" s="1" customFormat="1">
      <c r="A181" s="64"/>
      <c r="B181" s="64"/>
      <c r="C181" s="64"/>
      <c r="D181" s="64"/>
      <c r="E181" s="64"/>
      <c r="F181" s="64"/>
      <c r="G181" s="64"/>
      <c r="H181" s="64"/>
      <c r="I181" s="64"/>
      <c r="J181" s="64"/>
    </row>
    <row r="182" spans="1:10" s="1" customFormat="1">
      <c r="A182" s="64"/>
      <c r="B182" s="64"/>
      <c r="C182" s="64"/>
      <c r="D182" s="64"/>
      <c r="E182" s="64"/>
      <c r="F182" s="64"/>
      <c r="G182" s="64"/>
      <c r="H182" s="64"/>
      <c r="I182" s="64"/>
      <c r="J182" s="64"/>
    </row>
    <row r="183" spans="1:10" s="1" customFormat="1">
      <c r="A183" s="64"/>
      <c r="B183" s="64"/>
      <c r="C183" s="64"/>
      <c r="D183" s="64"/>
      <c r="E183" s="64"/>
      <c r="F183" s="64"/>
      <c r="G183" s="64"/>
      <c r="H183" s="64"/>
      <c r="I183" s="64"/>
      <c r="J183" s="64"/>
    </row>
    <row r="184" spans="1:10" s="1" customFormat="1">
      <c r="A184" s="64"/>
      <c r="B184" s="64"/>
      <c r="C184" s="64"/>
      <c r="D184" s="64"/>
      <c r="E184" s="64"/>
      <c r="F184" s="64"/>
      <c r="G184" s="64"/>
      <c r="H184" s="64"/>
      <c r="I184" s="64"/>
      <c r="J184" s="64"/>
    </row>
    <row r="185" spans="1:10" s="1" customFormat="1">
      <c r="A185" s="64"/>
      <c r="B185" s="64"/>
      <c r="C185" s="64"/>
      <c r="D185" s="64"/>
      <c r="E185" s="64"/>
      <c r="F185" s="64"/>
      <c r="G185" s="64"/>
      <c r="H185" s="64"/>
      <c r="I185" s="64"/>
      <c r="J185" s="64"/>
    </row>
    <row r="186" spans="1:10" s="1" customFormat="1">
      <c r="A186" s="64"/>
      <c r="B186" s="64"/>
      <c r="C186" s="64"/>
      <c r="D186" s="64"/>
      <c r="E186" s="64"/>
      <c r="F186" s="64"/>
      <c r="G186" s="64"/>
      <c r="H186" s="64"/>
      <c r="I186" s="64"/>
      <c r="J186" s="64"/>
    </row>
    <row r="187" spans="1:10" s="1" customFormat="1">
      <c r="A187" s="64"/>
      <c r="B187" s="64"/>
      <c r="C187" s="64"/>
      <c r="D187" s="64"/>
      <c r="E187" s="64"/>
      <c r="F187" s="64"/>
      <c r="G187" s="64"/>
      <c r="H187" s="64"/>
      <c r="I187" s="64"/>
      <c r="J187" s="64"/>
    </row>
    <row r="188" spans="1:10" s="1" customFormat="1">
      <c r="A188" s="64"/>
      <c r="B188" s="64"/>
      <c r="C188" s="64"/>
      <c r="D188" s="64"/>
      <c r="E188" s="64"/>
      <c r="F188" s="64"/>
      <c r="G188" s="64"/>
      <c r="H188" s="64"/>
      <c r="I188" s="64"/>
      <c r="J188" s="64"/>
    </row>
    <row r="189" spans="1:10" s="1" customFormat="1">
      <c r="A189" s="64"/>
      <c r="B189" s="64"/>
      <c r="C189" s="64"/>
      <c r="D189" s="64"/>
      <c r="E189" s="64"/>
      <c r="F189" s="64"/>
      <c r="G189" s="64"/>
      <c r="H189" s="64"/>
      <c r="I189" s="64"/>
      <c r="J189" s="64"/>
    </row>
    <row r="190" spans="1:10" s="1" customFormat="1">
      <c r="A190" s="64"/>
      <c r="B190" s="64"/>
      <c r="C190" s="64"/>
      <c r="D190" s="64"/>
      <c r="E190" s="64"/>
      <c r="F190" s="64"/>
      <c r="G190" s="64"/>
      <c r="H190" s="64"/>
      <c r="I190" s="64"/>
      <c r="J190" s="64"/>
    </row>
    <row r="191" spans="1:10" s="1" customFormat="1">
      <c r="A191" s="64"/>
      <c r="B191" s="64"/>
      <c r="C191" s="64"/>
      <c r="D191" s="64"/>
      <c r="E191" s="64"/>
      <c r="F191" s="64"/>
      <c r="G191" s="64"/>
      <c r="H191" s="64"/>
      <c r="I191" s="64"/>
      <c r="J191" s="64"/>
    </row>
    <row r="192" spans="1:10" s="1" customFormat="1">
      <c r="A192" s="64"/>
      <c r="B192" s="64"/>
      <c r="C192" s="64"/>
      <c r="D192" s="64"/>
      <c r="E192" s="64"/>
      <c r="F192" s="64"/>
      <c r="G192" s="64"/>
      <c r="H192" s="64"/>
      <c r="I192" s="64"/>
      <c r="J192" s="64"/>
    </row>
    <row r="193" spans="1:10" s="1" customFormat="1">
      <c r="A193" s="64"/>
      <c r="B193" s="64"/>
      <c r="C193" s="64"/>
      <c r="D193" s="64"/>
      <c r="E193" s="64"/>
      <c r="F193" s="64"/>
      <c r="G193" s="64"/>
      <c r="H193" s="64"/>
      <c r="I193" s="64"/>
      <c r="J193" s="64"/>
    </row>
    <row r="194" spans="1:10" s="1" customFormat="1">
      <c r="A194" s="64"/>
      <c r="B194" s="64"/>
      <c r="C194" s="64"/>
      <c r="D194" s="64"/>
      <c r="E194" s="64"/>
      <c r="F194" s="64"/>
      <c r="G194" s="64"/>
      <c r="H194" s="64"/>
      <c r="I194" s="64"/>
      <c r="J194" s="64"/>
    </row>
    <row r="195" spans="1:10" s="1" customFormat="1">
      <c r="A195" s="64"/>
      <c r="B195" s="64"/>
      <c r="C195" s="64"/>
      <c r="D195" s="64"/>
      <c r="E195" s="64"/>
      <c r="F195" s="64"/>
      <c r="G195" s="64"/>
      <c r="H195" s="64"/>
      <c r="I195" s="64"/>
      <c r="J195" s="64"/>
    </row>
    <row r="196" spans="1:10" s="1" customFormat="1">
      <c r="A196" s="64"/>
      <c r="B196" s="64"/>
      <c r="C196" s="64"/>
      <c r="D196" s="64"/>
      <c r="E196" s="64"/>
      <c r="F196" s="64"/>
      <c r="G196" s="64"/>
      <c r="H196" s="64"/>
      <c r="I196" s="64"/>
      <c r="J196" s="64"/>
    </row>
    <row r="197" spans="1:10" s="1" customFormat="1">
      <c r="A197" s="64"/>
      <c r="B197" s="64"/>
      <c r="C197" s="64"/>
      <c r="D197" s="64"/>
      <c r="E197" s="64"/>
      <c r="F197" s="64"/>
      <c r="G197" s="64"/>
      <c r="H197" s="64"/>
      <c r="I197" s="64"/>
      <c r="J197" s="64"/>
    </row>
    <row r="198" spans="1:10" s="1" customFormat="1">
      <c r="A198" s="64"/>
      <c r="B198" s="64"/>
      <c r="C198" s="64"/>
      <c r="D198" s="64"/>
      <c r="E198" s="64"/>
      <c r="F198" s="64"/>
      <c r="G198" s="64"/>
      <c r="H198" s="64"/>
      <c r="I198" s="64"/>
      <c r="J198" s="64"/>
    </row>
    <row r="199" spans="1:10" s="1" customFormat="1">
      <c r="A199" s="64"/>
      <c r="B199" s="64"/>
      <c r="C199" s="64"/>
      <c r="D199" s="64"/>
      <c r="E199" s="64"/>
      <c r="F199" s="64"/>
      <c r="G199" s="64"/>
      <c r="H199" s="64"/>
      <c r="I199" s="64"/>
      <c r="J199" s="64"/>
    </row>
    <row r="200" spans="1:10" s="1" customFormat="1">
      <c r="A200" s="64"/>
      <c r="B200" s="64"/>
      <c r="C200" s="64"/>
      <c r="D200" s="64"/>
      <c r="E200" s="64"/>
      <c r="F200" s="64"/>
      <c r="G200" s="64"/>
      <c r="H200" s="64"/>
      <c r="I200" s="64"/>
      <c r="J200" s="64"/>
    </row>
    <row r="201" spans="1:10" s="1" customFormat="1">
      <c r="A201" s="64"/>
      <c r="B201" s="64"/>
      <c r="C201" s="64"/>
      <c r="D201" s="64"/>
      <c r="E201" s="64"/>
      <c r="F201" s="64"/>
      <c r="G201" s="64"/>
      <c r="H201" s="64"/>
      <c r="I201" s="64"/>
      <c r="J201" s="64"/>
    </row>
    <row r="202" spans="1:10" s="1" customFormat="1">
      <c r="A202" s="64"/>
      <c r="B202" s="64"/>
      <c r="C202" s="64"/>
      <c r="D202" s="64"/>
      <c r="E202" s="64"/>
      <c r="F202" s="64"/>
      <c r="G202" s="64"/>
      <c r="H202" s="64"/>
      <c r="I202" s="64"/>
      <c r="J202" s="64"/>
    </row>
    <row r="203" spans="1:10" s="1" customFormat="1">
      <c r="A203" s="64"/>
      <c r="B203" s="64"/>
      <c r="C203" s="64"/>
      <c r="D203" s="64"/>
      <c r="E203" s="64"/>
      <c r="F203" s="64"/>
      <c r="G203" s="64"/>
      <c r="H203" s="64"/>
      <c r="I203" s="64"/>
      <c r="J203" s="64"/>
    </row>
    <row r="204" spans="1:10" s="1" customFormat="1">
      <c r="A204" s="64"/>
      <c r="B204" s="64"/>
      <c r="C204" s="64"/>
      <c r="D204" s="64"/>
      <c r="E204" s="64"/>
      <c r="F204" s="64"/>
      <c r="G204" s="64"/>
      <c r="H204" s="64"/>
      <c r="I204" s="64"/>
      <c r="J204" s="64"/>
    </row>
    <row r="205" spans="1:10" s="1" customFormat="1">
      <c r="A205" s="64"/>
      <c r="B205" s="64"/>
      <c r="C205" s="64"/>
      <c r="D205" s="64"/>
      <c r="E205" s="64"/>
      <c r="F205" s="64"/>
      <c r="G205" s="64"/>
      <c r="H205" s="64"/>
      <c r="I205" s="64"/>
      <c r="J205" s="64"/>
    </row>
    <row r="206" spans="1:10" s="1" customFormat="1">
      <c r="A206" s="64"/>
      <c r="B206" s="64"/>
      <c r="C206" s="64"/>
      <c r="D206" s="64"/>
      <c r="E206" s="64"/>
      <c r="F206" s="64"/>
      <c r="G206" s="64"/>
      <c r="H206" s="64"/>
      <c r="I206" s="64"/>
      <c r="J206" s="64"/>
    </row>
    <row r="207" spans="1:10" s="1" customFormat="1">
      <c r="A207" s="64"/>
      <c r="B207" s="64"/>
      <c r="C207" s="64"/>
      <c r="D207" s="64"/>
      <c r="E207" s="64"/>
      <c r="F207" s="64"/>
      <c r="G207" s="64"/>
      <c r="H207" s="64"/>
      <c r="I207" s="64"/>
      <c r="J207" s="64"/>
    </row>
    <row r="208" spans="1:10" s="1" customFormat="1">
      <c r="A208" s="64"/>
      <c r="B208" s="64"/>
      <c r="C208" s="64"/>
      <c r="D208" s="64"/>
      <c r="E208" s="64"/>
      <c r="F208" s="64"/>
      <c r="G208" s="64"/>
      <c r="H208" s="64"/>
      <c r="I208" s="64"/>
      <c r="J208" s="64"/>
    </row>
    <row r="209" spans="1:10" s="1" customFormat="1">
      <c r="A209" s="64"/>
      <c r="B209" s="64"/>
      <c r="C209" s="64"/>
      <c r="D209" s="64"/>
      <c r="E209" s="64"/>
      <c r="F209" s="64"/>
      <c r="G209" s="64"/>
      <c r="H209" s="64"/>
      <c r="I209" s="64"/>
      <c r="J209" s="64"/>
    </row>
    <row r="210" spans="1:10" s="1" customFormat="1">
      <c r="A210" s="64"/>
      <c r="B210" s="64"/>
      <c r="C210" s="64"/>
      <c r="D210" s="64"/>
      <c r="E210" s="64"/>
      <c r="F210" s="64"/>
      <c r="G210" s="64"/>
      <c r="H210" s="64"/>
      <c r="I210" s="64"/>
      <c r="J210" s="64"/>
    </row>
    <row r="211" spans="1:10" s="1" customFormat="1">
      <c r="A211" s="64"/>
      <c r="B211" s="64"/>
      <c r="C211" s="64"/>
      <c r="D211" s="64"/>
      <c r="E211" s="64"/>
      <c r="F211" s="64"/>
      <c r="G211" s="64"/>
      <c r="H211" s="64"/>
      <c r="I211" s="64"/>
      <c r="J211" s="64"/>
    </row>
    <row r="212" spans="1:10" s="1" customFormat="1">
      <c r="A212" s="64"/>
      <c r="B212" s="64"/>
      <c r="C212" s="64"/>
      <c r="D212" s="64"/>
      <c r="E212" s="64"/>
      <c r="F212" s="64"/>
      <c r="G212" s="64"/>
      <c r="H212" s="64"/>
      <c r="I212" s="64"/>
      <c r="J212" s="64"/>
    </row>
    <row r="213" spans="1:10" s="1" customFormat="1">
      <c r="A213" s="64"/>
      <c r="B213" s="64"/>
      <c r="C213" s="64"/>
      <c r="D213" s="64"/>
      <c r="E213" s="64"/>
      <c r="F213" s="64"/>
      <c r="G213" s="64"/>
      <c r="H213" s="64"/>
      <c r="I213" s="64"/>
      <c r="J213" s="64"/>
    </row>
    <row r="214" spans="1:10" s="1" customFormat="1">
      <c r="A214" s="64"/>
      <c r="B214" s="64"/>
      <c r="C214" s="64"/>
      <c r="D214" s="64"/>
      <c r="E214" s="64"/>
      <c r="F214" s="64"/>
      <c r="G214" s="64"/>
      <c r="H214" s="64"/>
      <c r="I214" s="64"/>
      <c r="J214" s="64"/>
    </row>
    <row r="215" spans="1:10" s="1" customFormat="1">
      <c r="A215" s="64"/>
      <c r="B215" s="64"/>
      <c r="C215" s="64"/>
      <c r="D215" s="64"/>
      <c r="E215" s="64"/>
      <c r="F215" s="64"/>
      <c r="G215" s="64"/>
      <c r="H215" s="64"/>
      <c r="I215" s="64"/>
      <c r="J215" s="64"/>
    </row>
    <row r="216" spans="1:10" s="1" customFormat="1">
      <c r="A216" s="64"/>
      <c r="B216" s="64"/>
      <c r="C216" s="64"/>
      <c r="D216" s="64"/>
      <c r="E216" s="64"/>
      <c r="F216" s="64"/>
      <c r="G216" s="64"/>
      <c r="H216" s="64"/>
      <c r="I216" s="64"/>
      <c r="J216" s="64"/>
    </row>
    <row r="217" spans="1:10" s="1" customFormat="1">
      <c r="A217" s="64"/>
      <c r="B217" s="64"/>
      <c r="C217" s="64"/>
      <c r="D217" s="64"/>
      <c r="E217" s="64"/>
      <c r="F217" s="64"/>
      <c r="G217" s="64"/>
      <c r="H217" s="64"/>
      <c r="I217" s="64"/>
      <c r="J217" s="64"/>
    </row>
    <row r="218" spans="1:10" s="1" customFormat="1">
      <c r="A218" s="64"/>
      <c r="B218" s="64"/>
      <c r="C218" s="64"/>
      <c r="D218" s="64"/>
      <c r="E218" s="64"/>
      <c r="F218" s="64"/>
      <c r="G218" s="64"/>
      <c r="H218" s="64"/>
      <c r="I218" s="64"/>
      <c r="J218" s="64"/>
    </row>
    <row r="219" spans="1:10" s="1" customFormat="1">
      <c r="A219" s="64"/>
      <c r="B219" s="64"/>
      <c r="C219" s="64"/>
      <c r="D219" s="64"/>
      <c r="E219" s="64"/>
      <c r="F219" s="64"/>
      <c r="G219" s="64"/>
      <c r="H219" s="64"/>
      <c r="I219" s="64"/>
      <c r="J219" s="64"/>
    </row>
    <row r="220" spans="1:10" s="1" customFormat="1">
      <c r="A220" s="64"/>
      <c r="B220" s="64"/>
      <c r="C220" s="64"/>
      <c r="D220" s="64"/>
      <c r="E220" s="64"/>
      <c r="F220" s="64"/>
      <c r="G220" s="64"/>
      <c r="H220" s="64"/>
      <c r="I220" s="64"/>
      <c r="J220" s="64"/>
    </row>
    <row r="221" spans="1:10" s="1" customFormat="1">
      <c r="A221" s="64"/>
      <c r="B221" s="64"/>
      <c r="C221" s="64"/>
      <c r="D221" s="64"/>
      <c r="E221" s="64"/>
      <c r="F221" s="64"/>
      <c r="G221" s="64"/>
      <c r="H221" s="64"/>
      <c r="I221" s="64"/>
      <c r="J221" s="64"/>
    </row>
    <row r="222" spans="1:10" s="1" customFormat="1">
      <c r="A222" s="64"/>
      <c r="B222" s="64"/>
      <c r="C222" s="64"/>
      <c r="D222" s="64"/>
      <c r="E222" s="64"/>
      <c r="F222" s="64"/>
      <c r="G222" s="64"/>
      <c r="H222" s="64"/>
      <c r="I222" s="64"/>
      <c r="J222" s="64"/>
    </row>
    <row r="223" spans="1:10" s="1" customFormat="1">
      <c r="A223" s="64"/>
      <c r="B223" s="64"/>
      <c r="C223" s="64"/>
      <c r="D223" s="64"/>
      <c r="E223" s="64"/>
      <c r="F223" s="64"/>
      <c r="G223" s="64"/>
      <c r="H223" s="64"/>
      <c r="I223" s="64"/>
      <c r="J223" s="64"/>
    </row>
    <row r="224" spans="1:10" s="1" customFormat="1">
      <c r="A224" s="64"/>
      <c r="B224" s="64"/>
      <c r="C224" s="64"/>
      <c r="D224" s="64"/>
      <c r="E224" s="64"/>
      <c r="F224" s="64"/>
      <c r="G224" s="64"/>
      <c r="H224" s="64"/>
      <c r="I224" s="64"/>
      <c r="J224" s="64"/>
    </row>
    <row r="225" spans="1:10" s="1" customFormat="1">
      <c r="A225" s="64"/>
      <c r="B225" s="64"/>
      <c r="C225" s="64"/>
      <c r="D225" s="64"/>
      <c r="E225" s="64"/>
      <c r="F225" s="64"/>
      <c r="G225" s="64"/>
      <c r="H225" s="64"/>
      <c r="I225" s="64"/>
      <c r="J225" s="64"/>
    </row>
    <row r="226" spans="1:10" s="1" customFormat="1">
      <c r="A226" s="64"/>
      <c r="B226" s="64"/>
      <c r="C226" s="64"/>
      <c r="D226" s="64"/>
      <c r="E226" s="64"/>
      <c r="F226" s="64"/>
      <c r="G226" s="64"/>
      <c r="H226" s="64"/>
      <c r="I226" s="64"/>
      <c r="J226" s="64"/>
    </row>
    <row r="227" spans="1:10" s="1" customFormat="1">
      <c r="A227" s="64"/>
      <c r="B227" s="64"/>
      <c r="C227" s="64"/>
      <c r="D227" s="64"/>
      <c r="E227" s="64"/>
      <c r="F227" s="64"/>
      <c r="G227" s="64"/>
      <c r="H227" s="64"/>
      <c r="I227" s="64"/>
      <c r="J227" s="64"/>
    </row>
    <row r="228" spans="1:10" s="1" customFormat="1">
      <c r="A228" s="64"/>
      <c r="B228" s="64"/>
      <c r="C228" s="64"/>
      <c r="D228" s="64"/>
      <c r="E228" s="64"/>
      <c r="F228" s="64"/>
      <c r="G228" s="64"/>
      <c r="H228" s="64"/>
      <c r="I228" s="64"/>
      <c r="J228" s="64"/>
    </row>
    <row r="229" spans="1:10" s="1" customFormat="1">
      <c r="A229" s="64"/>
      <c r="B229" s="64"/>
      <c r="C229" s="64"/>
      <c r="D229" s="64"/>
      <c r="E229" s="64"/>
      <c r="F229" s="64"/>
      <c r="G229" s="64"/>
      <c r="H229" s="64"/>
      <c r="I229" s="64"/>
      <c r="J229" s="64"/>
    </row>
    <row r="230" spans="1:10" s="1" customFormat="1">
      <c r="A230" s="64"/>
      <c r="B230" s="64"/>
      <c r="C230" s="64"/>
      <c r="D230" s="64"/>
      <c r="E230" s="64"/>
      <c r="F230" s="64"/>
      <c r="G230" s="64"/>
      <c r="H230" s="64"/>
      <c r="I230" s="64"/>
      <c r="J230" s="64"/>
    </row>
    <row r="231" spans="1:10" s="1" customFormat="1">
      <c r="A231" s="64"/>
      <c r="B231" s="64"/>
      <c r="C231" s="64"/>
      <c r="D231" s="64"/>
      <c r="E231" s="64"/>
      <c r="F231" s="64"/>
      <c r="G231" s="64"/>
      <c r="H231" s="64"/>
      <c r="I231" s="64"/>
      <c r="J231" s="64"/>
    </row>
    <row r="232" spans="1:10" s="1" customFormat="1">
      <c r="A232" s="64"/>
      <c r="B232" s="64"/>
      <c r="C232" s="64"/>
      <c r="D232" s="64"/>
      <c r="E232" s="64"/>
      <c r="F232" s="64"/>
      <c r="G232" s="64"/>
      <c r="H232" s="64"/>
      <c r="I232" s="64"/>
      <c r="J232" s="64"/>
    </row>
    <row r="233" spans="1:10" s="1" customFormat="1">
      <c r="A233" s="64"/>
      <c r="B233" s="64"/>
      <c r="C233" s="64"/>
      <c r="D233" s="64"/>
      <c r="E233" s="64"/>
      <c r="F233" s="64"/>
      <c r="G233" s="64"/>
      <c r="H233" s="64"/>
      <c r="I233" s="64"/>
      <c r="J233" s="64"/>
    </row>
    <row r="234" spans="1:10" s="1" customFormat="1">
      <c r="A234" s="64"/>
      <c r="B234" s="64"/>
      <c r="C234" s="64"/>
      <c r="D234" s="64"/>
      <c r="E234" s="64"/>
      <c r="F234" s="64"/>
      <c r="G234" s="64"/>
      <c r="H234" s="64"/>
      <c r="I234" s="64"/>
      <c r="J234" s="64"/>
    </row>
    <row r="235" spans="1:10" s="1" customFormat="1">
      <c r="A235" s="64"/>
      <c r="B235" s="64"/>
      <c r="C235" s="64"/>
      <c r="D235" s="64"/>
      <c r="E235" s="64"/>
      <c r="F235" s="64"/>
      <c r="G235" s="64"/>
      <c r="H235" s="64"/>
      <c r="I235" s="64"/>
      <c r="J235" s="64"/>
    </row>
    <row r="236" spans="1:10" s="1" customFormat="1">
      <c r="A236" s="64"/>
      <c r="B236" s="64"/>
      <c r="C236" s="64"/>
      <c r="D236" s="64"/>
      <c r="E236" s="64"/>
      <c r="F236" s="64"/>
      <c r="G236" s="64"/>
      <c r="H236" s="64"/>
      <c r="I236" s="64"/>
      <c r="J236" s="64"/>
    </row>
    <row r="237" spans="1:10" s="1" customFormat="1">
      <c r="A237" s="64"/>
      <c r="B237" s="64"/>
      <c r="C237" s="64"/>
      <c r="D237" s="64"/>
      <c r="E237" s="64"/>
      <c r="F237" s="64"/>
      <c r="G237" s="64"/>
      <c r="H237" s="64"/>
      <c r="I237" s="64"/>
      <c r="J237" s="64"/>
    </row>
    <row r="238" spans="1:10" s="1" customFormat="1">
      <c r="A238" s="64"/>
      <c r="B238" s="64"/>
      <c r="C238" s="64"/>
      <c r="D238" s="64"/>
      <c r="E238" s="64"/>
      <c r="F238" s="64"/>
      <c r="G238" s="64"/>
      <c r="H238" s="64"/>
      <c r="I238" s="64"/>
      <c r="J238" s="64"/>
    </row>
    <row r="239" spans="1:10" s="1" customFormat="1">
      <c r="A239" s="64"/>
      <c r="B239" s="64"/>
      <c r="C239" s="64"/>
      <c r="D239" s="64"/>
      <c r="E239" s="64"/>
      <c r="F239" s="64"/>
      <c r="G239" s="64"/>
      <c r="H239" s="64"/>
      <c r="I239" s="64"/>
      <c r="J239" s="64"/>
    </row>
    <row r="240" spans="1:10" s="1" customFormat="1">
      <c r="A240" s="64"/>
      <c r="B240" s="64"/>
      <c r="C240" s="64"/>
      <c r="D240" s="64"/>
      <c r="E240" s="64"/>
      <c r="F240" s="64"/>
      <c r="G240" s="64"/>
      <c r="H240" s="64"/>
      <c r="I240" s="64"/>
      <c r="J240" s="64"/>
    </row>
    <row r="241" spans="1:10" s="1" customFormat="1">
      <c r="A241" s="64"/>
      <c r="B241" s="64"/>
      <c r="C241" s="64"/>
      <c r="D241" s="64"/>
      <c r="E241" s="64"/>
      <c r="F241" s="64"/>
      <c r="G241" s="64"/>
      <c r="H241" s="64"/>
      <c r="I241" s="64"/>
      <c r="J241" s="64"/>
    </row>
    <row r="242" spans="1:10" s="1" customFormat="1">
      <c r="A242" s="64"/>
      <c r="B242" s="64"/>
      <c r="C242" s="64"/>
      <c r="D242" s="64"/>
      <c r="E242" s="64"/>
      <c r="F242" s="64"/>
      <c r="G242" s="64"/>
      <c r="H242" s="64"/>
      <c r="I242" s="64"/>
      <c r="J242" s="64"/>
    </row>
    <row r="243" spans="1:10" s="1" customFormat="1">
      <c r="A243" s="64"/>
      <c r="B243" s="64"/>
      <c r="C243" s="64"/>
      <c r="D243" s="64"/>
      <c r="E243" s="64"/>
      <c r="F243" s="64"/>
      <c r="G243" s="64"/>
      <c r="H243" s="64"/>
      <c r="I243" s="64"/>
      <c r="J243" s="64"/>
    </row>
    <row r="244" spans="1:10" s="1" customFormat="1">
      <c r="A244" s="64"/>
      <c r="B244" s="64"/>
      <c r="C244" s="64"/>
      <c r="D244" s="64"/>
      <c r="E244" s="64"/>
      <c r="F244" s="64"/>
      <c r="G244" s="64"/>
      <c r="H244" s="64"/>
      <c r="I244" s="64"/>
      <c r="J244" s="64"/>
    </row>
    <row r="245" spans="1:10" s="1" customFormat="1">
      <c r="A245" s="64"/>
      <c r="B245" s="64"/>
      <c r="C245" s="64"/>
      <c r="D245" s="64"/>
      <c r="E245" s="64"/>
      <c r="F245" s="64"/>
      <c r="G245" s="64"/>
      <c r="H245" s="64"/>
      <c r="I245" s="64"/>
      <c r="J245" s="64"/>
    </row>
    <row r="246" spans="1:10" s="1" customFormat="1">
      <c r="A246" s="64"/>
      <c r="B246" s="64"/>
      <c r="C246" s="64"/>
      <c r="D246" s="64"/>
      <c r="E246" s="64"/>
      <c r="F246" s="64"/>
      <c r="G246" s="64"/>
      <c r="H246" s="64"/>
      <c r="I246" s="64"/>
      <c r="J246" s="64"/>
    </row>
    <row r="247" spans="1:10" s="1" customFormat="1">
      <c r="A247" s="64"/>
      <c r="B247" s="64"/>
      <c r="C247" s="64"/>
      <c r="D247" s="64"/>
      <c r="E247" s="64"/>
      <c r="F247" s="64"/>
      <c r="G247" s="64"/>
      <c r="H247" s="64"/>
      <c r="I247" s="64"/>
      <c r="J247" s="64"/>
    </row>
    <row r="248" spans="1:10" s="1" customFormat="1">
      <c r="A248" s="64"/>
      <c r="B248" s="64"/>
      <c r="C248" s="64"/>
      <c r="D248" s="64"/>
      <c r="E248" s="64"/>
      <c r="F248" s="64"/>
      <c r="G248" s="64"/>
      <c r="H248" s="64"/>
      <c r="I248" s="64"/>
      <c r="J248" s="64"/>
    </row>
    <row r="249" spans="1:10" s="1" customFormat="1">
      <c r="A249" s="64"/>
      <c r="B249" s="64"/>
      <c r="C249" s="64"/>
      <c r="D249" s="64"/>
      <c r="E249" s="64"/>
      <c r="F249" s="64"/>
      <c r="G249" s="64"/>
      <c r="H249" s="64"/>
      <c r="I249" s="64"/>
      <c r="J249" s="64"/>
    </row>
    <row r="250" spans="1:10" s="1" customFormat="1">
      <c r="A250" s="64"/>
      <c r="B250" s="64"/>
      <c r="C250" s="64"/>
      <c r="D250" s="64"/>
      <c r="E250" s="64"/>
      <c r="F250" s="64"/>
      <c r="G250" s="64"/>
      <c r="H250" s="64"/>
      <c r="I250" s="64"/>
      <c r="J250" s="64"/>
    </row>
  </sheetData>
  <mergeCells count="1">
    <mergeCell ref="H1:J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39B13-C780-4C6A-812A-E42076B0F1E7}">
  <sheetPr codeName="Sheet37"/>
  <dimension ref="A1:XEZ247"/>
  <sheetViews>
    <sheetView topLeftCell="A28" workbookViewId="0">
      <selection activeCell="C22" sqref="C22"/>
    </sheetView>
  </sheetViews>
  <sheetFormatPr defaultColWidth="32.140625" defaultRowHeight="15"/>
  <cols>
    <col min="1" max="1" width="7.140625" style="44" bestFit="1" customWidth="1"/>
    <col min="2" max="2" width="28.140625" style="44" bestFit="1" customWidth="1"/>
    <col min="3" max="3" width="4.5703125" style="44" bestFit="1" customWidth="1"/>
    <col min="4" max="4" width="9" style="44" bestFit="1" customWidth="1"/>
    <col min="5" max="5" width="24.42578125" style="44" bestFit="1" customWidth="1"/>
    <col min="6" max="6" width="48.140625" style="44" bestFit="1" customWidth="1"/>
    <col min="7" max="7" width="57.42578125" style="44" customWidth="1"/>
    <col min="8" max="8" width="4.7109375" style="2" bestFit="1" customWidth="1"/>
    <col min="9" max="9" width="5.140625" style="2" bestFit="1" customWidth="1"/>
    <col min="10" max="16379" width="32.140625" style="2"/>
    <col min="16380" max="16380" width="1.7109375" style="2" customWidth="1"/>
    <col min="16381" max="16384" width="17.7109375" style="44" customWidth="1"/>
  </cols>
  <sheetData>
    <row r="1" spans="1:9" s="44" customFormat="1">
      <c r="A1" s="41" t="s">
        <v>238</v>
      </c>
      <c r="B1" s="41"/>
      <c r="C1" s="41"/>
      <c r="D1" s="41"/>
      <c r="E1" s="41"/>
      <c r="F1" s="41"/>
      <c r="G1" s="40"/>
      <c r="H1" s="92" t="s">
        <v>5363</v>
      </c>
      <c r="I1" s="93"/>
    </row>
    <row r="2" spans="1:9" s="44" customFormat="1" ht="30">
      <c r="A2" s="10" t="s">
        <v>350</v>
      </c>
      <c r="B2" s="10" t="s">
        <v>156</v>
      </c>
      <c r="C2" s="10" t="s">
        <v>157</v>
      </c>
      <c r="D2" s="10" t="s">
        <v>239</v>
      </c>
      <c r="E2" s="10" t="s">
        <v>159</v>
      </c>
      <c r="F2" s="10" t="s">
        <v>1684</v>
      </c>
      <c r="G2" s="14" t="s">
        <v>1685</v>
      </c>
      <c r="H2" s="10" t="s">
        <v>5371</v>
      </c>
      <c r="I2" s="10" t="s">
        <v>5372</v>
      </c>
    </row>
    <row r="3" spans="1:9" s="44" customFormat="1">
      <c r="A3" s="42">
        <v>1</v>
      </c>
      <c r="B3" s="42" t="s">
        <v>240</v>
      </c>
      <c r="C3" s="42">
        <v>8</v>
      </c>
      <c r="D3" s="42" t="s">
        <v>160</v>
      </c>
      <c r="E3" s="42" t="s">
        <v>177</v>
      </c>
      <c r="F3" s="42" t="s">
        <v>1686</v>
      </c>
      <c r="G3" s="15" t="s">
        <v>1687</v>
      </c>
      <c r="H3" s="42" t="s">
        <v>5382</v>
      </c>
      <c r="I3" s="42" t="s">
        <v>5395</v>
      </c>
    </row>
    <row r="4" spans="1:9" s="44" customFormat="1">
      <c r="A4" s="42">
        <v>2</v>
      </c>
      <c r="B4" s="42" t="s">
        <v>603</v>
      </c>
      <c r="C4" s="42">
        <v>2</v>
      </c>
      <c r="D4" s="42" t="s">
        <v>242</v>
      </c>
      <c r="E4" s="42"/>
      <c r="F4" s="42" t="s">
        <v>4436</v>
      </c>
      <c r="G4" s="15"/>
      <c r="H4" s="42" t="s">
        <v>5384</v>
      </c>
      <c r="I4" s="42" t="s">
        <v>5387</v>
      </c>
    </row>
    <row r="5" spans="1:9" s="44" customFormat="1" ht="30">
      <c r="A5" s="42">
        <v>3</v>
      </c>
      <c r="B5" s="42" t="s">
        <v>425</v>
      </c>
      <c r="C5" s="42">
        <v>8</v>
      </c>
      <c r="D5" s="42" t="s">
        <v>160</v>
      </c>
      <c r="E5" s="42" t="s">
        <v>177</v>
      </c>
      <c r="F5" s="42" t="s">
        <v>2629</v>
      </c>
      <c r="G5" s="15" t="s">
        <v>2522</v>
      </c>
      <c r="H5" s="42" t="s">
        <v>5385</v>
      </c>
      <c r="I5" s="42" t="s">
        <v>5386</v>
      </c>
    </row>
    <row r="6" spans="1:9" s="44" customFormat="1">
      <c r="A6" s="42">
        <v>4</v>
      </c>
      <c r="B6" s="42" t="s">
        <v>1034</v>
      </c>
      <c r="C6" s="42">
        <v>8</v>
      </c>
      <c r="D6" s="42" t="s">
        <v>189</v>
      </c>
      <c r="E6" s="42"/>
      <c r="F6" s="42" t="s">
        <v>4461</v>
      </c>
      <c r="G6" s="15" t="s">
        <v>4467</v>
      </c>
      <c r="H6" s="42"/>
      <c r="I6" s="42"/>
    </row>
    <row r="7" spans="1:9" s="44" customFormat="1">
      <c r="A7" s="42">
        <v>5</v>
      </c>
      <c r="B7" s="42" t="s">
        <v>1035</v>
      </c>
      <c r="C7" s="42">
        <v>8</v>
      </c>
      <c r="D7" s="42" t="s">
        <v>189</v>
      </c>
      <c r="E7" s="42"/>
      <c r="F7" s="42" t="s">
        <v>4462</v>
      </c>
      <c r="G7" s="15" t="s">
        <v>4468</v>
      </c>
      <c r="H7" s="42"/>
      <c r="I7" s="42"/>
    </row>
    <row r="8" spans="1:9" s="44" customFormat="1">
      <c r="A8" s="42">
        <v>6</v>
      </c>
      <c r="B8" s="42" t="s">
        <v>1036</v>
      </c>
      <c r="C8" s="42">
        <v>8</v>
      </c>
      <c r="D8" s="42" t="s">
        <v>189</v>
      </c>
      <c r="E8" s="42"/>
      <c r="F8" s="42" t="s">
        <v>4463</v>
      </c>
      <c r="G8" s="15" t="s">
        <v>4465</v>
      </c>
      <c r="H8" s="42"/>
      <c r="I8" s="42"/>
    </row>
    <row r="9" spans="1:9" s="44" customFormat="1">
      <c r="A9" s="42">
        <v>7</v>
      </c>
      <c r="B9" s="42" t="s">
        <v>1037</v>
      </c>
      <c r="C9" s="42">
        <v>8</v>
      </c>
      <c r="D9" s="42" t="s">
        <v>189</v>
      </c>
      <c r="E9" s="42"/>
      <c r="F9" s="42" t="s">
        <v>4464</v>
      </c>
      <c r="G9" s="15" t="s">
        <v>4466</v>
      </c>
      <c r="H9" s="42"/>
      <c r="I9" s="42"/>
    </row>
    <row r="10" spans="1:9" s="44" customFormat="1">
      <c r="A10" s="42">
        <v>8</v>
      </c>
      <c r="B10" s="42" t="s">
        <v>5525</v>
      </c>
      <c r="C10" s="42">
        <v>4</v>
      </c>
      <c r="D10" s="42" t="s">
        <v>189</v>
      </c>
      <c r="E10" s="42"/>
      <c r="F10" s="42" t="s">
        <v>4469</v>
      </c>
      <c r="G10" s="15" t="s">
        <v>4492</v>
      </c>
      <c r="H10" s="42"/>
      <c r="I10" s="42"/>
    </row>
    <row r="11" spans="1:9" s="44" customFormat="1">
      <c r="A11" s="42">
        <v>9</v>
      </c>
      <c r="B11" s="42" t="s">
        <v>5526</v>
      </c>
      <c r="C11" s="42">
        <v>8</v>
      </c>
      <c r="D11" s="42" t="s">
        <v>189</v>
      </c>
      <c r="E11" s="42"/>
      <c r="F11" s="42" t="s">
        <v>4437</v>
      </c>
      <c r="G11" s="15" t="s">
        <v>4493</v>
      </c>
      <c r="H11" s="42"/>
      <c r="I11" s="42"/>
    </row>
    <row r="12" spans="1:9" s="44" customFormat="1">
      <c r="A12" s="42">
        <v>10</v>
      </c>
      <c r="B12" s="42" t="s">
        <v>5638</v>
      </c>
      <c r="C12" s="42">
        <v>8</v>
      </c>
      <c r="D12" s="42" t="s">
        <v>189</v>
      </c>
      <c r="E12" s="42"/>
      <c r="F12" s="42" t="s">
        <v>4438</v>
      </c>
      <c r="G12" s="15" t="s">
        <v>4505</v>
      </c>
      <c r="H12" s="42"/>
      <c r="I12" s="42"/>
    </row>
    <row r="13" spans="1:9" s="44" customFormat="1">
      <c r="A13" s="42">
        <v>11</v>
      </c>
      <c r="B13" s="42" t="s">
        <v>5627</v>
      </c>
      <c r="C13" s="42">
        <v>4</v>
      </c>
      <c r="D13" s="42" t="s">
        <v>189</v>
      </c>
      <c r="E13" s="42"/>
      <c r="F13" s="42" t="s">
        <v>4470</v>
      </c>
      <c r="G13" s="15" t="s">
        <v>4481</v>
      </c>
      <c r="H13" s="42"/>
      <c r="I13" s="42"/>
    </row>
    <row r="14" spans="1:9" s="44" customFormat="1">
      <c r="A14" s="42">
        <v>12</v>
      </c>
      <c r="B14" s="42" t="s">
        <v>5650</v>
      </c>
      <c r="C14" s="42">
        <v>8</v>
      </c>
      <c r="D14" s="42" t="s">
        <v>189</v>
      </c>
      <c r="E14" s="42"/>
      <c r="F14" s="42" t="s">
        <v>4439</v>
      </c>
      <c r="G14" s="15" t="s">
        <v>4494</v>
      </c>
      <c r="H14" s="42"/>
      <c r="I14" s="42"/>
    </row>
    <row r="15" spans="1:9" s="44" customFormat="1">
      <c r="A15" s="42">
        <v>13</v>
      </c>
      <c r="B15" s="42" t="s">
        <v>5639</v>
      </c>
      <c r="C15" s="42">
        <v>8</v>
      </c>
      <c r="D15" s="42" t="s">
        <v>189</v>
      </c>
      <c r="E15" s="42"/>
      <c r="F15" s="42" t="s">
        <v>4440</v>
      </c>
      <c r="G15" s="15" t="s">
        <v>4506</v>
      </c>
      <c r="H15" s="42"/>
      <c r="I15" s="42"/>
    </row>
    <row r="16" spans="1:9" s="44" customFormat="1">
      <c r="A16" s="42">
        <v>14</v>
      </c>
      <c r="B16" s="42" t="s">
        <v>5628</v>
      </c>
      <c r="C16" s="42">
        <v>4</v>
      </c>
      <c r="D16" s="42" t="s">
        <v>189</v>
      </c>
      <c r="E16" s="42"/>
      <c r="F16" s="42" t="s">
        <v>4471</v>
      </c>
      <c r="G16" s="15" t="s">
        <v>4482</v>
      </c>
      <c r="H16" s="42"/>
      <c r="I16" s="42"/>
    </row>
    <row r="17" spans="1:9" s="44" customFormat="1">
      <c r="A17" s="42">
        <v>15</v>
      </c>
      <c r="B17" s="42" t="s">
        <v>5651</v>
      </c>
      <c r="C17" s="42">
        <v>8</v>
      </c>
      <c r="D17" s="42" t="s">
        <v>189</v>
      </c>
      <c r="E17" s="42"/>
      <c r="F17" s="42" t="s">
        <v>4441</v>
      </c>
      <c r="G17" s="15" t="s">
        <v>4495</v>
      </c>
      <c r="H17" s="42"/>
      <c r="I17" s="42"/>
    </row>
    <row r="18" spans="1:9" s="44" customFormat="1">
      <c r="A18" s="42">
        <v>16</v>
      </c>
      <c r="B18" s="42" t="s">
        <v>5640</v>
      </c>
      <c r="C18" s="42">
        <v>8</v>
      </c>
      <c r="D18" s="42" t="s">
        <v>189</v>
      </c>
      <c r="E18" s="42"/>
      <c r="F18" s="42" t="s">
        <v>4442</v>
      </c>
      <c r="G18" s="15" t="s">
        <v>4507</v>
      </c>
      <c r="H18" s="42"/>
      <c r="I18" s="42"/>
    </row>
    <row r="19" spans="1:9" s="44" customFormat="1">
      <c r="A19" s="42">
        <v>17</v>
      </c>
      <c r="B19" s="42" t="s">
        <v>5629</v>
      </c>
      <c r="C19" s="42">
        <v>4</v>
      </c>
      <c r="D19" s="42" t="s">
        <v>189</v>
      </c>
      <c r="E19" s="42"/>
      <c r="F19" s="42" t="s">
        <v>4472</v>
      </c>
      <c r="G19" s="15" t="s">
        <v>4483</v>
      </c>
      <c r="H19" s="42"/>
      <c r="I19" s="42"/>
    </row>
    <row r="20" spans="1:9" s="44" customFormat="1">
      <c r="A20" s="42">
        <v>18</v>
      </c>
      <c r="B20" s="42" t="s">
        <v>5652</v>
      </c>
      <c r="C20" s="42">
        <v>8</v>
      </c>
      <c r="D20" s="42" t="s">
        <v>189</v>
      </c>
      <c r="E20" s="42"/>
      <c r="F20" s="42" t="s">
        <v>4443</v>
      </c>
      <c r="G20" s="15" t="s">
        <v>4496</v>
      </c>
      <c r="H20" s="42"/>
      <c r="I20" s="42"/>
    </row>
    <row r="21" spans="1:9" s="44" customFormat="1">
      <c r="A21" s="42">
        <v>19</v>
      </c>
      <c r="B21" s="42" t="s">
        <v>5641</v>
      </c>
      <c r="C21" s="42">
        <v>8</v>
      </c>
      <c r="D21" s="42" t="s">
        <v>189</v>
      </c>
      <c r="E21" s="42"/>
      <c r="F21" s="42" t="s">
        <v>4444</v>
      </c>
      <c r="G21" s="15" t="s">
        <v>4508</v>
      </c>
      <c r="H21" s="42"/>
      <c r="I21" s="42"/>
    </row>
    <row r="22" spans="1:9" s="44" customFormat="1">
      <c r="A22" s="42">
        <v>20</v>
      </c>
      <c r="B22" s="42" t="s">
        <v>5630</v>
      </c>
      <c r="C22" s="42">
        <v>4</v>
      </c>
      <c r="D22" s="42" t="s">
        <v>189</v>
      </c>
      <c r="E22" s="42"/>
      <c r="F22" s="42" t="s">
        <v>4473</v>
      </c>
      <c r="G22" s="15" t="s">
        <v>4484</v>
      </c>
      <c r="H22" s="42"/>
      <c r="I22" s="42"/>
    </row>
    <row r="23" spans="1:9" s="44" customFormat="1">
      <c r="A23" s="42">
        <v>21</v>
      </c>
      <c r="B23" s="42" t="s">
        <v>5653</v>
      </c>
      <c r="C23" s="42">
        <v>8</v>
      </c>
      <c r="D23" s="42" t="s">
        <v>189</v>
      </c>
      <c r="E23" s="42"/>
      <c r="F23" s="42" t="s">
        <v>4445</v>
      </c>
      <c r="G23" s="15" t="s">
        <v>4497</v>
      </c>
      <c r="H23" s="42"/>
      <c r="I23" s="42"/>
    </row>
    <row r="24" spans="1:9" s="44" customFormat="1">
      <c r="A24" s="42">
        <v>22</v>
      </c>
      <c r="B24" s="42" t="s">
        <v>5642</v>
      </c>
      <c r="C24" s="42">
        <v>8</v>
      </c>
      <c r="D24" s="42" t="s">
        <v>189</v>
      </c>
      <c r="E24" s="42"/>
      <c r="F24" s="42" t="s">
        <v>4446</v>
      </c>
      <c r="G24" s="15" t="s">
        <v>4509</v>
      </c>
      <c r="H24" s="42"/>
      <c r="I24" s="42"/>
    </row>
    <row r="25" spans="1:9" s="44" customFormat="1">
      <c r="A25" s="42">
        <v>23</v>
      </c>
      <c r="B25" s="42" t="s">
        <v>5631</v>
      </c>
      <c r="C25" s="42">
        <v>4</v>
      </c>
      <c r="D25" s="42" t="s">
        <v>189</v>
      </c>
      <c r="E25" s="42"/>
      <c r="F25" s="42" t="s">
        <v>4474</v>
      </c>
      <c r="G25" s="15" t="s">
        <v>4485</v>
      </c>
      <c r="H25" s="42"/>
      <c r="I25" s="42"/>
    </row>
    <row r="26" spans="1:9" s="44" customFormat="1">
      <c r="A26" s="42">
        <v>24</v>
      </c>
      <c r="B26" s="42" t="s">
        <v>5654</v>
      </c>
      <c r="C26" s="42">
        <v>8</v>
      </c>
      <c r="D26" s="42" t="s">
        <v>189</v>
      </c>
      <c r="E26" s="42"/>
      <c r="F26" s="42" t="s">
        <v>4447</v>
      </c>
      <c r="G26" s="15" t="s">
        <v>4498</v>
      </c>
      <c r="H26" s="42"/>
      <c r="I26" s="42"/>
    </row>
    <row r="27" spans="1:9" s="44" customFormat="1">
      <c r="A27" s="42">
        <v>25</v>
      </c>
      <c r="B27" s="42" t="s">
        <v>5643</v>
      </c>
      <c r="C27" s="42">
        <v>8</v>
      </c>
      <c r="D27" s="42" t="s">
        <v>189</v>
      </c>
      <c r="E27" s="42"/>
      <c r="F27" s="42" t="s">
        <v>4448</v>
      </c>
      <c r="G27" s="15" t="s">
        <v>4510</v>
      </c>
      <c r="H27" s="42"/>
      <c r="I27" s="42"/>
    </row>
    <row r="28" spans="1:9" s="44" customFormat="1">
      <c r="A28" s="42">
        <v>26</v>
      </c>
      <c r="B28" s="42" t="s">
        <v>5632</v>
      </c>
      <c r="C28" s="42">
        <v>4</v>
      </c>
      <c r="D28" s="42" t="s">
        <v>189</v>
      </c>
      <c r="E28" s="42"/>
      <c r="F28" s="42" t="s">
        <v>4475</v>
      </c>
      <c r="G28" s="15" t="s">
        <v>4486</v>
      </c>
      <c r="H28" s="42"/>
      <c r="I28" s="42"/>
    </row>
    <row r="29" spans="1:9" s="44" customFormat="1">
      <c r="A29" s="42">
        <v>27</v>
      </c>
      <c r="B29" s="42" t="s">
        <v>5655</v>
      </c>
      <c r="C29" s="42">
        <v>8</v>
      </c>
      <c r="D29" s="42" t="s">
        <v>189</v>
      </c>
      <c r="E29" s="42"/>
      <c r="F29" s="42" t="s">
        <v>4449</v>
      </c>
      <c r="G29" s="15" t="s">
        <v>4499</v>
      </c>
      <c r="H29" s="42"/>
      <c r="I29" s="42"/>
    </row>
    <row r="30" spans="1:9" s="44" customFormat="1">
      <c r="A30" s="42">
        <v>28</v>
      </c>
      <c r="B30" s="42" t="s">
        <v>5644</v>
      </c>
      <c r="C30" s="42">
        <v>8</v>
      </c>
      <c r="D30" s="42" t="s">
        <v>189</v>
      </c>
      <c r="E30" s="42"/>
      <c r="F30" s="42" t="s">
        <v>4450</v>
      </c>
      <c r="G30" s="15" t="s">
        <v>4511</v>
      </c>
      <c r="H30" s="42"/>
      <c r="I30" s="42"/>
    </row>
    <row r="31" spans="1:9" s="44" customFormat="1">
      <c r="A31" s="42">
        <v>29</v>
      </c>
      <c r="B31" s="42" t="s">
        <v>5633</v>
      </c>
      <c r="C31" s="42">
        <v>4</v>
      </c>
      <c r="D31" s="42" t="s">
        <v>189</v>
      </c>
      <c r="E31" s="42"/>
      <c r="F31" s="42" t="s">
        <v>4476</v>
      </c>
      <c r="G31" s="15" t="s">
        <v>4487</v>
      </c>
      <c r="H31" s="42"/>
      <c r="I31" s="42"/>
    </row>
    <row r="32" spans="1:9" s="44" customFormat="1">
      <c r="A32" s="42">
        <v>30</v>
      </c>
      <c r="B32" s="42" t="s">
        <v>5656</v>
      </c>
      <c r="C32" s="42">
        <v>8</v>
      </c>
      <c r="D32" s="42" t="s">
        <v>189</v>
      </c>
      <c r="E32" s="42"/>
      <c r="F32" s="42" t="s">
        <v>4451</v>
      </c>
      <c r="G32" s="15" t="s">
        <v>4500</v>
      </c>
      <c r="H32" s="42"/>
      <c r="I32" s="42"/>
    </row>
    <row r="33" spans="1:10" s="44" customFormat="1">
      <c r="A33" s="42">
        <v>31</v>
      </c>
      <c r="B33" s="42" t="s">
        <v>5645</v>
      </c>
      <c r="C33" s="42">
        <v>8</v>
      </c>
      <c r="D33" s="42" t="s">
        <v>189</v>
      </c>
      <c r="E33" s="42"/>
      <c r="F33" s="42" t="s">
        <v>4452</v>
      </c>
      <c r="G33" s="15" t="s">
        <v>4512</v>
      </c>
      <c r="H33" s="42"/>
      <c r="I33" s="42"/>
    </row>
    <row r="34" spans="1:10" s="44" customFormat="1">
      <c r="A34" s="42">
        <v>32</v>
      </c>
      <c r="B34" s="42" t="s">
        <v>5634</v>
      </c>
      <c r="C34" s="42">
        <v>4</v>
      </c>
      <c r="D34" s="42" t="s">
        <v>189</v>
      </c>
      <c r="E34" s="42"/>
      <c r="F34" s="42" t="s">
        <v>4477</v>
      </c>
      <c r="G34" s="15" t="s">
        <v>4488</v>
      </c>
      <c r="H34" s="42"/>
      <c r="I34" s="42"/>
    </row>
    <row r="35" spans="1:10" s="44" customFormat="1">
      <c r="A35" s="42">
        <v>33</v>
      </c>
      <c r="B35" s="42" t="s">
        <v>5657</v>
      </c>
      <c r="C35" s="42">
        <v>8</v>
      </c>
      <c r="D35" s="42" t="s">
        <v>189</v>
      </c>
      <c r="E35" s="42"/>
      <c r="F35" s="42" t="s">
        <v>4453</v>
      </c>
      <c r="G35" s="15" t="s">
        <v>4501</v>
      </c>
      <c r="H35" s="42"/>
      <c r="I35" s="42"/>
    </row>
    <row r="36" spans="1:10" s="44" customFormat="1">
      <c r="A36" s="42">
        <v>34</v>
      </c>
      <c r="B36" s="42" t="s">
        <v>5646</v>
      </c>
      <c r="C36" s="42">
        <v>8</v>
      </c>
      <c r="D36" s="42" t="s">
        <v>189</v>
      </c>
      <c r="E36" s="42"/>
      <c r="F36" s="42" t="s">
        <v>4454</v>
      </c>
      <c r="G36" s="15" t="s">
        <v>4513</v>
      </c>
      <c r="H36" s="42"/>
      <c r="I36" s="42"/>
    </row>
    <row r="37" spans="1:10" s="44" customFormat="1">
      <c r="A37" s="42">
        <v>35</v>
      </c>
      <c r="B37" s="42" t="s">
        <v>5635</v>
      </c>
      <c r="C37" s="42">
        <v>4</v>
      </c>
      <c r="D37" s="42" t="s">
        <v>189</v>
      </c>
      <c r="E37" s="42"/>
      <c r="F37" s="42" t="s">
        <v>4478</v>
      </c>
      <c r="G37" s="15" t="s">
        <v>4489</v>
      </c>
      <c r="H37" s="42"/>
      <c r="I37" s="42"/>
    </row>
    <row r="38" spans="1:10" s="44" customFormat="1">
      <c r="A38" s="42">
        <v>36</v>
      </c>
      <c r="B38" s="42" t="s">
        <v>5658</v>
      </c>
      <c r="C38" s="42">
        <v>8</v>
      </c>
      <c r="D38" s="42" t="s">
        <v>189</v>
      </c>
      <c r="E38" s="42"/>
      <c r="F38" s="42" t="s">
        <v>4455</v>
      </c>
      <c r="G38" s="15" t="s">
        <v>4502</v>
      </c>
      <c r="H38" s="42"/>
      <c r="I38" s="42"/>
    </row>
    <row r="39" spans="1:10" s="44" customFormat="1">
      <c r="A39" s="42">
        <v>37</v>
      </c>
      <c r="B39" s="42" t="s">
        <v>5647</v>
      </c>
      <c r="C39" s="42">
        <v>8</v>
      </c>
      <c r="D39" s="42" t="s">
        <v>189</v>
      </c>
      <c r="E39" s="42"/>
      <c r="F39" s="42" t="s">
        <v>4456</v>
      </c>
      <c r="G39" s="15" t="s">
        <v>4514</v>
      </c>
      <c r="H39" s="42"/>
      <c r="I39" s="42"/>
    </row>
    <row r="40" spans="1:10" s="44" customFormat="1">
      <c r="A40" s="42">
        <v>38</v>
      </c>
      <c r="B40" s="42" t="s">
        <v>5636</v>
      </c>
      <c r="C40" s="42">
        <v>4</v>
      </c>
      <c r="D40" s="42" t="s">
        <v>189</v>
      </c>
      <c r="E40" s="42"/>
      <c r="F40" s="42" t="s">
        <v>4479</v>
      </c>
      <c r="G40" s="15" t="s">
        <v>4490</v>
      </c>
      <c r="H40" s="42"/>
      <c r="I40" s="42"/>
    </row>
    <row r="41" spans="1:10" s="44" customFormat="1">
      <c r="A41" s="42">
        <v>39</v>
      </c>
      <c r="B41" s="42" t="s">
        <v>5659</v>
      </c>
      <c r="C41" s="42">
        <v>8</v>
      </c>
      <c r="D41" s="42" t="s">
        <v>189</v>
      </c>
      <c r="E41" s="42"/>
      <c r="F41" s="42" t="s">
        <v>4457</v>
      </c>
      <c r="G41" s="15" t="s">
        <v>4503</v>
      </c>
      <c r="H41" s="42"/>
      <c r="I41" s="42"/>
    </row>
    <row r="42" spans="1:10" s="44" customFormat="1">
      <c r="A42" s="42">
        <v>40</v>
      </c>
      <c r="B42" s="42" t="s">
        <v>5648</v>
      </c>
      <c r="C42" s="42">
        <v>8</v>
      </c>
      <c r="D42" s="42" t="s">
        <v>189</v>
      </c>
      <c r="E42" s="42"/>
      <c r="F42" s="42" t="s">
        <v>4458</v>
      </c>
      <c r="G42" s="15" t="s">
        <v>4515</v>
      </c>
      <c r="H42" s="42"/>
      <c r="I42" s="42"/>
    </row>
    <row r="43" spans="1:10" s="44" customFormat="1">
      <c r="A43" s="42">
        <v>41</v>
      </c>
      <c r="B43" s="42" t="s">
        <v>5637</v>
      </c>
      <c r="C43" s="42">
        <v>4</v>
      </c>
      <c r="D43" s="42" t="s">
        <v>189</v>
      </c>
      <c r="E43" s="42"/>
      <c r="F43" s="42" t="s">
        <v>4480</v>
      </c>
      <c r="G43" s="15" t="s">
        <v>4491</v>
      </c>
      <c r="H43" s="42"/>
      <c r="I43" s="42"/>
    </row>
    <row r="44" spans="1:10" s="44" customFormat="1">
      <c r="A44" s="42">
        <v>42</v>
      </c>
      <c r="B44" s="42" t="s">
        <v>5660</v>
      </c>
      <c r="C44" s="42">
        <v>8</v>
      </c>
      <c r="D44" s="42" t="s">
        <v>189</v>
      </c>
      <c r="E44" s="42"/>
      <c r="F44" s="42" t="s">
        <v>4459</v>
      </c>
      <c r="G44" s="15" t="s">
        <v>4504</v>
      </c>
      <c r="H44" s="42"/>
      <c r="I44" s="42"/>
    </row>
    <row r="45" spans="1:10" s="44" customFormat="1" ht="24.75" customHeight="1">
      <c r="A45" s="42">
        <v>43</v>
      </c>
      <c r="B45" s="42" t="s">
        <v>5649</v>
      </c>
      <c r="C45" s="42">
        <v>8</v>
      </c>
      <c r="D45" s="42" t="s">
        <v>189</v>
      </c>
      <c r="E45" s="42"/>
      <c r="F45" s="42" t="s">
        <v>4460</v>
      </c>
      <c r="G45" s="15" t="s">
        <v>4516</v>
      </c>
      <c r="H45" s="42"/>
      <c r="I45" s="42"/>
    </row>
    <row r="46" spans="1:10" s="44" customFormat="1">
      <c r="A46" s="59">
        <v>44</v>
      </c>
      <c r="B46" s="59" t="s">
        <v>6551</v>
      </c>
      <c r="C46" s="59">
        <v>8</v>
      </c>
      <c r="D46" s="59" t="s">
        <v>189</v>
      </c>
      <c r="E46" s="59"/>
      <c r="F46" s="59" t="s">
        <v>6552</v>
      </c>
      <c r="G46" s="79" t="s">
        <v>6553</v>
      </c>
      <c r="H46" s="59"/>
      <c r="I46" s="59"/>
      <c r="J46" s="31" t="s">
        <v>7016</v>
      </c>
    </row>
    <row r="47" spans="1:10" s="44" customFormat="1">
      <c r="A47" s="59">
        <v>45</v>
      </c>
      <c r="B47" s="59" t="s">
        <v>6554</v>
      </c>
      <c r="C47" s="59">
        <v>8</v>
      </c>
      <c r="D47" s="59" t="s">
        <v>189</v>
      </c>
      <c r="E47" s="59"/>
      <c r="F47" s="59" t="s">
        <v>6555</v>
      </c>
      <c r="G47" s="79" t="s">
        <v>6556</v>
      </c>
      <c r="H47" s="59"/>
      <c r="I47" s="59"/>
      <c r="J47" s="31" t="s">
        <v>7016</v>
      </c>
    </row>
    <row r="48" spans="1:10" s="44" customFormat="1">
      <c r="A48" s="59">
        <v>46</v>
      </c>
      <c r="B48" s="59" t="s">
        <v>6557</v>
      </c>
      <c r="C48" s="59">
        <v>8</v>
      </c>
      <c r="D48" s="59" t="s">
        <v>189</v>
      </c>
      <c r="E48" s="59"/>
      <c r="F48" s="59" t="s">
        <v>6558</v>
      </c>
      <c r="G48" s="79" t="s">
        <v>6559</v>
      </c>
      <c r="H48" s="59"/>
      <c r="I48" s="59"/>
      <c r="J48" s="31" t="s">
        <v>7016</v>
      </c>
    </row>
    <row r="49" spans="1:10" s="44" customFormat="1">
      <c r="A49" s="59">
        <v>47</v>
      </c>
      <c r="B49" s="59" t="s">
        <v>6560</v>
      </c>
      <c r="C49" s="59">
        <v>8</v>
      </c>
      <c r="D49" s="59" t="s">
        <v>189</v>
      </c>
      <c r="E49" s="59"/>
      <c r="F49" s="59" t="s">
        <v>6561</v>
      </c>
      <c r="G49" s="79" t="s">
        <v>6562</v>
      </c>
      <c r="H49" s="59"/>
      <c r="I49" s="59"/>
      <c r="J49" s="31" t="s">
        <v>7016</v>
      </c>
    </row>
    <row r="50" spans="1:10" s="44" customFormat="1">
      <c r="A50" s="59">
        <v>48</v>
      </c>
      <c r="B50" s="59" t="s">
        <v>6563</v>
      </c>
      <c r="C50" s="59">
        <v>8</v>
      </c>
      <c r="D50" s="59" t="s">
        <v>189</v>
      </c>
      <c r="E50" s="59"/>
      <c r="F50" s="59" t="s">
        <v>6564</v>
      </c>
      <c r="G50" s="79" t="s">
        <v>6565</v>
      </c>
      <c r="H50" s="59"/>
      <c r="I50" s="59"/>
      <c r="J50" s="31" t="s">
        <v>7016</v>
      </c>
    </row>
    <row r="51" spans="1:10" s="44" customFormat="1">
      <c r="A51" s="59">
        <v>49</v>
      </c>
      <c r="B51" s="59" t="s">
        <v>6566</v>
      </c>
      <c r="C51" s="59">
        <v>8</v>
      </c>
      <c r="D51" s="59" t="s">
        <v>189</v>
      </c>
      <c r="E51" s="59"/>
      <c r="F51" s="59" t="s">
        <v>6567</v>
      </c>
      <c r="G51" s="79" t="s">
        <v>6568</v>
      </c>
      <c r="H51" s="59"/>
      <c r="I51" s="59"/>
      <c r="J51" s="31" t="s">
        <v>7016</v>
      </c>
    </row>
    <row r="52" spans="1:10" s="44" customFormat="1">
      <c r="A52" s="59">
        <v>50</v>
      </c>
      <c r="B52" s="59" t="s">
        <v>6569</v>
      </c>
      <c r="C52" s="59">
        <v>8</v>
      </c>
      <c r="D52" s="59" t="s">
        <v>189</v>
      </c>
      <c r="E52" s="59"/>
      <c r="F52" s="59" t="s">
        <v>6570</v>
      </c>
      <c r="G52" s="79" t="s">
        <v>6571</v>
      </c>
      <c r="H52" s="59"/>
      <c r="I52" s="59"/>
      <c r="J52" s="31" t="s">
        <v>7016</v>
      </c>
    </row>
    <row r="53" spans="1:10" s="44" customFormat="1">
      <c r="A53" s="59">
        <v>51</v>
      </c>
      <c r="B53" s="59" t="s">
        <v>6572</v>
      </c>
      <c r="C53" s="59">
        <v>8</v>
      </c>
      <c r="D53" s="59" t="s">
        <v>189</v>
      </c>
      <c r="E53" s="59"/>
      <c r="F53" s="59" t="s">
        <v>6573</v>
      </c>
      <c r="G53" s="79" t="s">
        <v>6574</v>
      </c>
      <c r="H53" s="59"/>
      <c r="I53" s="59"/>
      <c r="J53" s="31" t="s">
        <v>7016</v>
      </c>
    </row>
    <row r="54" spans="1:10" s="44" customFormat="1">
      <c r="A54" s="59">
        <v>52</v>
      </c>
      <c r="B54" s="59" t="s">
        <v>6575</v>
      </c>
      <c r="C54" s="59">
        <v>8</v>
      </c>
      <c r="D54" s="59" t="s">
        <v>189</v>
      </c>
      <c r="E54" s="59"/>
      <c r="F54" s="59" t="s">
        <v>6576</v>
      </c>
      <c r="G54" s="79" t="s">
        <v>6577</v>
      </c>
      <c r="H54" s="59"/>
      <c r="I54" s="59"/>
      <c r="J54" s="31" t="s">
        <v>7016</v>
      </c>
    </row>
    <row r="55" spans="1:10" s="44" customFormat="1">
      <c r="A55" s="59">
        <v>53</v>
      </c>
      <c r="B55" s="59" t="s">
        <v>6578</v>
      </c>
      <c r="C55" s="59">
        <v>8</v>
      </c>
      <c r="D55" s="59" t="s">
        <v>189</v>
      </c>
      <c r="E55" s="59"/>
      <c r="F55" s="59" t="s">
        <v>6579</v>
      </c>
      <c r="G55" s="79" t="s">
        <v>6580</v>
      </c>
      <c r="H55" s="59"/>
      <c r="I55" s="59"/>
      <c r="J55" s="31" t="s">
        <v>7016</v>
      </c>
    </row>
    <row r="56" spans="1:10" s="44" customFormat="1">
      <c r="A56" s="59">
        <v>54</v>
      </c>
      <c r="B56" s="59" t="s">
        <v>6581</v>
      </c>
      <c r="C56" s="59">
        <v>8</v>
      </c>
      <c r="D56" s="59" t="s">
        <v>189</v>
      </c>
      <c r="E56" s="59"/>
      <c r="F56" s="59" t="s">
        <v>6582</v>
      </c>
      <c r="G56" s="79" t="s">
        <v>6583</v>
      </c>
      <c r="H56" s="59"/>
      <c r="I56" s="59"/>
      <c r="J56" s="31" t="s">
        <v>7016</v>
      </c>
    </row>
    <row r="57" spans="1:10" s="44" customFormat="1">
      <c r="A57" s="59">
        <v>55</v>
      </c>
      <c r="B57" s="59" t="s">
        <v>6584</v>
      </c>
      <c r="C57" s="59">
        <v>8</v>
      </c>
      <c r="D57" s="59" t="s">
        <v>189</v>
      </c>
      <c r="E57" s="59"/>
      <c r="F57" s="59" t="s">
        <v>6585</v>
      </c>
      <c r="G57" s="79" t="s">
        <v>6586</v>
      </c>
      <c r="H57" s="59"/>
      <c r="I57" s="59"/>
      <c r="J57" s="31" t="s">
        <v>7016</v>
      </c>
    </row>
    <row r="58" spans="1:10" s="44" customFormat="1">
      <c r="A58" s="59">
        <v>56</v>
      </c>
      <c r="B58" s="59" t="s">
        <v>6587</v>
      </c>
      <c r="C58" s="59">
        <v>8</v>
      </c>
      <c r="D58" s="59" t="s">
        <v>189</v>
      </c>
      <c r="E58" s="59"/>
      <c r="F58" s="59" t="s">
        <v>6588</v>
      </c>
      <c r="G58" s="79" t="s">
        <v>6589</v>
      </c>
      <c r="H58" s="59"/>
      <c r="I58" s="59"/>
      <c r="J58" s="31" t="s">
        <v>7016</v>
      </c>
    </row>
    <row r="59" spans="1:10" s="44" customFormat="1">
      <c r="A59" s="59">
        <v>57</v>
      </c>
      <c r="B59" s="59" t="s">
        <v>6590</v>
      </c>
      <c r="C59" s="59">
        <v>8</v>
      </c>
      <c r="D59" s="59" t="s">
        <v>189</v>
      </c>
      <c r="E59" s="59"/>
      <c r="F59" s="59" t="s">
        <v>6591</v>
      </c>
      <c r="G59" s="79" t="s">
        <v>6592</v>
      </c>
      <c r="H59" s="59"/>
      <c r="I59" s="59"/>
      <c r="J59" s="31" t="s">
        <v>7016</v>
      </c>
    </row>
    <row r="60" spans="1:10" s="44" customFormat="1">
      <c r="A60" s="59">
        <v>58</v>
      </c>
      <c r="B60" s="59" t="s">
        <v>6593</v>
      </c>
      <c r="C60" s="59">
        <v>8</v>
      </c>
      <c r="D60" s="59" t="s">
        <v>189</v>
      </c>
      <c r="E60" s="59"/>
      <c r="F60" s="59" t="s">
        <v>6594</v>
      </c>
      <c r="G60" s="79" t="s">
        <v>6595</v>
      </c>
      <c r="H60" s="59"/>
      <c r="I60" s="59"/>
      <c r="J60" s="31" t="s">
        <v>7016</v>
      </c>
    </row>
    <row r="61" spans="1:10" s="44" customFormat="1">
      <c r="A61" s="59">
        <v>59</v>
      </c>
      <c r="B61" s="59" t="s">
        <v>6596</v>
      </c>
      <c r="C61" s="59">
        <v>8</v>
      </c>
      <c r="D61" s="59" t="s">
        <v>189</v>
      </c>
      <c r="E61" s="59"/>
      <c r="F61" s="59" t="s">
        <v>6597</v>
      </c>
      <c r="G61" s="79" t="s">
        <v>6598</v>
      </c>
      <c r="H61" s="59"/>
      <c r="I61" s="59"/>
      <c r="J61" s="31" t="s">
        <v>7016</v>
      </c>
    </row>
    <row r="62" spans="1:10" s="44" customFormat="1">
      <c r="A62" s="59">
        <v>60</v>
      </c>
      <c r="B62" s="59" t="s">
        <v>6599</v>
      </c>
      <c r="C62" s="59">
        <v>8</v>
      </c>
      <c r="D62" s="59" t="s">
        <v>189</v>
      </c>
      <c r="E62" s="59"/>
      <c r="F62" s="59" t="s">
        <v>6600</v>
      </c>
      <c r="G62" s="79" t="s">
        <v>6601</v>
      </c>
      <c r="H62" s="59"/>
      <c r="I62" s="59"/>
      <c r="J62" s="31" t="s">
        <v>7016</v>
      </c>
    </row>
    <row r="63" spans="1:10" s="44" customFormat="1">
      <c r="A63" s="59">
        <v>61</v>
      </c>
      <c r="B63" s="59" t="s">
        <v>6602</v>
      </c>
      <c r="C63" s="59">
        <v>8</v>
      </c>
      <c r="D63" s="59" t="s">
        <v>189</v>
      </c>
      <c r="E63" s="59"/>
      <c r="F63" s="59" t="s">
        <v>6603</v>
      </c>
      <c r="G63" s="79" t="s">
        <v>6604</v>
      </c>
      <c r="H63" s="59"/>
      <c r="I63" s="59"/>
      <c r="J63" s="31" t="s">
        <v>7016</v>
      </c>
    </row>
    <row r="64" spans="1:10" s="44" customFormat="1">
      <c r="A64" s="59">
        <v>62</v>
      </c>
      <c r="B64" s="59" t="s">
        <v>6605</v>
      </c>
      <c r="C64" s="59">
        <v>8</v>
      </c>
      <c r="D64" s="59" t="s">
        <v>189</v>
      </c>
      <c r="E64" s="59"/>
      <c r="F64" s="59" t="s">
        <v>6606</v>
      </c>
      <c r="G64" s="79" t="s">
        <v>6607</v>
      </c>
      <c r="H64" s="59"/>
      <c r="I64" s="59"/>
      <c r="J64" s="31" t="s">
        <v>7016</v>
      </c>
    </row>
    <row r="65" spans="1:10" s="44" customFormat="1">
      <c r="A65" s="59">
        <v>63</v>
      </c>
      <c r="B65" s="59" t="s">
        <v>6608</v>
      </c>
      <c r="C65" s="59">
        <v>8</v>
      </c>
      <c r="D65" s="59" t="s">
        <v>189</v>
      </c>
      <c r="E65" s="59"/>
      <c r="F65" s="59" t="s">
        <v>6609</v>
      </c>
      <c r="G65" s="79" t="s">
        <v>6610</v>
      </c>
      <c r="H65" s="59"/>
      <c r="I65" s="59"/>
      <c r="J65" s="31" t="s">
        <v>7016</v>
      </c>
    </row>
    <row r="66" spans="1:10" s="44" customFormat="1">
      <c r="A66" s="59">
        <v>64</v>
      </c>
      <c r="B66" s="59" t="s">
        <v>6611</v>
      </c>
      <c r="C66" s="59">
        <v>8</v>
      </c>
      <c r="D66" s="59" t="s">
        <v>189</v>
      </c>
      <c r="E66" s="59"/>
      <c r="F66" s="59" t="s">
        <v>6612</v>
      </c>
      <c r="G66" s="79" t="s">
        <v>6613</v>
      </c>
      <c r="H66" s="59"/>
      <c r="I66" s="59"/>
      <c r="J66" s="31" t="s">
        <v>7016</v>
      </c>
    </row>
    <row r="67" spans="1:10" s="44" customFormat="1">
      <c r="A67" s="59">
        <v>65</v>
      </c>
      <c r="B67" s="59" t="s">
        <v>6614</v>
      </c>
      <c r="C67" s="59">
        <v>8</v>
      </c>
      <c r="D67" s="59" t="s">
        <v>189</v>
      </c>
      <c r="E67" s="59"/>
      <c r="F67" s="59" t="s">
        <v>6615</v>
      </c>
      <c r="G67" s="79" t="s">
        <v>6616</v>
      </c>
      <c r="H67" s="59"/>
      <c r="I67" s="59"/>
      <c r="J67" s="31" t="s">
        <v>7016</v>
      </c>
    </row>
    <row r="68" spans="1:10" s="44" customFormat="1">
      <c r="A68" s="59">
        <v>66</v>
      </c>
      <c r="B68" s="59" t="s">
        <v>6617</v>
      </c>
      <c r="C68" s="59">
        <v>8</v>
      </c>
      <c r="D68" s="59" t="s">
        <v>189</v>
      </c>
      <c r="E68" s="59"/>
      <c r="F68" s="59" t="s">
        <v>6618</v>
      </c>
      <c r="G68" s="79" t="s">
        <v>6619</v>
      </c>
      <c r="H68" s="59"/>
      <c r="I68" s="59"/>
      <c r="J68" s="31" t="s">
        <v>7016</v>
      </c>
    </row>
    <row r="69" spans="1:10" s="44" customFormat="1">
      <c r="A69" s="59">
        <v>67</v>
      </c>
      <c r="B69" s="59" t="s">
        <v>6620</v>
      </c>
      <c r="C69" s="59">
        <v>8</v>
      </c>
      <c r="D69" s="59" t="s">
        <v>189</v>
      </c>
      <c r="E69" s="59"/>
      <c r="F69" s="59" t="s">
        <v>6621</v>
      </c>
      <c r="G69" s="79" t="s">
        <v>6622</v>
      </c>
      <c r="H69" s="59"/>
      <c r="I69" s="59"/>
      <c r="J69" s="31" t="s">
        <v>7016</v>
      </c>
    </row>
    <row r="70" spans="1:10" s="44" customFormat="1">
      <c r="A70" s="59">
        <v>68</v>
      </c>
      <c r="B70" s="59" t="s">
        <v>6623</v>
      </c>
      <c r="C70" s="59">
        <v>8</v>
      </c>
      <c r="D70" s="59" t="s">
        <v>189</v>
      </c>
      <c r="E70" s="59"/>
      <c r="F70" s="59" t="s">
        <v>6624</v>
      </c>
      <c r="G70" s="79" t="s">
        <v>6625</v>
      </c>
      <c r="H70" s="59"/>
      <c r="I70" s="59"/>
      <c r="J70" s="31" t="s">
        <v>7016</v>
      </c>
    </row>
    <row r="71" spans="1:10" s="44" customFormat="1">
      <c r="A71" s="59">
        <v>69</v>
      </c>
      <c r="B71" s="59" t="s">
        <v>6626</v>
      </c>
      <c r="C71" s="59">
        <v>8</v>
      </c>
      <c r="D71" s="59" t="s">
        <v>189</v>
      </c>
      <c r="E71" s="59"/>
      <c r="F71" s="59" t="s">
        <v>6627</v>
      </c>
      <c r="G71" s="79" t="s">
        <v>6628</v>
      </c>
      <c r="H71" s="59"/>
      <c r="I71" s="59"/>
      <c r="J71" s="31" t="s">
        <v>7016</v>
      </c>
    </row>
    <row r="72" spans="1:10" s="44" customFormat="1">
      <c r="A72" s="59">
        <v>70</v>
      </c>
      <c r="B72" s="59" t="s">
        <v>6629</v>
      </c>
      <c r="C72" s="59">
        <v>8</v>
      </c>
      <c r="D72" s="59" t="s">
        <v>189</v>
      </c>
      <c r="E72" s="59"/>
      <c r="F72" s="59" t="s">
        <v>6630</v>
      </c>
      <c r="G72" s="79" t="s">
        <v>6631</v>
      </c>
      <c r="H72" s="59"/>
      <c r="I72" s="59"/>
      <c r="J72" s="31" t="s">
        <v>7016</v>
      </c>
    </row>
    <row r="73" spans="1:10" s="44" customFormat="1">
      <c r="A73" s="59">
        <v>71</v>
      </c>
      <c r="B73" s="59" t="s">
        <v>6632</v>
      </c>
      <c r="C73" s="59">
        <v>8</v>
      </c>
      <c r="D73" s="59" t="s">
        <v>189</v>
      </c>
      <c r="E73" s="59"/>
      <c r="F73" s="59" t="s">
        <v>6633</v>
      </c>
      <c r="G73" s="79" t="s">
        <v>6634</v>
      </c>
      <c r="H73" s="59"/>
      <c r="I73" s="59"/>
      <c r="J73" s="31" t="s">
        <v>7016</v>
      </c>
    </row>
    <row r="74" spans="1:10" s="44" customFormat="1">
      <c r="A74" s="59">
        <v>72</v>
      </c>
      <c r="B74" s="59" t="s">
        <v>6635</v>
      </c>
      <c r="C74" s="59">
        <v>8</v>
      </c>
      <c r="D74" s="59" t="s">
        <v>189</v>
      </c>
      <c r="E74" s="59"/>
      <c r="F74" s="59" t="s">
        <v>6636</v>
      </c>
      <c r="G74" s="79" t="s">
        <v>6637</v>
      </c>
      <c r="H74" s="59"/>
      <c r="I74" s="59"/>
      <c r="J74" s="31" t="s">
        <v>7016</v>
      </c>
    </row>
    <row r="75" spans="1:10" s="44" customFormat="1">
      <c r="A75" s="59">
        <v>73</v>
      </c>
      <c r="B75" s="59" t="s">
        <v>6638</v>
      </c>
      <c r="C75" s="59">
        <v>8</v>
      </c>
      <c r="D75" s="59" t="s">
        <v>189</v>
      </c>
      <c r="E75" s="59"/>
      <c r="F75" s="59" t="s">
        <v>6639</v>
      </c>
      <c r="G75" s="79" t="s">
        <v>6640</v>
      </c>
      <c r="H75" s="59"/>
      <c r="I75" s="59"/>
      <c r="J75" s="31" t="s">
        <v>7016</v>
      </c>
    </row>
    <row r="76" spans="1:10" s="44" customFormat="1">
      <c r="A76" s="59">
        <v>74</v>
      </c>
      <c r="B76" s="59" t="s">
        <v>6641</v>
      </c>
      <c r="C76" s="59">
        <v>8</v>
      </c>
      <c r="D76" s="59" t="s">
        <v>189</v>
      </c>
      <c r="E76" s="59"/>
      <c r="F76" s="59" t="s">
        <v>6642</v>
      </c>
      <c r="G76" s="79" t="s">
        <v>6643</v>
      </c>
      <c r="H76" s="59"/>
      <c r="I76" s="59"/>
      <c r="J76" s="31" t="s">
        <v>7016</v>
      </c>
    </row>
    <row r="77" spans="1:10" s="44" customFormat="1">
      <c r="A77" s="59">
        <v>75</v>
      </c>
      <c r="B77" s="59" t="s">
        <v>6644</v>
      </c>
      <c r="C77" s="59">
        <v>8</v>
      </c>
      <c r="D77" s="59" t="s">
        <v>189</v>
      </c>
      <c r="E77" s="59"/>
      <c r="F77" s="59" t="s">
        <v>6645</v>
      </c>
      <c r="G77" s="79" t="s">
        <v>6646</v>
      </c>
      <c r="H77" s="59"/>
      <c r="I77" s="59"/>
      <c r="J77" s="31" t="s">
        <v>7016</v>
      </c>
    </row>
    <row r="78" spans="1:10" s="44" customFormat="1">
      <c r="A78" s="59">
        <v>76</v>
      </c>
      <c r="B78" s="59" t="s">
        <v>6647</v>
      </c>
      <c r="C78" s="59">
        <v>8</v>
      </c>
      <c r="D78" s="59" t="s">
        <v>189</v>
      </c>
      <c r="E78" s="59"/>
      <c r="F78" s="59" t="s">
        <v>6648</v>
      </c>
      <c r="G78" s="79" t="s">
        <v>6649</v>
      </c>
      <c r="H78" s="59"/>
      <c r="I78" s="59"/>
      <c r="J78" s="31" t="s">
        <v>7016</v>
      </c>
    </row>
    <row r="79" spans="1:10" s="44" customFormat="1">
      <c r="A79" s="59">
        <v>77</v>
      </c>
      <c r="B79" s="59" t="s">
        <v>6650</v>
      </c>
      <c r="C79" s="59">
        <v>8</v>
      </c>
      <c r="D79" s="59" t="s">
        <v>189</v>
      </c>
      <c r="E79" s="59"/>
      <c r="F79" s="59" t="s">
        <v>6651</v>
      </c>
      <c r="G79" s="79" t="s">
        <v>6652</v>
      </c>
      <c r="H79" s="59"/>
      <c r="I79" s="59"/>
      <c r="J79" s="31" t="s">
        <v>7016</v>
      </c>
    </row>
    <row r="80" spans="1:10" s="44" customFormat="1">
      <c r="A80" s="59">
        <v>78</v>
      </c>
      <c r="B80" s="59" t="s">
        <v>6653</v>
      </c>
      <c r="C80" s="59">
        <v>8</v>
      </c>
      <c r="D80" s="59" t="s">
        <v>189</v>
      </c>
      <c r="E80" s="59"/>
      <c r="F80" s="59" t="s">
        <v>6654</v>
      </c>
      <c r="G80" s="79" t="s">
        <v>6655</v>
      </c>
      <c r="H80" s="59"/>
      <c r="I80" s="59"/>
      <c r="J80" s="31" t="s">
        <v>7016</v>
      </c>
    </row>
    <row r="81" spans="1:10" s="44" customFormat="1">
      <c r="A81" s="59">
        <v>79</v>
      </c>
      <c r="B81" s="59" t="s">
        <v>6656</v>
      </c>
      <c r="C81" s="59">
        <v>8</v>
      </c>
      <c r="D81" s="59" t="s">
        <v>189</v>
      </c>
      <c r="E81" s="59"/>
      <c r="F81" s="59" t="s">
        <v>6657</v>
      </c>
      <c r="G81" s="79" t="s">
        <v>6658</v>
      </c>
      <c r="H81" s="59"/>
      <c r="I81" s="59"/>
      <c r="J81" s="31" t="s">
        <v>7016</v>
      </c>
    </row>
    <row r="82" spans="1:10" s="44" customFormat="1">
      <c r="A82" s="59">
        <v>80</v>
      </c>
      <c r="B82" s="59" t="s">
        <v>6659</v>
      </c>
      <c r="C82" s="59">
        <v>8</v>
      </c>
      <c r="D82" s="59" t="s">
        <v>189</v>
      </c>
      <c r="E82" s="59"/>
      <c r="F82" s="59" t="s">
        <v>6660</v>
      </c>
      <c r="G82" s="79" t="s">
        <v>6661</v>
      </c>
      <c r="H82" s="59"/>
      <c r="I82" s="59"/>
      <c r="J82" s="31" t="s">
        <v>7016</v>
      </c>
    </row>
    <row r="83" spans="1:10" s="44" customFormat="1">
      <c r="A83" s="59">
        <v>81</v>
      </c>
      <c r="B83" s="59" t="s">
        <v>6662</v>
      </c>
      <c r="C83" s="59">
        <v>8</v>
      </c>
      <c r="D83" s="59" t="s">
        <v>189</v>
      </c>
      <c r="E83" s="59"/>
      <c r="F83" s="59" t="s">
        <v>6663</v>
      </c>
      <c r="G83" s="79" t="s">
        <v>6664</v>
      </c>
      <c r="H83" s="59"/>
      <c r="I83" s="59"/>
      <c r="J83" s="31" t="s">
        <v>7016</v>
      </c>
    </row>
    <row r="84" spans="1:10" s="44" customFormat="1">
      <c r="A84" s="59">
        <v>82</v>
      </c>
      <c r="B84" s="59" t="s">
        <v>6665</v>
      </c>
      <c r="C84" s="59">
        <v>8</v>
      </c>
      <c r="D84" s="59" t="s">
        <v>189</v>
      </c>
      <c r="E84" s="59"/>
      <c r="F84" s="59" t="s">
        <v>6666</v>
      </c>
      <c r="G84" s="79" t="s">
        <v>6667</v>
      </c>
      <c r="H84" s="59"/>
      <c r="I84" s="59"/>
      <c r="J84" s="31" t="s">
        <v>7016</v>
      </c>
    </row>
    <row r="85" spans="1:10" s="44" customFormat="1">
      <c r="A85" s="59">
        <v>83</v>
      </c>
      <c r="B85" s="59" t="s">
        <v>6668</v>
      </c>
      <c r="C85" s="59">
        <v>8</v>
      </c>
      <c r="D85" s="59" t="s">
        <v>189</v>
      </c>
      <c r="E85" s="59"/>
      <c r="F85" s="59" t="s">
        <v>6669</v>
      </c>
      <c r="G85" s="79" t="s">
        <v>6670</v>
      </c>
      <c r="H85" s="59"/>
      <c r="I85" s="59"/>
      <c r="J85" s="31" t="s">
        <v>7016</v>
      </c>
    </row>
    <row r="86" spans="1:10" s="44" customFormat="1">
      <c r="A86" s="59">
        <v>84</v>
      </c>
      <c r="B86" s="59" t="s">
        <v>6671</v>
      </c>
      <c r="C86" s="59">
        <v>8</v>
      </c>
      <c r="D86" s="59" t="s">
        <v>189</v>
      </c>
      <c r="E86" s="59"/>
      <c r="F86" s="59" t="s">
        <v>6672</v>
      </c>
      <c r="G86" s="79" t="s">
        <v>6673</v>
      </c>
      <c r="H86" s="59"/>
      <c r="I86" s="59"/>
      <c r="J86" s="31" t="s">
        <v>7016</v>
      </c>
    </row>
    <row r="87" spans="1:10" s="44" customFormat="1">
      <c r="A87" s="59">
        <v>85</v>
      </c>
      <c r="B87" s="59" t="s">
        <v>6674</v>
      </c>
      <c r="C87" s="59">
        <v>8</v>
      </c>
      <c r="D87" s="59" t="s">
        <v>189</v>
      </c>
      <c r="E87" s="59"/>
      <c r="F87" s="59" t="s">
        <v>6675</v>
      </c>
      <c r="G87" s="79" t="s">
        <v>6676</v>
      </c>
      <c r="H87" s="59"/>
      <c r="I87" s="59"/>
      <c r="J87" s="31" t="s">
        <v>7016</v>
      </c>
    </row>
    <row r="88" spans="1:10" s="44" customFormat="1">
      <c r="A88" s="59">
        <v>86</v>
      </c>
      <c r="B88" s="59" t="s">
        <v>6677</v>
      </c>
      <c r="C88" s="59">
        <v>8</v>
      </c>
      <c r="D88" s="59" t="s">
        <v>189</v>
      </c>
      <c r="E88" s="59"/>
      <c r="F88" s="59" t="s">
        <v>6678</v>
      </c>
      <c r="G88" s="79" t="s">
        <v>6679</v>
      </c>
      <c r="H88" s="59"/>
      <c r="I88" s="59"/>
      <c r="J88" s="31" t="s">
        <v>7016</v>
      </c>
    </row>
    <row r="89" spans="1:10" s="44" customFormat="1">
      <c r="A89" s="59">
        <v>87</v>
      </c>
      <c r="B89" s="59" t="s">
        <v>6680</v>
      </c>
      <c r="C89" s="59">
        <v>8</v>
      </c>
      <c r="D89" s="59" t="s">
        <v>189</v>
      </c>
      <c r="E89" s="59"/>
      <c r="F89" s="59" t="s">
        <v>6681</v>
      </c>
      <c r="G89" s="79" t="s">
        <v>6682</v>
      </c>
      <c r="H89" s="59"/>
      <c r="I89" s="59"/>
      <c r="J89" s="31" t="s">
        <v>7016</v>
      </c>
    </row>
    <row r="90" spans="1:10" s="44" customFormat="1">
      <c r="A90" s="59">
        <v>88</v>
      </c>
      <c r="B90" s="59" t="s">
        <v>6683</v>
      </c>
      <c r="C90" s="59">
        <v>8</v>
      </c>
      <c r="D90" s="59" t="s">
        <v>189</v>
      </c>
      <c r="E90" s="59"/>
      <c r="F90" s="59" t="s">
        <v>6684</v>
      </c>
      <c r="G90" s="79" t="s">
        <v>6685</v>
      </c>
      <c r="H90" s="59"/>
      <c r="I90" s="59"/>
      <c r="J90" s="31" t="s">
        <v>7016</v>
      </c>
    </row>
    <row r="91" spans="1:10" s="44" customFormat="1">
      <c r="A91" s="59">
        <v>89</v>
      </c>
      <c r="B91" s="59" t="s">
        <v>6686</v>
      </c>
      <c r="C91" s="59">
        <v>8</v>
      </c>
      <c r="D91" s="59" t="s">
        <v>189</v>
      </c>
      <c r="E91" s="59"/>
      <c r="F91" s="59" t="s">
        <v>6687</v>
      </c>
      <c r="G91" s="79" t="s">
        <v>6688</v>
      </c>
      <c r="H91" s="59"/>
      <c r="I91" s="59"/>
      <c r="J91" s="31" t="s">
        <v>7016</v>
      </c>
    </row>
    <row r="92" spans="1:10" s="44" customFormat="1">
      <c r="A92" s="59">
        <v>90</v>
      </c>
      <c r="B92" s="59" t="s">
        <v>6689</v>
      </c>
      <c r="C92" s="59">
        <v>8</v>
      </c>
      <c r="D92" s="59" t="s">
        <v>189</v>
      </c>
      <c r="E92" s="59"/>
      <c r="F92" s="59" t="s">
        <v>6690</v>
      </c>
      <c r="G92" s="79" t="s">
        <v>6691</v>
      </c>
      <c r="H92" s="59"/>
      <c r="I92" s="59"/>
      <c r="J92" s="31" t="s">
        <v>7016</v>
      </c>
    </row>
    <row r="93" spans="1:10" s="44" customFormat="1">
      <c r="A93" s="59">
        <v>91</v>
      </c>
      <c r="B93" s="59" t="s">
        <v>6692</v>
      </c>
      <c r="C93" s="59">
        <v>8</v>
      </c>
      <c r="D93" s="59" t="s">
        <v>189</v>
      </c>
      <c r="E93" s="59"/>
      <c r="F93" s="59" t="s">
        <v>6693</v>
      </c>
      <c r="G93" s="79" t="s">
        <v>6694</v>
      </c>
      <c r="H93" s="59"/>
      <c r="I93" s="59"/>
      <c r="J93" s="31" t="s">
        <v>7016</v>
      </c>
    </row>
    <row r="94" spans="1:10" s="44" customFormat="1">
      <c r="A94" s="59">
        <v>92</v>
      </c>
      <c r="B94" s="59" t="s">
        <v>6695</v>
      </c>
      <c r="C94" s="59">
        <v>8</v>
      </c>
      <c r="D94" s="59" t="s">
        <v>189</v>
      </c>
      <c r="E94" s="59"/>
      <c r="F94" s="59" t="s">
        <v>6696</v>
      </c>
      <c r="G94" s="79" t="s">
        <v>6697</v>
      </c>
      <c r="H94" s="59"/>
      <c r="I94" s="59"/>
      <c r="J94" s="31" t="s">
        <v>7016</v>
      </c>
    </row>
    <row r="95" spans="1:10" s="44" customFormat="1">
      <c r="A95" s="59">
        <v>93</v>
      </c>
      <c r="B95" s="59" t="s">
        <v>6698</v>
      </c>
      <c r="C95" s="59">
        <v>8</v>
      </c>
      <c r="D95" s="59" t="s">
        <v>189</v>
      </c>
      <c r="E95" s="59"/>
      <c r="F95" s="59" t="s">
        <v>6699</v>
      </c>
      <c r="G95" s="79" t="s">
        <v>6700</v>
      </c>
      <c r="H95" s="59"/>
      <c r="I95" s="59"/>
      <c r="J95" s="31" t="s">
        <v>7016</v>
      </c>
    </row>
    <row r="96" spans="1:10" s="44" customFormat="1">
      <c r="A96" s="59">
        <v>94</v>
      </c>
      <c r="B96" s="59" t="s">
        <v>6701</v>
      </c>
      <c r="C96" s="59">
        <v>8</v>
      </c>
      <c r="D96" s="59" t="s">
        <v>189</v>
      </c>
      <c r="E96" s="59"/>
      <c r="F96" s="59" t="s">
        <v>6702</v>
      </c>
      <c r="G96" s="79" t="s">
        <v>6703</v>
      </c>
      <c r="H96" s="59"/>
      <c r="I96" s="59"/>
      <c r="J96" s="31" t="s">
        <v>7016</v>
      </c>
    </row>
    <row r="97" spans="1:10" s="44" customFormat="1">
      <c r="A97" s="59">
        <v>95</v>
      </c>
      <c r="B97" s="59" t="s">
        <v>6704</v>
      </c>
      <c r="C97" s="59">
        <v>8</v>
      </c>
      <c r="D97" s="59" t="s">
        <v>189</v>
      </c>
      <c r="E97" s="59"/>
      <c r="F97" s="59" t="s">
        <v>6705</v>
      </c>
      <c r="G97" s="79" t="s">
        <v>6706</v>
      </c>
      <c r="H97" s="59"/>
      <c r="I97" s="59"/>
      <c r="J97" s="31" t="s">
        <v>7016</v>
      </c>
    </row>
    <row r="98" spans="1:10" s="44" customFormat="1">
      <c r="A98" s="59">
        <v>96</v>
      </c>
      <c r="B98" s="59" t="s">
        <v>6707</v>
      </c>
      <c r="C98" s="59">
        <v>8</v>
      </c>
      <c r="D98" s="59" t="s">
        <v>189</v>
      </c>
      <c r="E98" s="59"/>
      <c r="F98" s="59" t="s">
        <v>6708</v>
      </c>
      <c r="G98" s="79" t="s">
        <v>6709</v>
      </c>
      <c r="H98" s="59"/>
      <c r="I98" s="59"/>
      <c r="J98" s="31" t="s">
        <v>7016</v>
      </c>
    </row>
    <row r="99" spans="1:10" s="44" customFormat="1">
      <c r="A99" s="59">
        <v>97</v>
      </c>
      <c r="B99" s="59" t="s">
        <v>6710</v>
      </c>
      <c r="C99" s="59">
        <v>8</v>
      </c>
      <c r="D99" s="59" t="s">
        <v>189</v>
      </c>
      <c r="E99" s="59"/>
      <c r="F99" s="59" t="s">
        <v>6711</v>
      </c>
      <c r="G99" s="79" t="s">
        <v>6712</v>
      </c>
      <c r="H99" s="59"/>
      <c r="I99" s="59"/>
      <c r="J99" s="31" t="s">
        <v>7016</v>
      </c>
    </row>
    <row r="100" spans="1:10" s="44" customFormat="1">
      <c r="A100" s="59">
        <v>98</v>
      </c>
      <c r="B100" s="59" t="s">
        <v>6713</v>
      </c>
      <c r="C100" s="59">
        <v>8</v>
      </c>
      <c r="D100" s="59" t="s">
        <v>189</v>
      </c>
      <c r="E100" s="59"/>
      <c r="F100" s="59" t="s">
        <v>6714</v>
      </c>
      <c r="G100" s="79" t="s">
        <v>6715</v>
      </c>
      <c r="H100" s="59"/>
      <c r="I100" s="59"/>
      <c r="J100" s="31" t="s">
        <v>7016</v>
      </c>
    </row>
    <row r="101" spans="1:10" s="44" customFormat="1">
      <c r="A101" s="59">
        <v>99</v>
      </c>
      <c r="B101" s="59" t="s">
        <v>6716</v>
      </c>
      <c r="C101" s="59">
        <v>8</v>
      </c>
      <c r="D101" s="59" t="s">
        <v>189</v>
      </c>
      <c r="E101" s="59"/>
      <c r="F101" s="59" t="s">
        <v>6717</v>
      </c>
      <c r="G101" s="79" t="s">
        <v>6718</v>
      </c>
      <c r="H101" s="59"/>
      <c r="I101" s="59"/>
      <c r="J101" s="31" t="s">
        <v>7016</v>
      </c>
    </row>
    <row r="102" spans="1:10" s="44" customFormat="1">
      <c r="A102" s="59">
        <v>100</v>
      </c>
      <c r="B102" s="59" t="s">
        <v>6719</v>
      </c>
      <c r="C102" s="59">
        <v>8</v>
      </c>
      <c r="D102" s="59" t="s">
        <v>189</v>
      </c>
      <c r="E102" s="59"/>
      <c r="F102" s="59" t="s">
        <v>6720</v>
      </c>
      <c r="G102" s="79" t="s">
        <v>6721</v>
      </c>
      <c r="H102" s="59"/>
      <c r="I102" s="59"/>
      <c r="J102" s="31" t="s">
        <v>7016</v>
      </c>
    </row>
    <row r="103" spans="1:10" s="44" customFormat="1">
      <c r="A103" s="59">
        <v>101</v>
      </c>
      <c r="B103" s="59" t="s">
        <v>6722</v>
      </c>
      <c r="C103" s="59">
        <v>8</v>
      </c>
      <c r="D103" s="59" t="s">
        <v>189</v>
      </c>
      <c r="E103" s="59"/>
      <c r="F103" s="59" t="s">
        <v>6723</v>
      </c>
      <c r="G103" s="79" t="s">
        <v>6724</v>
      </c>
      <c r="H103" s="59"/>
      <c r="I103" s="59"/>
      <c r="J103" s="31" t="s">
        <v>7016</v>
      </c>
    </row>
    <row r="104" spans="1:10" s="44" customFormat="1">
      <c r="A104" s="42">
        <v>102</v>
      </c>
      <c r="B104" s="42" t="s">
        <v>1182</v>
      </c>
      <c r="C104" s="42">
        <v>12</v>
      </c>
      <c r="D104" s="42" t="s">
        <v>189</v>
      </c>
      <c r="E104" s="42" t="s">
        <v>5576</v>
      </c>
      <c r="F104" s="42" t="s">
        <v>1688</v>
      </c>
      <c r="G104" s="15" t="s">
        <v>6725</v>
      </c>
      <c r="H104" s="42"/>
      <c r="I104" s="42"/>
    </row>
    <row r="105" spans="1:10" s="44" customFormat="1">
      <c r="A105" s="42">
        <v>103</v>
      </c>
      <c r="B105" s="42" t="s">
        <v>1183</v>
      </c>
      <c r="C105" s="42">
        <v>30</v>
      </c>
      <c r="D105" s="42" t="s">
        <v>242</v>
      </c>
      <c r="E105" s="42" t="s">
        <v>5576</v>
      </c>
      <c r="F105" s="42" t="s">
        <v>1690</v>
      </c>
      <c r="G105" s="15" t="s">
        <v>6725</v>
      </c>
      <c r="H105" s="42"/>
      <c r="I105" s="42"/>
    </row>
    <row r="106" spans="1:10" s="44" customFormat="1"/>
    <row r="107" spans="1:10" s="44" customFormat="1"/>
    <row r="108" spans="1:10" s="44" customFormat="1"/>
    <row r="109" spans="1:10" s="44" customFormat="1"/>
    <row r="110" spans="1:10" s="44" customFormat="1"/>
    <row r="111" spans="1:10" s="44" customFormat="1"/>
    <row r="112" spans="1:10" s="44" customFormat="1"/>
    <row r="113" s="44" customFormat="1"/>
    <row r="114" s="44" customFormat="1"/>
    <row r="115" s="44" customFormat="1"/>
    <row r="116" s="44" customFormat="1"/>
    <row r="117" s="44" customFormat="1"/>
    <row r="118" s="44" customFormat="1"/>
    <row r="119" s="44" customFormat="1"/>
    <row r="120" s="44" customFormat="1"/>
    <row r="121" s="44" customFormat="1"/>
    <row r="122" s="44" customFormat="1"/>
    <row r="123" s="44" customFormat="1"/>
    <row r="124" s="44" customFormat="1"/>
    <row r="125" s="44" customFormat="1"/>
    <row r="126" s="44" customFormat="1"/>
    <row r="127" s="44" customFormat="1"/>
    <row r="128" s="44" customFormat="1"/>
    <row r="129" s="44" customFormat="1"/>
    <row r="130" s="44" customFormat="1"/>
    <row r="131" s="44" customFormat="1"/>
    <row r="132" s="44" customFormat="1"/>
    <row r="133" s="44" customFormat="1"/>
    <row r="134" s="44" customFormat="1"/>
    <row r="135" s="44" customFormat="1"/>
    <row r="136" s="44" customFormat="1"/>
    <row r="137" s="44" customFormat="1"/>
    <row r="138" s="44" customFormat="1"/>
    <row r="139" s="44" customFormat="1"/>
    <row r="140" s="44" customFormat="1"/>
    <row r="141" s="44" customFormat="1"/>
    <row r="142" s="44" customFormat="1"/>
    <row r="143" s="44" customFormat="1"/>
    <row r="144" s="44" customFormat="1"/>
    <row r="145" s="44" customFormat="1"/>
    <row r="146" s="44" customFormat="1"/>
    <row r="147" s="44" customFormat="1"/>
    <row r="148" s="44" customFormat="1"/>
    <row r="149" s="44" customFormat="1"/>
    <row r="150" s="44" customFormat="1"/>
    <row r="151" s="44" customFormat="1"/>
    <row r="152" s="44" customFormat="1"/>
    <row r="153" s="44" customFormat="1"/>
    <row r="154" s="44" customFormat="1"/>
    <row r="155" s="44" customFormat="1"/>
    <row r="156" s="44" customFormat="1"/>
    <row r="157" s="44" customFormat="1"/>
    <row r="158" s="44" customFormat="1"/>
    <row r="159" s="44" customFormat="1"/>
    <row r="160" s="44" customFormat="1"/>
    <row r="161" s="44" customFormat="1"/>
    <row r="162" s="44" customFormat="1"/>
    <row r="163" s="44" customFormat="1"/>
    <row r="164" s="44" customFormat="1"/>
    <row r="165" s="44" customFormat="1"/>
    <row r="166" s="44" customFormat="1"/>
    <row r="167" s="44" customFormat="1"/>
    <row r="168" s="44" customFormat="1"/>
    <row r="169" s="44" customFormat="1"/>
    <row r="170" s="44" customFormat="1"/>
    <row r="171" s="44" customFormat="1"/>
    <row r="172" s="44" customFormat="1"/>
    <row r="173" s="44" customFormat="1"/>
    <row r="174" s="44" customFormat="1"/>
    <row r="175" s="44" customFormat="1"/>
    <row r="176" s="44" customFormat="1"/>
    <row r="177" s="44" customFormat="1"/>
    <row r="178" s="44" customFormat="1"/>
    <row r="179" s="44" customFormat="1"/>
    <row r="180" s="44" customFormat="1"/>
    <row r="181" s="44" customFormat="1"/>
    <row r="182" s="44" customFormat="1"/>
    <row r="183" s="44" customFormat="1"/>
    <row r="184" s="44" customFormat="1"/>
    <row r="185" s="44" customFormat="1"/>
    <row r="186" s="44" customFormat="1"/>
    <row r="187" s="44" customFormat="1"/>
    <row r="188" s="44" customFormat="1"/>
    <row r="189" s="44" customFormat="1"/>
    <row r="190" s="44" customFormat="1"/>
    <row r="191" s="44" customFormat="1"/>
    <row r="192" s="44" customFormat="1"/>
    <row r="193" s="44" customFormat="1"/>
    <row r="194" s="44" customFormat="1"/>
    <row r="195" s="44" customFormat="1"/>
    <row r="196" s="44" customFormat="1"/>
    <row r="197" s="44" customFormat="1"/>
    <row r="198" s="44" customFormat="1"/>
    <row r="199" s="44" customFormat="1"/>
    <row r="200" s="44" customFormat="1"/>
    <row r="201" s="44" customFormat="1"/>
    <row r="202" s="44" customFormat="1"/>
    <row r="203" s="44" customFormat="1"/>
    <row r="204" s="44" customFormat="1"/>
    <row r="205" s="44" customFormat="1"/>
    <row r="206" s="44" customFormat="1"/>
    <row r="207" s="44" customFormat="1"/>
    <row r="208" s="44" customFormat="1"/>
    <row r="209" s="44" customFormat="1"/>
    <row r="210" s="44" customFormat="1"/>
    <row r="211" s="44" customFormat="1"/>
    <row r="212" s="44" customFormat="1"/>
    <row r="213" s="44" customFormat="1"/>
    <row r="214" s="44" customFormat="1"/>
    <row r="215" s="44" customFormat="1"/>
    <row r="216" s="44" customFormat="1"/>
    <row r="217" s="44" customFormat="1"/>
    <row r="218" s="44" customFormat="1"/>
    <row r="219" s="44" customFormat="1"/>
    <row r="220" s="44" customFormat="1"/>
    <row r="221" s="44" customFormat="1"/>
    <row r="222" s="44" customFormat="1"/>
    <row r="223" s="44" customFormat="1"/>
    <row r="224" s="44" customFormat="1"/>
    <row r="225" s="44" customFormat="1"/>
    <row r="226" s="44" customFormat="1"/>
    <row r="227" s="44" customFormat="1"/>
    <row r="228" s="44" customFormat="1"/>
    <row r="229" s="44" customFormat="1"/>
    <row r="230" s="44" customFormat="1"/>
    <row r="231" s="44" customFormat="1"/>
    <row r="232" s="44" customFormat="1"/>
    <row r="233" s="44" customFormat="1"/>
    <row r="234" s="44" customFormat="1"/>
    <row r="235" s="44" customFormat="1"/>
    <row r="236" s="44" customFormat="1"/>
    <row r="237" s="44" customFormat="1"/>
    <row r="238" s="44" customFormat="1"/>
    <row r="239" s="44" customFormat="1"/>
    <row r="240" s="44" customFormat="1"/>
    <row r="241" s="44" customFormat="1"/>
    <row r="242" s="44" customFormat="1"/>
    <row r="243" s="44" customFormat="1"/>
    <row r="244" s="44" customFormat="1"/>
    <row r="245" s="44" customFormat="1"/>
    <row r="246" s="44" customFormat="1"/>
    <row r="247" s="44" customFormat="1"/>
  </sheetData>
  <mergeCells count="1">
    <mergeCell ref="H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9652-C5F3-46E8-84E2-73CC33C42401}">
  <sheetPr codeName="Sheet5"/>
  <dimension ref="A1:XFC252"/>
  <sheetViews>
    <sheetView topLeftCell="A34" workbookViewId="0">
      <selection activeCell="C22" sqref="C22"/>
    </sheetView>
  </sheetViews>
  <sheetFormatPr defaultColWidth="32.140625" defaultRowHeight="15"/>
  <cols>
    <col min="1" max="1" width="7.140625" style="1" bestFit="1" customWidth="1"/>
    <col min="2" max="2" width="27.85546875" style="1" bestFit="1" customWidth="1"/>
    <col min="3" max="3" width="4.5703125" style="1" bestFit="1" customWidth="1"/>
    <col min="4" max="4" width="9" style="1" bestFit="1" customWidth="1"/>
    <col min="5" max="5" width="24.42578125" style="1" bestFit="1" customWidth="1"/>
    <col min="6" max="6" width="43.85546875" style="1" bestFit="1" customWidth="1"/>
    <col min="7" max="7" width="57.28515625" style="1" bestFit="1" customWidth="1"/>
    <col min="8" max="10" width="5.140625" style="2" bestFit="1" customWidth="1"/>
    <col min="11" max="11" width="7.42578125" style="2" customWidth="1"/>
    <col min="12" max="16382" width="32.140625" style="2"/>
    <col min="16383" max="16383" width="1.7109375" style="2" customWidth="1"/>
    <col min="16384" max="16384" width="17.7109375" style="1" customWidth="1"/>
  </cols>
  <sheetData>
    <row r="1" spans="1:11" s="1" customFormat="1">
      <c r="A1" s="3" t="s">
        <v>238</v>
      </c>
      <c r="B1" s="3"/>
      <c r="C1" s="3"/>
      <c r="D1" s="3"/>
      <c r="E1" s="3"/>
      <c r="F1" s="3"/>
      <c r="G1" s="3"/>
      <c r="H1" s="3"/>
      <c r="I1" s="3"/>
      <c r="J1" s="3"/>
      <c r="K1" s="3"/>
    </row>
    <row r="2" spans="1:11" s="1" customFormat="1">
      <c r="A2" s="10" t="s">
        <v>350</v>
      </c>
      <c r="B2" s="10" t="s">
        <v>156</v>
      </c>
      <c r="C2" s="10" t="s">
        <v>157</v>
      </c>
      <c r="D2" s="10" t="s">
        <v>239</v>
      </c>
      <c r="E2" s="10" t="s">
        <v>159</v>
      </c>
      <c r="F2" s="10" t="s">
        <v>1684</v>
      </c>
      <c r="G2" s="10" t="s">
        <v>1685</v>
      </c>
      <c r="H2" s="10" t="s">
        <v>5371</v>
      </c>
      <c r="I2" s="10" t="s">
        <v>5372</v>
      </c>
      <c r="J2" s="10" t="s">
        <v>5373</v>
      </c>
      <c r="K2" s="10" t="s">
        <v>5389</v>
      </c>
    </row>
    <row r="3" spans="1:11" s="1" customFormat="1">
      <c r="A3" s="11">
        <v>1</v>
      </c>
      <c r="B3" s="11" t="s">
        <v>240</v>
      </c>
      <c r="C3" s="11">
        <v>8</v>
      </c>
      <c r="D3" s="11" t="s">
        <v>160</v>
      </c>
      <c r="E3" s="11" t="s">
        <v>177</v>
      </c>
      <c r="F3" s="11" t="s">
        <v>1686</v>
      </c>
      <c r="G3" s="11" t="s">
        <v>1687</v>
      </c>
      <c r="H3" s="11" t="s">
        <v>5382</v>
      </c>
      <c r="I3" s="11" t="s">
        <v>5386</v>
      </c>
      <c r="J3" s="11" t="s">
        <v>5388</v>
      </c>
      <c r="K3" s="11" t="s">
        <v>5397</v>
      </c>
    </row>
    <row r="4" spans="1:11" s="1" customFormat="1" ht="105">
      <c r="A4" s="11">
        <v>2</v>
      </c>
      <c r="B4" s="11" t="s">
        <v>241</v>
      </c>
      <c r="C4" s="11">
        <v>14</v>
      </c>
      <c r="D4" s="11" t="s">
        <v>242</v>
      </c>
      <c r="E4" s="11"/>
      <c r="F4" s="11" t="s">
        <v>2389</v>
      </c>
      <c r="G4" s="11" t="s">
        <v>5381</v>
      </c>
      <c r="H4" s="11" t="s">
        <v>5384</v>
      </c>
      <c r="I4" s="11" t="s">
        <v>1291</v>
      </c>
      <c r="J4" s="11" t="s">
        <v>5383</v>
      </c>
      <c r="K4" s="11"/>
    </row>
    <row r="5" spans="1:11" s="1" customFormat="1">
      <c r="A5" s="81">
        <v>3</v>
      </c>
      <c r="B5" s="81" t="s">
        <v>151</v>
      </c>
      <c r="C5" s="81">
        <v>7</v>
      </c>
      <c r="D5" s="81" t="s">
        <v>242</v>
      </c>
      <c r="E5" s="81"/>
      <c r="F5" s="81" t="s">
        <v>5527</v>
      </c>
      <c r="G5" s="81" t="s">
        <v>5528</v>
      </c>
      <c r="H5" s="81"/>
      <c r="I5" s="81" t="s">
        <v>5387</v>
      </c>
      <c r="J5" s="81"/>
      <c r="K5" s="81"/>
    </row>
    <row r="6" spans="1:11" s="1" customFormat="1">
      <c r="A6" s="81">
        <v>4</v>
      </c>
      <c r="B6" s="81" t="s">
        <v>623</v>
      </c>
      <c r="C6" s="81">
        <v>3</v>
      </c>
      <c r="D6" s="81" t="s">
        <v>242</v>
      </c>
      <c r="E6" s="81"/>
      <c r="F6" s="81" t="s">
        <v>5529</v>
      </c>
      <c r="G6" s="81" t="s">
        <v>5528</v>
      </c>
      <c r="H6" s="81"/>
      <c r="I6" s="81"/>
      <c r="J6" s="81"/>
      <c r="K6" s="81" t="s">
        <v>5390</v>
      </c>
    </row>
    <row r="7" spans="1:11" s="1" customFormat="1" ht="180">
      <c r="A7" s="11">
        <v>5</v>
      </c>
      <c r="B7" s="11" t="s">
        <v>243</v>
      </c>
      <c r="C7" s="11">
        <v>2</v>
      </c>
      <c r="D7" s="11" t="s">
        <v>242</v>
      </c>
      <c r="E7" s="11"/>
      <c r="F7" s="11" t="s">
        <v>3693</v>
      </c>
      <c r="G7" s="11" t="s">
        <v>3694</v>
      </c>
      <c r="H7" s="11" t="s">
        <v>1291</v>
      </c>
      <c r="I7" s="11"/>
      <c r="J7" s="11"/>
      <c r="K7" s="11"/>
    </row>
    <row r="8" spans="1:11" s="1" customFormat="1" ht="30">
      <c r="A8" s="11">
        <v>6</v>
      </c>
      <c r="B8" s="11" t="s">
        <v>244</v>
      </c>
      <c r="C8" s="11">
        <v>30</v>
      </c>
      <c r="D8" s="11" t="s">
        <v>242</v>
      </c>
      <c r="E8" s="11"/>
      <c r="F8" s="11" t="s">
        <v>3695</v>
      </c>
      <c r="G8" s="11" t="s">
        <v>3696</v>
      </c>
      <c r="H8" s="11"/>
      <c r="I8" s="11"/>
      <c r="J8" s="11"/>
      <c r="K8" s="11"/>
    </row>
    <row r="9" spans="1:11" s="1" customFormat="1" ht="60">
      <c r="A9" s="11">
        <v>7</v>
      </c>
      <c r="B9" s="11" t="s">
        <v>245</v>
      </c>
      <c r="C9" s="11">
        <v>8</v>
      </c>
      <c r="D9" s="11" t="s">
        <v>160</v>
      </c>
      <c r="E9" s="11" t="s">
        <v>177</v>
      </c>
      <c r="F9" s="11" t="s">
        <v>3697</v>
      </c>
      <c r="G9" s="11" t="s">
        <v>4806</v>
      </c>
      <c r="H9" s="11"/>
      <c r="I9" s="11"/>
      <c r="J9" s="11"/>
      <c r="K9" s="11"/>
    </row>
    <row r="10" spans="1:11" s="1" customFormat="1" ht="90">
      <c r="A10" s="11">
        <v>8</v>
      </c>
      <c r="B10" s="11" t="s">
        <v>246</v>
      </c>
      <c r="C10" s="11">
        <v>16</v>
      </c>
      <c r="D10" s="11" t="s">
        <v>189</v>
      </c>
      <c r="E10" s="11" t="s">
        <v>1266</v>
      </c>
      <c r="F10" s="11" t="s">
        <v>3698</v>
      </c>
      <c r="G10" s="11" t="s">
        <v>3699</v>
      </c>
      <c r="H10" s="11"/>
      <c r="I10" s="11"/>
      <c r="J10" s="11"/>
      <c r="K10" s="11"/>
    </row>
    <row r="11" spans="1:11" s="1" customFormat="1" ht="60">
      <c r="A11" s="11">
        <v>9</v>
      </c>
      <c r="B11" s="11" t="s">
        <v>247</v>
      </c>
      <c r="C11" s="11">
        <v>16</v>
      </c>
      <c r="D11" s="11" t="s">
        <v>189</v>
      </c>
      <c r="E11" s="11" t="s">
        <v>1266</v>
      </c>
      <c r="F11" s="11" t="s">
        <v>3700</v>
      </c>
      <c r="G11" s="11" t="s">
        <v>3701</v>
      </c>
      <c r="H11" s="11"/>
      <c r="I11" s="11"/>
      <c r="J11" s="11"/>
      <c r="K11" s="11"/>
    </row>
    <row r="12" spans="1:11" s="1" customFormat="1" ht="105">
      <c r="A12" s="11">
        <v>10</v>
      </c>
      <c r="B12" s="11" t="s">
        <v>248</v>
      </c>
      <c r="C12" s="11">
        <v>16</v>
      </c>
      <c r="D12" s="11" t="s">
        <v>189</v>
      </c>
      <c r="E12" s="11" t="s">
        <v>1266</v>
      </c>
      <c r="F12" s="11" t="s">
        <v>3702</v>
      </c>
      <c r="G12" s="11" t="s">
        <v>3703</v>
      </c>
      <c r="H12" s="11"/>
      <c r="I12" s="11"/>
      <c r="J12" s="11"/>
      <c r="K12" s="11"/>
    </row>
    <row r="13" spans="1:11" s="1" customFormat="1" ht="120">
      <c r="A13" s="11">
        <v>11</v>
      </c>
      <c r="B13" s="11" t="s">
        <v>249</v>
      </c>
      <c r="C13" s="11">
        <v>16</v>
      </c>
      <c r="D13" s="11" t="s">
        <v>189</v>
      </c>
      <c r="E13" s="11" t="s">
        <v>1266</v>
      </c>
      <c r="F13" s="11" t="s">
        <v>3704</v>
      </c>
      <c r="G13" s="11" t="s">
        <v>3705</v>
      </c>
      <c r="H13" s="11"/>
      <c r="I13" s="11"/>
      <c r="J13" s="11"/>
      <c r="K13" s="11"/>
    </row>
    <row r="14" spans="1:11" s="1" customFormat="1" ht="60">
      <c r="A14" s="11">
        <v>12</v>
      </c>
      <c r="B14" s="11" t="s">
        <v>250</v>
      </c>
      <c r="C14" s="11">
        <v>8</v>
      </c>
      <c r="D14" s="11" t="s">
        <v>160</v>
      </c>
      <c r="E14" s="11" t="s">
        <v>177</v>
      </c>
      <c r="F14" s="11" t="s">
        <v>3706</v>
      </c>
      <c r="G14" s="11" t="s">
        <v>3707</v>
      </c>
      <c r="H14" s="11"/>
      <c r="I14" s="11"/>
      <c r="J14" s="11"/>
      <c r="K14" s="11"/>
    </row>
    <row r="15" spans="1:11" s="1" customFormat="1" ht="30">
      <c r="A15" s="11">
        <v>13</v>
      </c>
      <c r="B15" s="11" t="s">
        <v>251</v>
      </c>
      <c r="C15" s="11">
        <v>5</v>
      </c>
      <c r="D15" s="11" t="s">
        <v>189</v>
      </c>
      <c r="E15" s="11"/>
      <c r="F15" s="11" t="s">
        <v>3708</v>
      </c>
      <c r="G15" s="11" t="s">
        <v>3709</v>
      </c>
      <c r="H15" s="11"/>
      <c r="I15" s="11"/>
      <c r="J15" s="11"/>
      <c r="K15" s="11"/>
    </row>
    <row r="16" spans="1:11" s="1" customFormat="1" ht="180">
      <c r="A16" s="11">
        <v>14</v>
      </c>
      <c r="B16" s="11" t="s">
        <v>252</v>
      </c>
      <c r="C16" s="11">
        <v>9</v>
      </c>
      <c r="D16" s="11" t="s">
        <v>189</v>
      </c>
      <c r="E16" s="11" t="s">
        <v>1269</v>
      </c>
      <c r="F16" s="11" t="s">
        <v>3710</v>
      </c>
      <c r="G16" s="11" t="s">
        <v>4807</v>
      </c>
      <c r="H16" s="11"/>
      <c r="I16" s="11"/>
      <c r="J16" s="11"/>
      <c r="K16" s="11"/>
    </row>
    <row r="17" spans="1:11" s="1" customFormat="1" ht="165">
      <c r="A17" s="11">
        <v>15</v>
      </c>
      <c r="B17" s="11" t="s">
        <v>253</v>
      </c>
      <c r="C17" s="11">
        <v>9</v>
      </c>
      <c r="D17" s="11" t="s">
        <v>189</v>
      </c>
      <c r="E17" s="11" t="s">
        <v>1269</v>
      </c>
      <c r="F17" s="11" t="s">
        <v>3712</v>
      </c>
      <c r="G17" s="11" t="s">
        <v>4808</v>
      </c>
      <c r="H17" s="11"/>
      <c r="I17" s="11"/>
      <c r="J17" s="11"/>
      <c r="K17" s="11"/>
    </row>
    <row r="18" spans="1:11" s="1" customFormat="1" ht="165">
      <c r="A18" s="11">
        <v>16</v>
      </c>
      <c r="B18" s="11" t="s">
        <v>254</v>
      </c>
      <c r="C18" s="11">
        <v>16</v>
      </c>
      <c r="D18" s="11" t="s">
        <v>189</v>
      </c>
      <c r="E18" s="11" t="s">
        <v>1266</v>
      </c>
      <c r="F18" s="11" t="s">
        <v>2529</v>
      </c>
      <c r="G18" s="11" t="s">
        <v>3714</v>
      </c>
      <c r="H18" s="11"/>
      <c r="I18" s="11"/>
      <c r="J18" s="11"/>
      <c r="K18" s="11"/>
    </row>
    <row r="19" spans="1:11" s="1" customFormat="1" ht="105">
      <c r="A19" s="11">
        <v>17</v>
      </c>
      <c r="B19" s="11" t="s">
        <v>255</v>
      </c>
      <c r="C19" s="11">
        <v>8</v>
      </c>
      <c r="D19" s="11" t="s">
        <v>160</v>
      </c>
      <c r="E19" s="11" t="s">
        <v>177</v>
      </c>
      <c r="F19" s="11" t="s">
        <v>3715</v>
      </c>
      <c r="G19" s="11" t="s">
        <v>4809</v>
      </c>
      <c r="H19" s="11"/>
      <c r="I19" s="11"/>
      <c r="J19" s="11"/>
      <c r="K19" s="11"/>
    </row>
    <row r="20" spans="1:11" s="1" customFormat="1" ht="60">
      <c r="A20" s="11">
        <v>18</v>
      </c>
      <c r="B20" s="11" t="s">
        <v>256</v>
      </c>
      <c r="C20" s="11">
        <v>16</v>
      </c>
      <c r="D20" s="11" t="s">
        <v>189</v>
      </c>
      <c r="E20" s="11" t="s">
        <v>1266</v>
      </c>
      <c r="F20" s="11" t="s">
        <v>3716</v>
      </c>
      <c r="G20" s="11" t="s">
        <v>3717</v>
      </c>
      <c r="H20" s="11"/>
      <c r="I20" s="11"/>
      <c r="J20" s="11"/>
      <c r="K20" s="11"/>
    </row>
    <row r="21" spans="1:11" s="1" customFormat="1" ht="45">
      <c r="A21" s="11">
        <v>19</v>
      </c>
      <c r="B21" s="11" t="s">
        <v>257</v>
      </c>
      <c r="C21" s="11">
        <v>8</v>
      </c>
      <c r="D21" s="11" t="s">
        <v>160</v>
      </c>
      <c r="E21" s="11" t="s">
        <v>177</v>
      </c>
      <c r="F21" s="11" t="s">
        <v>3718</v>
      </c>
      <c r="G21" s="11" t="s">
        <v>3719</v>
      </c>
      <c r="H21" s="11"/>
      <c r="I21" s="11"/>
      <c r="J21" s="11"/>
      <c r="K21" s="11"/>
    </row>
    <row r="22" spans="1:11" s="1" customFormat="1" ht="120">
      <c r="A22" s="11">
        <v>20</v>
      </c>
      <c r="B22" s="11" t="s">
        <v>258</v>
      </c>
      <c r="C22" s="11">
        <v>16</v>
      </c>
      <c r="D22" s="11" t="s">
        <v>189</v>
      </c>
      <c r="E22" s="11" t="s">
        <v>1266</v>
      </c>
      <c r="F22" s="11" t="s">
        <v>3720</v>
      </c>
      <c r="G22" s="11" t="s">
        <v>3721</v>
      </c>
      <c r="H22" s="11"/>
      <c r="I22" s="11"/>
      <c r="J22" s="11"/>
      <c r="K22" s="11"/>
    </row>
    <row r="23" spans="1:11" s="1" customFormat="1" ht="90">
      <c r="A23" s="11">
        <v>21</v>
      </c>
      <c r="B23" s="11" t="s">
        <v>259</v>
      </c>
      <c r="C23" s="11">
        <v>16</v>
      </c>
      <c r="D23" s="11" t="s">
        <v>189</v>
      </c>
      <c r="E23" s="11" t="s">
        <v>1266</v>
      </c>
      <c r="F23" s="11" t="s">
        <v>3722</v>
      </c>
      <c r="G23" s="11" t="s">
        <v>3723</v>
      </c>
      <c r="H23" s="11"/>
      <c r="I23" s="11"/>
      <c r="J23" s="11"/>
      <c r="K23" s="11"/>
    </row>
    <row r="24" spans="1:11" s="1" customFormat="1" ht="105">
      <c r="A24" s="11">
        <v>22</v>
      </c>
      <c r="B24" s="11" t="s">
        <v>260</v>
      </c>
      <c r="C24" s="11">
        <v>16</v>
      </c>
      <c r="D24" s="11" t="s">
        <v>189</v>
      </c>
      <c r="E24" s="11" t="s">
        <v>1266</v>
      </c>
      <c r="F24" s="11" t="s">
        <v>3724</v>
      </c>
      <c r="G24" s="11" t="s">
        <v>3725</v>
      </c>
      <c r="H24" s="11"/>
      <c r="I24" s="11"/>
      <c r="J24" s="11"/>
      <c r="K24" s="11"/>
    </row>
    <row r="25" spans="1:11" s="1" customFormat="1" ht="90">
      <c r="A25" s="11">
        <v>23</v>
      </c>
      <c r="B25" s="11" t="s">
        <v>261</v>
      </c>
      <c r="C25" s="11">
        <v>2</v>
      </c>
      <c r="D25" s="11" t="s">
        <v>242</v>
      </c>
      <c r="E25" s="11"/>
      <c r="F25" s="11" t="s">
        <v>3726</v>
      </c>
      <c r="G25" s="11" t="s">
        <v>3727</v>
      </c>
      <c r="H25" s="11"/>
      <c r="I25" s="11"/>
      <c r="J25" s="11"/>
      <c r="K25" s="11"/>
    </row>
    <row r="26" spans="1:11" s="1" customFormat="1" ht="105">
      <c r="A26" s="11">
        <v>24</v>
      </c>
      <c r="B26" s="11" t="s">
        <v>262</v>
      </c>
      <c r="C26" s="11">
        <v>9</v>
      </c>
      <c r="D26" s="11" t="s">
        <v>189</v>
      </c>
      <c r="E26" s="11" t="s">
        <v>1269</v>
      </c>
      <c r="F26" s="11" t="s">
        <v>3728</v>
      </c>
      <c r="G26" s="11" t="s">
        <v>3729</v>
      </c>
      <c r="H26" s="11"/>
      <c r="I26" s="11"/>
      <c r="J26" s="11"/>
      <c r="K26" s="11"/>
    </row>
    <row r="27" spans="1:11" s="1" customFormat="1" ht="90">
      <c r="A27" s="11">
        <v>25</v>
      </c>
      <c r="B27" s="11" t="s">
        <v>263</v>
      </c>
      <c r="C27" s="11">
        <v>2</v>
      </c>
      <c r="D27" s="11" t="s">
        <v>242</v>
      </c>
      <c r="E27" s="11"/>
      <c r="F27" s="11" t="s">
        <v>3730</v>
      </c>
      <c r="G27" s="11" t="s">
        <v>3731</v>
      </c>
      <c r="H27" s="11"/>
      <c r="I27" s="11"/>
      <c r="J27" s="11"/>
      <c r="K27" s="11"/>
    </row>
    <row r="28" spans="1:11" s="1" customFormat="1" ht="120">
      <c r="A28" s="11">
        <v>26</v>
      </c>
      <c r="B28" s="11" t="s">
        <v>264</v>
      </c>
      <c r="C28" s="11">
        <v>9</v>
      </c>
      <c r="D28" s="11" t="s">
        <v>189</v>
      </c>
      <c r="E28" s="11" t="s">
        <v>1269</v>
      </c>
      <c r="F28" s="11" t="s">
        <v>3732</v>
      </c>
      <c r="G28" s="11" t="s">
        <v>3733</v>
      </c>
      <c r="H28" s="11"/>
      <c r="I28" s="11"/>
      <c r="J28" s="11"/>
      <c r="K28" s="11"/>
    </row>
    <row r="29" spans="1:11" s="1" customFormat="1" ht="195">
      <c r="A29" s="11">
        <v>27</v>
      </c>
      <c r="B29" s="11" t="s">
        <v>265</v>
      </c>
      <c r="C29" s="11">
        <v>1</v>
      </c>
      <c r="D29" s="11" t="s">
        <v>242</v>
      </c>
      <c r="E29" s="11"/>
      <c r="F29" s="11" t="s">
        <v>3734</v>
      </c>
      <c r="G29" s="11" t="s">
        <v>3735</v>
      </c>
      <c r="H29" s="11"/>
      <c r="I29" s="11"/>
      <c r="J29" s="11"/>
      <c r="K29" s="11"/>
    </row>
    <row r="30" spans="1:11" s="1" customFormat="1" ht="45">
      <c r="A30" s="11">
        <v>28</v>
      </c>
      <c r="B30" s="11" t="s">
        <v>266</v>
      </c>
      <c r="C30" s="11">
        <v>8</v>
      </c>
      <c r="D30" s="11" t="s">
        <v>160</v>
      </c>
      <c r="E30" s="11" t="s">
        <v>177</v>
      </c>
      <c r="F30" s="11" t="s">
        <v>3736</v>
      </c>
      <c r="G30" s="11" t="s">
        <v>3737</v>
      </c>
      <c r="H30" s="11"/>
      <c r="I30" s="11"/>
      <c r="J30" s="11"/>
      <c r="K30" s="11"/>
    </row>
    <row r="31" spans="1:11" s="1" customFormat="1" ht="225">
      <c r="A31" s="11">
        <v>29</v>
      </c>
      <c r="B31" s="11" t="s">
        <v>267</v>
      </c>
      <c r="C31" s="11">
        <v>1</v>
      </c>
      <c r="D31" s="11" t="s">
        <v>242</v>
      </c>
      <c r="E31" s="11"/>
      <c r="F31" s="11" t="s">
        <v>3738</v>
      </c>
      <c r="G31" s="11" t="s">
        <v>5400</v>
      </c>
      <c r="H31" s="11"/>
      <c r="I31" s="11"/>
      <c r="J31" s="11"/>
      <c r="K31" s="11"/>
    </row>
    <row r="32" spans="1:11" s="1" customFormat="1" ht="105">
      <c r="A32" s="11">
        <v>30</v>
      </c>
      <c r="B32" s="11" t="s">
        <v>268</v>
      </c>
      <c r="C32" s="11">
        <v>14</v>
      </c>
      <c r="D32" s="11" t="s">
        <v>242</v>
      </c>
      <c r="E32" s="11"/>
      <c r="F32" s="11" t="s">
        <v>3739</v>
      </c>
      <c r="G32" s="11" t="s">
        <v>3740</v>
      </c>
      <c r="H32" s="11"/>
      <c r="I32" s="11"/>
      <c r="J32" s="11"/>
      <c r="K32" s="11"/>
    </row>
    <row r="33" spans="1:12" s="1" customFormat="1" ht="285">
      <c r="A33" s="11">
        <v>31</v>
      </c>
      <c r="B33" s="11" t="s">
        <v>269</v>
      </c>
      <c r="C33" s="11">
        <v>3</v>
      </c>
      <c r="D33" s="11" t="s">
        <v>242</v>
      </c>
      <c r="E33" s="11"/>
      <c r="F33" s="11" t="s">
        <v>3741</v>
      </c>
      <c r="G33" s="11" t="s">
        <v>3742</v>
      </c>
      <c r="H33" s="11"/>
      <c r="I33" s="11"/>
      <c r="J33" s="11"/>
      <c r="K33" s="11"/>
    </row>
    <row r="34" spans="1:12" s="1" customFormat="1" ht="30">
      <c r="A34" s="11">
        <v>32</v>
      </c>
      <c r="B34" s="11" t="s">
        <v>270</v>
      </c>
      <c r="C34" s="11">
        <v>1</v>
      </c>
      <c r="D34" s="11" t="s">
        <v>242</v>
      </c>
      <c r="E34" s="11"/>
      <c r="F34" s="11" t="s">
        <v>3743</v>
      </c>
      <c r="G34" s="11" t="s">
        <v>3744</v>
      </c>
      <c r="H34" s="11"/>
      <c r="I34" s="11"/>
      <c r="J34" s="11"/>
      <c r="K34" s="11"/>
    </row>
    <row r="35" spans="1:12" s="1" customFormat="1" ht="30">
      <c r="A35" s="11">
        <v>33</v>
      </c>
      <c r="B35" s="11" t="s">
        <v>271</v>
      </c>
      <c r="C35" s="11">
        <v>8</v>
      </c>
      <c r="D35" s="11" t="s">
        <v>160</v>
      </c>
      <c r="E35" s="11" t="s">
        <v>177</v>
      </c>
      <c r="F35" s="11" t="s">
        <v>3745</v>
      </c>
      <c r="G35" s="11" t="s">
        <v>3746</v>
      </c>
      <c r="H35" s="11"/>
      <c r="I35" s="11"/>
      <c r="J35" s="11"/>
      <c r="K35" s="11"/>
    </row>
    <row r="36" spans="1:12" s="1" customFormat="1" ht="60">
      <c r="A36" s="11">
        <v>34</v>
      </c>
      <c r="B36" s="11" t="s">
        <v>272</v>
      </c>
      <c r="C36" s="11">
        <v>16</v>
      </c>
      <c r="D36" s="11" t="s">
        <v>189</v>
      </c>
      <c r="E36" s="11" t="s">
        <v>1266</v>
      </c>
      <c r="F36" s="11" t="s">
        <v>3747</v>
      </c>
      <c r="G36" s="11" t="s">
        <v>3748</v>
      </c>
      <c r="H36" s="11"/>
      <c r="I36" s="11"/>
      <c r="J36" s="11"/>
      <c r="K36" s="11"/>
    </row>
    <row r="37" spans="1:12" s="1" customFormat="1" ht="60">
      <c r="A37" s="11">
        <v>35</v>
      </c>
      <c r="B37" s="11" t="s">
        <v>273</v>
      </c>
      <c r="C37" s="11">
        <v>12</v>
      </c>
      <c r="D37" s="11" t="s">
        <v>189</v>
      </c>
      <c r="E37" s="11" t="s">
        <v>1270</v>
      </c>
      <c r="F37" s="11" t="s">
        <v>3749</v>
      </c>
      <c r="G37" s="11" t="s">
        <v>3750</v>
      </c>
      <c r="H37" s="11"/>
      <c r="I37" s="11"/>
      <c r="J37" s="11"/>
      <c r="K37" s="11"/>
    </row>
    <row r="38" spans="1:12" s="1" customFormat="1" ht="255">
      <c r="A38" s="59">
        <v>36</v>
      </c>
      <c r="B38" s="59" t="s">
        <v>274</v>
      </c>
      <c r="C38" s="59">
        <v>14</v>
      </c>
      <c r="D38" s="59" t="s">
        <v>242</v>
      </c>
      <c r="E38" s="59"/>
      <c r="F38" s="59" t="s">
        <v>3751</v>
      </c>
      <c r="G38" s="59" t="s">
        <v>4810</v>
      </c>
      <c r="H38" s="59"/>
      <c r="I38" s="59"/>
      <c r="J38" s="59"/>
      <c r="K38" s="59"/>
      <c r="L38" s="31" t="s">
        <v>7124</v>
      </c>
    </row>
    <row r="39" spans="1:12" s="1" customFormat="1" ht="75">
      <c r="A39" s="11">
        <v>37</v>
      </c>
      <c r="B39" s="11" t="s">
        <v>275</v>
      </c>
      <c r="C39" s="11">
        <v>8</v>
      </c>
      <c r="D39" s="11" t="s">
        <v>160</v>
      </c>
      <c r="E39" s="11" t="s">
        <v>177</v>
      </c>
      <c r="F39" s="11" t="s">
        <v>3752</v>
      </c>
      <c r="G39" s="11" t="s">
        <v>3753</v>
      </c>
      <c r="H39" s="11"/>
      <c r="I39" s="11"/>
      <c r="J39" s="11"/>
      <c r="K39" s="11"/>
    </row>
    <row r="40" spans="1:12" s="1" customFormat="1" ht="60">
      <c r="A40" s="11">
        <v>38</v>
      </c>
      <c r="B40" s="11" t="s">
        <v>276</v>
      </c>
      <c r="C40" s="11">
        <v>16</v>
      </c>
      <c r="D40" s="11" t="s">
        <v>189</v>
      </c>
      <c r="E40" s="11" t="s">
        <v>1266</v>
      </c>
      <c r="F40" s="11" t="s">
        <v>3754</v>
      </c>
      <c r="G40" s="11" t="s">
        <v>3755</v>
      </c>
      <c r="H40" s="11"/>
      <c r="I40" s="11"/>
      <c r="J40" s="11"/>
      <c r="K40" s="11"/>
    </row>
    <row r="41" spans="1:12" s="1" customFormat="1" ht="60">
      <c r="A41" s="11">
        <v>39</v>
      </c>
      <c r="B41" s="11" t="s">
        <v>277</v>
      </c>
      <c r="C41" s="11">
        <v>8</v>
      </c>
      <c r="D41" s="11" t="s">
        <v>160</v>
      </c>
      <c r="E41" s="11" t="s">
        <v>177</v>
      </c>
      <c r="F41" s="11" t="s">
        <v>3756</v>
      </c>
      <c r="G41" s="11" t="s">
        <v>3757</v>
      </c>
      <c r="H41" s="11"/>
      <c r="I41" s="11"/>
      <c r="J41" s="11"/>
      <c r="K41" s="11"/>
    </row>
    <row r="42" spans="1:12" s="1" customFormat="1" ht="225">
      <c r="A42" s="11">
        <v>40</v>
      </c>
      <c r="B42" s="11" t="s">
        <v>278</v>
      </c>
      <c r="C42" s="11">
        <v>3</v>
      </c>
      <c r="D42" s="11" t="s">
        <v>242</v>
      </c>
      <c r="E42" s="11"/>
      <c r="F42" s="11" t="s">
        <v>3758</v>
      </c>
      <c r="G42" s="11" t="s">
        <v>4811</v>
      </c>
      <c r="H42" s="11"/>
      <c r="I42" s="11"/>
      <c r="J42" s="11"/>
      <c r="K42" s="11"/>
    </row>
    <row r="43" spans="1:12" s="1" customFormat="1" ht="30">
      <c r="A43" s="11">
        <v>41</v>
      </c>
      <c r="B43" s="11" t="s">
        <v>279</v>
      </c>
      <c r="C43" s="11">
        <v>2</v>
      </c>
      <c r="D43" s="11" t="s">
        <v>189</v>
      </c>
      <c r="E43" s="11"/>
      <c r="F43" s="11" t="s">
        <v>3759</v>
      </c>
      <c r="G43" s="11" t="s">
        <v>3760</v>
      </c>
      <c r="H43" s="11"/>
      <c r="I43" s="11"/>
      <c r="J43" s="11"/>
      <c r="K43" s="11"/>
    </row>
    <row r="44" spans="1:12" s="1" customFormat="1" ht="30">
      <c r="A44" s="11">
        <v>42</v>
      </c>
      <c r="B44" s="11" t="s">
        <v>280</v>
      </c>
      <c r="C44" s="11">
        <v>8</v>
      </c>
      <c r="D44" s="11" t="s">
        <v>160</v>
      </c>
      <c r="E44" s="11" t="s">
        <v>177</v>
      </c>
      <c r="F44" s="11" t="s">
        <v>3761</v>
      </c>
      <c r="G44" s="11" t="s">
        <v>3762</v>
      </c>
      <c r="H44" s="11"/>
      <c r="I44" s="11"/>
      <c r="J44" s="11"/>
      <c r="K44" s="11"/>
    </row>
    <row r="45" spans="1:12" s="1" customFormat="1" ht="90">
      <c r="A45" s="11">
        <v>43</v>
      </c>
      <c r="B45" s="11" t="s">
        <v>281</v>
      </c>
      <c r="C45" s="11">
        <v>16</v>
      </c>
      <c r="D45" s="11" t="s">
        <v>189</v>
      </c>
      <c r="E45" s="11" t="s">
        <v>1266</v>
      </c>
      <c r="F45" s="11" t="s">
        <v>3763</v>
      </c>
      <c r="G45" s="11" t="s">
        <v>3764</v>
      </c>
      <c r="H45" s="11"/>
      <c r="I45" s="11"/>
      <c r="J45" s="11"/>
      <c r="K45" s="11"/>
    </row>
    <row r="46" spans="1:12" s="1" customFormat="1" ht="30">
      <c r="A46" s="11">
        <v>44</v>
      </c>
      <c r="B46" s="11" t="s">
        <v>282</v>
      </c>
      <c r="C46" s="11">
        <v>3</v>
      </c>
      <c r="D46" s="11" t="s">
        <v>189</v>
      </c>
      <c r="E46" s="11"/>
      <c r="F46" s="11" t="s">
        <v>3765</v>
      </c>
      <c r="G46" s="11" t="s">
        <v>3766</v>
      </c>
      <c r="H46" s="11"/>
      <c r="I46" s="11"/>
      <c r="J46" s="11"/>
      <c r="K46" s="11"/>
    </row>
    <row r="47" spans="1:12" s="1" customFormat="1" ht="30">
      <c r="A47" s="11">
        <v>45</v>
      </c>
      <c r="B47" s="11" t="s">
        <v>283</v>
      </c>
      <c r="C47" s="11">
        <v>5</v>
      </c>
      <c r="D47" s="11" t="s">
        <v>189</v>
      </c>
      <c r="E47" s="11"/>
      <c r="F47" s="11" t="s">
        <v>3767</v>
      </c>
      <c r="G47" s="11" t="s">
        <v>3768</v>
      </c>
      <c r="H47" s="11"/>
      <c r="I47" s="11"/>
      <c r="J47" s="11"/>
      <c r="K47" s="11"/>
    </row>
    <row r="48" spans="1:12" s="1" customFormat="1" ht="135">
      <c r="A48" s="11">
        <v>46</v>
      </c>
      <c r="B48" s="11" t="s">
        <v>284</v>
      </c>
      <c r="C48" s="11">
        <v>1</v>
      </c>
      <c r="D48" s="11" t="s">
        <v>242</v>
      </c>
      <c r="E48" s="11"/>
      <c r="F48" s="11" t="s">
        <v>3769</v>
      </c>
      <c r="G48" s="11" t="s">
        <v>3770</v>
      </c>
      <c r="H48" s="11"/>
      <c r="I48" s="11"/>
      <c r="J48" s="11"/>
      <c r="K48" s="11"/>
    </row>
    <row r="49" spans="1:11" s="1" customFormat="1" ht="135">
      <c r="A49" s="11">
        <v>47</v>
      </c>
      <c r="B49" s="11" t="s">
        <v>285</v>
      </c>
      <c r="C49" s="11">
        <v>1</v>
      </c>
      <c r="D49" s="11" t="s">
        <v>242</v>
      </c>
      <c r="E49" s="11"/>
      <c r="F49" s="11" t="s">
        <v>3771</v>
      </c>
      <c r="G49" s="11" t="s">
        <v>3772</v>
      </c>
      <c r="H49" s="11"/>
      <c r="I49" s="11"/>
      <c r="J49" s="11"/>
      <c r="K49" s="11"/>
    </row>
    <row r="50" spans="1:11" s="1" customFormat="1" ht="45">
      <c r="A50" s="11">
        <v>48</v>
      </c>
      <c r="B50" s="11" t="s">
        <v>286</v>
      </c>
      <c r="C50" s="11">
        <v>20</v>
      </c>
      <c r="D50" s="11" t="s">
        <v>242</v>
      </c>
      <c r="E50" s="11"/>
      <c r="F50" s="11" t="s">
        <v>3773</v>
      </c>
      <c r="G50" s="11" t="s">
        <v>3774</v>
      </c>
      <c r="H50" s="11"/>
      <c r="I50" s="11"/>
      <c r="J50" s="11"/>
      <c r="K50" s="11"/>
    </row>
    <row r="51" spans="1:11" s="1" customFormat="1" ht="45">
      <c r="A51" s="11">
        <v>49</v>
      </c>
      <c r="B51" s="11" t="s">
        <v>287</v>
      </c>
      <c r="C51" s="11">
        <v>20</v>
      </c>
      <c r="D51" s="11" t="s">
        <v>242</v>
      </c>
      <c r="E51" s="11"/>
      <c r="F51" s="11" t="s">
        <v>3775</v>
      </c>
      <c r="G51" s="11" t="s">
        <v>3774</v>
      </c>
      <c r="H51" s="11"/>
      <c r="I51" s="11"/>
      <c r="J51" s="11"/>
      <c r="K51" s="11"/>
    </row>
    <row r="52" spans="1:11" s="1" customFormat="1">
      <c r="A52" s="11">
        <v>50</v>
      </c>
      <c r="B52" s="11" t="s">
        <v>78</v>
      </c>
      <c r="C52" s="11">
        <v>4</v>
      </c>
      <c r="D52" s="11" t="s">
        <v>242</v>
      </c>
      <c r="E52" s="11"/>
      <c r="F52" s="11" t="s">
        <v>1720</v>
      </c>
      <c r="G52" s="11" t="s">
        <v>2593</v>
      </c>
      <c r="H52" s="11"/>
      <c r="I52" s="11"/>
      <c r="J52" s="11" t="s">
        <v>5396</v>
      </c>
      <c r="K52" s="11"/>
    </row>
    <row r="53" spans="1:11" s="1" customFormat="1" ht="45">
      <c r="A53" s="11">
        <v>51</v>
      </c>
      <c r="B53" s="11" t="s">
        <v>288</v>
      </c>
      <c r="C53" s="11">
        <v>6</v>
      </c>
      <c r="D53" s="11" t="s">
        <v>242</v>
      </c>
      <c r="E53" s="11"/>
      <c r="F53" s="11" t="s">
        <v>3776</v>
      </c>
      <c r="G53" s="11" t="s">
        <v>3774</v>
      </c>
      <c r="H53" s="11"/>
      <c r="I53" s="11"/>
      <c r="J53" s="11"/>
      <c r="K53" s="11"/>
    </row>
    <row r="54" spans="1:11" s="1" customFormat="1" ht="45">
      <c r="A54" s="11">
        <v>52</v>
      </c>
      <c r="B54" s="11" t="s">
        <v>289</v>
      </c>
      <c r="C54" s="11">
        <v>2</v>
      </c>
      <c r="D54" s="11" t="s">
        <v>242</v>
      </c>
      <c r="E54" s="11"/>
      <c r="F54" s="11" t="s">
        <v>3777</v>
      </c>
      <c r="G54" s="11" t="s">
        <v>3778</v>
      </c>
      <c r="H54" s="11"/>
      <c r="I54" s="11"/>
      <c r="J54" s="11"/>
      <c r="K54" s="11"/>
    </row>
    <row r="55" spans="1:11" s="1" customFormat="1" ht="45">
      <c r="A55" s="11">
        <v>53</v>
      </c>
      <c r="B55" s="11" t="s">
        <v>290</v>
      </c>
      <c r="C55" s="11">
        <v>2</v>
      </c>
      <c r="D55" s="11" t="s">
        <v>242</v>
      </c>
      <c r="E55" s="11"/>
      <c r="F55" s="11" t="s">
        <v>3779</v>
      </c>
      <c r="G55" s="11" t="s">
        <v>3778</v>
      </c>
      <c r="H55" s="11"/>
      <c r="I55" s="11"/>
      <c r="J55" s="11"/>
      <c r="K55" s="11"/>
    </row>
    <row r="56" spans="1:11" s="1" customFormat="1" ht="45">
      <c r="A56" s="11">
        <v>54</v>
      </c>
      <c r="B56" s="11" t="s">
        <v>291</v>
      </c>
      <c r="C56" s="11">
        <v>2</v>
      </c>
      <c r="D56" s="11" t="s">
        <v>242</v>
      </c>
      <c r="E56" s="11"/>
      <c r="F56" s="11" t="s">
        <v>3780</v>
      </c>
      <c r="G56" s="11" t="s">
        <v>3778</v>
      </c>
      <c r="H56" s="11"/>
      <c r="I56" s="11"/>
      <c r="J56" s="11"/>
      <c r="K56" s="11"/>
    </row>
    <row r="57" spans="1:11" s="1" customFormat="1" ht="45">
      <c r="A57" s="11">
        <v>55</v>
      </c>
      <c r="B57" s="11" t="s">
        <v>292</v>
      </c>
      <c r="C57" s="11">
        <v>2</v>
      </c>
      <c r="D57" s="11" t="s">
        <v>242</v>
      </c>
      <c r="E57" s="11"/>
      <c r="F57" s="11" t="s">
        <v>3781</v>
      </c>
      <c r="G57" s="11" t="s">
        <v>3778</v>
      </c>
      <c r="H57" s="11"/>
      <c r="I57" s="11"/>
      <c r="J57" s="11"/>
      <c r="K57" s="11"/>
    </row>
    <row r="58" spans="1:11" s="1" customFormat="1" ht="45">
      <c r="A58" s="11">
        <v>56</v>
      </c>
      <c r="B58" s="11" t="s">
        <v>293</v>
      </c>
      <c r="C58" s="11">
        <v>2</v>
      </c>
      <c r="D58" s="11" t="s">
        <v>242</v>
      </c>
      <c r="E58" s="11"/>
      <c r="F58" s="11" t="s">
        <v>3782</v>
      </c>
      <c r="G58" s="11" t="s">
        <v>3778</v>
      </c>
      <c r="H58" s="11"/>
      <c r="I58" s="11"/>
      <c r="J58" s="11"/>
      <c r="K58" s="11"/>
    </row>
    <row r="59" spans="1:11" s="1" customFormat="1" ht="60">
      <c r="A59" s="11">
        <v>57</v>
      </c>
      <c r="B59" s="11" t="s">
        <v>294</v>
      </c>
      <c r="C59" s="11">
        <v>1</v>
      </c>
      <c r="D59" s="11" t="s">
        <v>242</v>
      </c>
      <c r="E59" s="11"/>
      <c r="F59" s="11" t="s">
        <v>3783</v>
      </c>
      <c r="G59" s="11" t="s">
        <v>3784</v>
      </c>
      <c r="H59" s="11"/>
      <c r="I59" s="11"/>
      <c r="J59" s="11"/>
      <c r="K59" s="11"/>
    </row>
    <row r="60" spans="1:11" s="1" customFormat="1" ht="75">
      <c r="A60" s="11">
        <v>58</v>
      </c>
      <c r="B60" s="11" t="s">
        <v>295</v>
      </c>
      <c r="C60" s="11">
        <v>1</v>
      </c>
      <c r="D60" s="11" t="s">
        <v>242</v>
      </c>
      <c r="E60" s="11"/>
      <c r="F60" s="11" t="s">
        <v>3785</v>
      </c>
      <c r="G60" s="11" t="s">
        <v>3786</v>
      </c>
      <c r="H60" s="11"/>
      <c r="I60" s="11"/>
      <c r="J60" s="11"/>
      <c r="K60" s="11"/>
    </row>
    <row r="61" spans="1:11" s="1" customFormat="1" ht="315">
      <c r="A61" s="11">
        <v>59</v>
      </c>
      <c r="B61" s="11" t="s">
        <v>296</v>
      </c>
      <c r="C61" s="11">
        <v>1</v>
      </c>
      <c r="D61" s="11" t="s">
        <v>242</v>
      </c>
      <c r="E61" s="11"/>
      <c r="F61" s="11" t="s">
        <v>3787</v>
      </c>
      <c r="G61" s="11" t="s">
        <v>3788</v>
      </c>
      <c r="H61" s="11"/>
      <c r="I61" s="11"/>
      <c r="J61" s="11"/>
      <c r="K61" s="11"/>
    </row>
    <row r="62" spans="1:11" s="1" customFormat="1" ht="60">
      <c r="A62" s="11">
        <v>60</v>
      </c>
      <c r="B62" s="11" t="s">
        <v>297</v>
      </c>
      <c r="C62" s="11">
        <v>4</v>
      </c>
      <c r="D62" s="11" t="s">
        <v>189</v>
      </c>
      <c r="E62" s="11"/>
      <c r="F62" s="11" t="s">
        <v>3789</v>
      </c>
      <c r="G62" s="11" t="s">
        <v>3790</v>
      </c>
      <c r="H62" s="11"/>
      <c r="I62" s="11"/>
      <c r="J62" s="11"/>
      <c r="K62" s="11"/>
    </row>
    <row r="63" spans="1:11" s="1" customFormat="1" ht="45">
      <c r="A63" s="11">
        <v>61</v>
      </c>
      <c r="B63" s="11" t="s">
        <v>298</v>
      </c>
      <c r="C63" s="11">
        <v>4</v>
      </c>
      <c r="D63" s="11" t="s">
        <v>189</v>
      </c>
      <c r="E63" s="11"/>
      <c r="F63" s="11" t="s">
        <v>3791</v>
      </c>
      <c r="G63" s="11" t="s">
        <v>3792</v>
      </c>
      <c r="H63" s="11"/>
      <c r="I63" s="11"/>
      <c r="J63" s="11"/>
      <c r="K63" s="11"/>
    </row>
    <row r="64" spans="1:11" s="1" customFormat="1" ht="60">
      <c r="A64" s="11">
        <v>62</v>
      </c>
      <c r="B64" s="11" t="s">
        <v>299</v>
      </c>
      <c r="C64" s="11">
        <v>5</v>
      </c>
      <c r="D64" s="11" t="s">
        <v>189</v>
      </c>
      <c r="E64" s="11"/>
      <c r="F64" s="11" t="s">
        <v>3793</v>
      </c>
      <c r="G64" s="11" t="s">
        <v>3794</v>
      </c>
      <c r="H64" s="11"/>
      <c r="I64" s="11"/>
      <c r="J64" s="11"/>
      <c r="K64" s="11"/>
    </row>
    <row r="65" spans="1:11" s="1" customFormat="1" ht="45">
      <c r="A65" s="11">
        <v>63</v>
      </c>
      <c r="B65" s="11" t="s">
        <v>300</v>
      </c>
      <c r="C65" s="11">
        <v>5</v>
      </c>
      <c r="D65" s="11" t="s">
        <v>189</v>
      </c>
      <c r="E65" s="11"/>
      <c r="F65" s="11" t="s">
        <v>3795</v>
      </c>
      <c r="G65" s="11" t="s">
        <v>3796</v>
      </c>
      <c r="H65" s="11"/>
      <c r="I65" s="11"/>
      <c r="J65" s="11"/>
      <c r="K65" s="11"/>
    </row>
    <row r="66" spans="1:11" s="1" customFormat="1" ht="150">
      <c r="A66" s="11">
        <v>64</v>
      </c>
      <c r="B66" s="11" t="s">
        <v>301</v>
      </c>
      <c r="C66" s="11">
        <v>1</v>
      </c>
      <c r="D66" s="11" t="s">
        <v>242</v>
      </c>
      <c r="E66" s="11"/>
      <c r="F66" s="11" t="s">
        <v>3797</v>
      </c>
      <c r="G66" s="11" t="s">
        <v>3798</v>
      </c>
      <c r="H66" s="11"/>
      <c r="I66" s="11"/>
      <c r="J66" s="11"/>
      <c r="K66" s="11"/>
    </row>
    <row r="67" spans="1:11" s="1" customFormat="1" ht="150">
      <c r="A67" s="11">
        <v>65</v>
      </c>
      <c r="B67" s="11" t="s">
        <v>302</v>
      </c>
      <c r="C67" s="11">
        <v>1</v>
      </c>
      <c r="D67" s="11" t="s">
        <v>242</v>
      </c>
      <c r="E67" s="11"/>
      <c r="F67" s="11" t="s">
        <v>3799</v>
      </c>
      <c r="G67" s="11" t="s">
        <v>3800</v>
      </c>
      <c r="H67" s="11"/>
      <c r="I67" s="11"/>
      <c r="J67" s="11"/>
      <c r="K67" s="11"/>
    </row>
    <row r="68" spans="1:11" s="1" customFormat="1" ht="90">
      <c r="A68" s="11">
        <v>66</v>
      </c>
      <c r="B68" s="11" t="s">
        <v>303</v>
      </c>
      <c r="C68" s="11">
        <v>16</v>
      </c>
      <c r="D68" s="11" t="s">
        <v>189</v>
      </c>
      <c r="E68" s="11" t="s">
        <v>1266</v>
      </c>
      <c r="F68" s="11" t="s">
        <v>3801</v>
      </c>
      <c r="G68" s="11" t="s">
        <v>3802</v>
      </c>
      <c r="H68" s="11"/>
      <c r="I68" s="11"/>
      <c r="J68" s="11"/>
      <c r="K68" s="11"/>
    </row>
    <row r="69" spans="1:11" s="1" customFormat="1" ht="30">
      <c r="A69" s="11">
        <v>67</v>
      </c>
      <c r="B69" s="11" t="s">
        <v>304</v>
      </c>
      <c r="C69" s="11">
        <v>8</v>
      </c>
      <c r="D69" s="11" t="s">
        <v>160</v>
      </c>
      <c r="E69" s="11" t="s">
        <v>177</v>
      </c>
      <c r="F69" s="11" t="s">
        <v>3803</v>
      </c>
      <c r="G69" s="11" t="s">
        <v>3804</v>
      </c>
      <c r="H69" s="11"/>
      <c r="I69" s="11"/>
      <c r="J69" s="11"/>
      <c r="K69" s="11"/>
    </row>
    <row r="70" spans="1:11" s="1" customFormat="1" ht="30">
      <c r="A70" s="11">
        <v>68</v>
      </c>
      <c r="B70" s="11" t="s">
        <v>305</v>
      </c>
      <c r="C70" s="11">
        <v>3</v>
      </c>
      <c r="D70" s="11" t="s">
        <v>242</v>
      </c>
      <c r="E70" s="11"/>
      <c r="F70" s="11" t="s">
        <v>3805</v>
      </c>
      <c r="G70" s="11" t="s">
        <v>3806</v>
      </c>
      <c r="H70" s="11"/>
      <c r="I70" s="11"/>
      <c r="J70" s="11"/>
      <c r="K70" s="11"/>
    </row>
    <row r="71" spans="1:11" s="1" customFormat="1" ht="150">
      <c r="A71" s="11">
        <v>69</v>
      </c>
      <c r="B71" s="11" t="s">
        <v>306</v>
      </c>
      <c r="C71" s="11">
        <v>1</v>
      </c>
      <c r="D71" s="11" t="s">
        <v>242</v>
      </c>
      <c r="E71" s="11"/>
      <c r="F71" s="11" t="s">
        <v>3807</v>
      </c>
      <c r="G71" s="11" t="s">
        <v>3808</v>
      </c>
      <c r="H71" s="11"/>
      <c r="I71" s="11"/>
      <c r="J71" s="11"/>
      <c r="K71" s="11"/>
    </row>
    <row r="72" spans="1:11" s="1" customFormat="1" ht="120">
      <c r="A72" s="11">
        <v>70</v>
      </c>
      <c r="B72" s="11" t="s">
        <v>307</v>
      </c>
      <c r="C72" s="11">
        <v>1</v>
      </c>
      <c r="D72" s="11" t="s">
        <v>242</v>
      </c>
      <c r="E72" s="11"/>
      <c r="F72" s="11" t="s">
        <v>3809</v>
      </c>
      <c r="G72" s="11" t="s">
        <v>3810</v>
      </c>
      <c r="H72" s="11"/>
      <c r="I72" s="11"/>
      <c r="J72" s="11"/>
      <c r="K72" s="11"/>
    </row>
    <row r="73" spans="1:11" s="1" customFormat="1" ht="75">
      <c r="A73" s="11">
        <v>71</v>
      </c>
      <c r="B73" s="11" t="s">
        <v>308</v>
      </c>
      <c r="C73" s="11">
        <v>16</v>
      </c>
      <c r="D73" s="11" t="s">
        <v>189</v>
      </c>
      <c r="E73" s="11" t="s">
        <v>1266</v>
      </c>
      <c r="F73" s="11" t="s">
        <v>3811</v>
      </c>
      <c r="G73" s="11" t="s">
        <v>3812</v>
      </c>
      <c r="H73" s="11"/>
      <c r="I73" s="11"/>
      <c r="J73" s="11"/>
      <c r="K73" s="11"/>
    </row>
    <row r="74" spans="1:11" s="1" customFormat="1" ht="75">
      <c r="A74" s="11">
        <v>72</v>
      </c>
      <c r="B74" s="11" t="s">
        <v>309</v>
      </c>
      <c r="C74" s="11">
        <v>16</v>
      </c>
      <c r="D74" s="11" t="s">
        <v>189</v>
      </c>
      <c r="E74" s="11" t="s">
        <v>1266</v>
      </c>
      <c r="F74" s="11" t="s">
        <v>3813</v>
      </c>
      <c r="G74" s="11" t="s">
        <v>3814</v>
      </c>
      <c r="H74" s="11"/>
      <c r="I74" s="11"/>
      <c r="J74" s="11"/>
      <c r="K74" s="11"/>
    </row>
    <row r="75" spans="1:11" s="1" customFormat="1" ht="150">
      <c r="A75" s="11">
        <v>73</v>
      </c>
      <c r="B75" s="11" t="s">
        <v>310</v>
      </c>
      <c r="C75" s="11">
        <v>16</v>
      </c>
      <c r="D75" s="11" t="s">
        <v>189</v>
      </c>
      <c r="E75" s="11" t="s">
        <v>1266</v>
      </c>
      <c r="F75" s="11" t="s">
        <v>3815</v>
      </c>
      <c r="G75" s="11" t="s">
        <v>4812</v>
      </c>
      <c r="H75" s="11"/>
      <c r="I75" s="11"/>
      <c r="J75" s="11"/>
      <c r="K75" s="11"/>
    </row>
    <row r="76" spans="1:11" s="1" customFormat="1" ht="105">
      <c r="A76" s="11">
        <v>74</v>
      </c>
      <c r="B76" s="11" t="s">
        <v>311</v>
      </c>
      <c r="C76" s="11">
        <v>16</v>
      </c>
      <c r="D76" s="11" t="s">
        <v>189</v>
      </c>
      <c r="E76" s="11" t="s">
        <v>1266</v>
      </c>
      <c r="F76" s="11" t="s">
        <v>3816</v>
      </c>
      <c r="G76" s="11" t="s">
        <v>3817</v>
      </c>
      <c r="H76" s="11"/>
      <c r="I76" s="11"/>
      <c r="J76" s="11"/>
      <c r="K76" s="11"/>
    </row>
    <row r="77" spans="1:11" s="1" customFormat="1" ht="105">
      <c r="A77" s="11">
        <v>75</v>
      </c>
      <c r="B77" s="11" t="s">
        <v>312</v>
      </c>
      <c r="C77" s="11">
        <v>16</v>
      </c>
      <c r="D77" s="11" t="s">
        <v>189</v>
      </c>
      <c r="E77" s="11" t="s">
        <v>1266</v>
      </c>
      <c r="F77" s="11" t="s">
        <v>3818</v>
      </c>
      <c r="G77" s="11" t="s">
        <v>3819</v>
      </c>
      <c r="H77" s="11"/>
      <c r="I77" s="11"/>
      <c r="J77" s="11"/>
      <c r="K77" s="11"/>
    </row>
    <row r="78" spans="1:11" s="1" customFormat="1" ht="60">
      <c r="A78" s="11">
        <v>76</v>
      </c>
      <c r="B78" s="11" t="s">
        <v>313</v>
      </c>
      <c r="C78" s="11">
        <v>16</v>
      </c>
      <c r="D78" s="11" t="s">
        <v>189</v>
      </c>
      <c r="E78" s="11" t="s">
        <v>1266</v>
      </c>
      <c r="F78" s="11" t="s">
        <v>3820</v>
      </c>
      <c r="G78" s="11" t="s">
        <v>3821</v>
      </c>
      <c r="H78" s="11"/>
      <c r="I78" s="11"/>
      <c r="J78" s="11"/>
      <c r="K78" s="11"/>
    </row>
    <row r="79" spans="1:11" s="1" customFormat="1" ht="105">
      <c r="A79" s="11">
        <v>77</v>
      </c>
      <c r="B79" s="11" t="s">
        <v>314</v>
      </c>
      <c r="C79" s="11">
        <v>16</v>
      </c>
      <c r="D79" s="11" t="s">
        <v>189</v>
      </c>
      <c r="E79" s="11" t="s">
        <v>1266</v>
      </c>
      <c r="F79" s="11" t="s">
        <v>3822</v>
      </c>
      <c r="G79" s="11" t="s">
        <v>3823</v>
      </c>
      <c r="H79" s="11"/>
      <c r="I79" s="11"/>
      <c r="J79" s="11"/>
      <c r="K79" s="11"/>
    </row>
    <row r="80" spans="1:11" s="1" customFormat="1" ht="120">
      <c r="A80" s="11">
        <v>78</v>
      </c>
      <c r="B80" s="11" t="s">
        <v>315</v>
      </c>
      <c r="C80" s="11">
        <v>16</v>
      </c>
      <c r="D80" s="11" t="s">
        <v>189</v>
      </c>
      <c r="E80" s="11" t="s">
        <v>1266</v>
      </c>
      <c r="F80" s="11" t="s">
        <v>3824</v>
      </c>
      <c r="G80" s="11" t="s">
        <v>3825</v>
      </c>
      <c r="H80" s="11"/>
      <c r="I80" s="11"/>
      <c r="J80" s="11"/>
      <c r="K80" s="11"/>
    </row>
    <row r="81" spans="1:11" s="1" customFormat="1" ht="60">
      <c r="A81" s="11">
        <v>79</v>
      </c>
      <c r="B81" s="11" t="s">
        <v>316</v>
      </c>
      <c r="C81" s="11">
        <v>16</v>
      </c>
      <c r="D81" s="11" t="s">
        <v>189</v>
      </c>
      <c r="E81" s="11" t="s">
        <v>1266</v>
      </c>
      <c r="F81" s="11" t="s">
        <v>3826</v>
      </c>
      <c r="G81" s="11" t="s">
        <v>3827</v>
      </c>
      <c r="H81" s="11"/>
      <c r="I81" s="11"/>
      <c r="J81" s="11"/>
      <c r="K81" s="11"/>
    </row>
    <row r="82" spans="1:11" s="1" customFormat="1" ht="90">
      <c r="A82" s="11">
        <v>80</v>
      </c>
      <c r="B82" s="11" t="s">
        <v>317</v>
      </c>
      <c r="C82" s="11">
        <v>16</v>
      </c>
      <c r="D82" s="11" t="s">
        <v>189</v>
      </c>
      <c r="E82" s="11" t="s">
        <v>1266</v>
      </c>
      <c r="F82" s="11" t="s">
        <v>3828</v>
      </c>
      <c r="G82" s="11" t="s">
        <v>3829</v>
      </c>
      <c r="H82" s="11"/>
      <c r="I82" s="11"/>
      <c r="J82" s="11"/>
      <c r="K82" s="11"/>
    </row>
    <row r="83" spans="1:11" s="1" customFormat="1" ht="75">
      <c r="A83" s="11">
        <v>81</v>
      </c>
      <c r="B83" s="11" t="s">
        <v>318</v>
      </c>
      <c r="C83" s="11">
        <v>2</v>
      </c>
      <c r="D83" s="11" t="s">
        <v>242</v>
      </c>
      <c r="E83" s="11"/>
      <c r="F83" s="11" t="s">
        <v>3830</v>
      </c>
      <c r="G83" s="11" t="s">
        <v>3831</v>
      </c>
      <c r="H83" s="11"/>
      <c r="I83" s="11"/>
      <c r="J83" s="11"/>
      <c r="K83" s="11"/>
    </row>
    <row r="84" spans="1:11" s="1" customFormat="1" ht="165">
      <c r="A84" s="11">
        <v>82</v>
      </c>
      <c r="B84" s="11" t="s">
        <v>319</v>
      </c>
      <c r="C84" s="11">
        <v>1</v>
      </c>
      <c r="D84" s="11" t="s">
        <v>242</v>
      </c>
      <c r="E84" s="11"/>
      <c r="F84" s="11" t="s">
        <v>3832</v>
      </c>
      <c r="G84" s="11" t="s">
        <v>3833</v>
      </c>
      <c r="H84" s="11"/>
      <c r="I84" s="11"/>
      <c r="J84" s="11"/>
      <c r="K84" s="11"/>
    </row>
    <row r="85" spans="1:11" s="1" customFormat="1" ht="45">
      <c r="A85" s="11">
        <v>83</v>
      </c>
      <c r="B85" s="11" t="s">
        <v>320</v>
      </c>
      <c r="C85" s="11">
        <v>6</v>
      </c>
      <c r="D85" s="11" t="s">
        <v>189</v>
      </c>
      <c r="E85" s="11"/>
      <c r="F85" s="11" t="s">
        <v>3834</v>
      </c>
      <c r="G85" s="11" t="s">
        <v>3835</v>
      </c>
      <c r="H85" s="11"/>
      <c r="I85" s="11"/>
      <c r="J85" s="11"/>
      <c r="K85" s="11"/>
    </row>
    <row r="86" spans="1:11" s="1" customFormat="1" ht="45">
      <c r="A86" s="11">
        <v>84</v>
      </c>
      <c r="B86" s="11" t="s">
        <v>321</v>
      </c>
      <c r="C86" s="11">
        <v>6</v>
      </c>
      <c r="D86" s="11" t="s">
        <v>189</v>
      </c>
      <c r="E86" s="11"/>
      <c r="F86" s="11" t="s">
        <v>3836</v>
      </c>
      <c r="G86" s="11" t="s">
        <v>3837</v>
      </c>
      <c r="H86" s="11"/>
      <c r="I86" s="11"/>
      <c r="J86" s="11"/>
      <c r="K86" s="11"/>
    </row>
    <row r="87" spans="1:11" s="1" customFormat="1" ht="75">
      <c r="A87" s="11">
        <v>85</v>
      </c>
      <c r="B87" s="11" t="s">
        <v>322</v>
      </c>
      <c r="C87" s="11">
        <v>16</v>
      </c>
      <c r="D87" s="11" t="s">
        <v>189</v>
      </c>
      <c r="E87" s="11" t="s">
        <v>1266</v>
      </c>
      <c r="F87" s="11" t="s">
        <v>3838</v>
      </c>
      <c r="G87" s="11" t="s">
        <v>3839</v>
      </c>
      <c r="H87" s="11"/>
      <c r="I87" s="11"/>
      <c r="J87" s="11"/>
      <c r="K87" s="11"/>
    </row>
    <row r="88" spans="1:11" s="1" customFormat="1" ht="300">
      <c r="A88" s="11">
        <v>86</v>
      </c>
      <c r="B88" s="11" t="s">
        <v>323</v>
      </c>
      <c r="C88" s="11">
        <v>5</v>
      </c>
      <c r="D88" s="11" t="s">
        <v>242</v>
      </c>
      <c r="E88" s="11"/>
      <c r="F88" s="11" t="s">
        <v>3840</v>
      </c>
      <c r="G88" s="11" t="s">
        <v>3841</v>
      </c>
      <c r="H88" s="11"/>
      <c r="I88" s="11"/>
      <c r="J88" s="11"/>
      <c r="K88" s="11"/>
    </row>
    <row r="89" spans="1:11" s="1" customFormat="1" ht="75">
      <c r="A89" s="11">
        <v>87</v>
      </c>
      <c r="B89" s="11" t="s">
        <v>324</v>
      </c>
      <c r="C89" s="11">
        <v>5</v>
      </c>
      <c r="D89" s="11" t="s">
        <v>242</v>
      </c>
      <c r="E89" s="11"/>
      <c r="F89" s="11" t="s">
        <v>3842</v>
      </c>
      <c r="G89" s="11" t="s">
        <v>3843</v>
      </c>
      <c r="H89" s="11"/>
      <c r="I89" s="11"/>
      <c r="J89" s="11"/>
      <c r="K89" s="11"/>
    </row>
    <row r="90" spans="1:11" s="1" customFormat="1" ht="75">
      <c r="A90" s="11">
        <v>88</v>
      </c>
      <c r="B90" s="11" t="s">
        <v>325</v>
      </c>
      <c r="C90" s="11">
        <v>5</v>
      </c>
      <c r="D90" s="11" t="s">
        <v>242</v>
      </c>
      <c r="E90" s="11"/>
      <c r="F90" s="11" t="s">
        <v>3842</v>
      </c>
      <c r="G90" s="11" t="s">
        <v>3843</v>
      </c>
      <c r="H90" s="11"/>
      <c r="I90" s="11"/>
      <c r="J90" s="11"/>
      <c r="K90" s="11"/>
    </row>
    <row r="91" spans="1:11" s="1" customFormat="1" ht="135">
      <c r="A91" s="11">
        <v>89</v>
      </c>
      <c r="B91" s="11" t="s">
        <v>326</v>
      </c>
      <c r="C91" s="11">
        <v>5</v>
      </c>
      <c r="D91" s="11" t="s">
        <v>242</v>
      </c>
      <c r="E91" s="11"/>
      <c r="F91" s="11" t="s">
        <v>3844</v>
      </c>
      <c r="G91" s="11" t="s">
        <v>3845</v>
      </c>
      <c r="H91" s="11"/>
      <c r="I91" s="11"/>
      <c r="J91" s="11"/>
      <c r="K91" s="11"/>
    </row>
    <row r="92" spans="1:11" s="1" customFormat="1" ht="60">
      <c r="A92" s="11">
        <v>90</v>
      </c>
      <c r="B92" s="11" t="s">
        <v>327</v>
      </c>
      <c r="C92" s="11">
        <v>5</v>
      </c>
      <c r="D92" s="11" t="s">
        <v>242</v>
      </c>
      <c r="E92" s="11"/>
      <c r="F92" s="11" t="s">
        <v>3846</v>
      </c>
      <c r="G92" s="11" t="s">
        <v>3847</v>
      </c>
      <c r="H92" s="11"/>
      <c r="I92" s="11"/>
      <c r="J92" s="11"/>
      <c r="K92" s="11"/>
    </row>
    <row r="93" spans="1:11" s="1" customFormat="1" ht="45">
      <c r="A93" s="11">
        <v>91</v>
      </c>
      <c r="B93" s="11" t="s">
        <v>328</v>
      </c>
      <c r="C93" s="11">
        <v>5</v>
      </c>
      <c r="D93" s="11" t="s">
        <v>242</v>
      </c>
      <c r="E93" s="11"/>
      <c r="F93" s="11" t="s">
        <v>3848</v>
      </c>
      <c r="G93" s="11" t="s">
        <v>3849</v>
      </c>
      <c r="H93" s="11"/>
      <c r="I93" s="11"/>
      <c r="J93" s="11"/>
      <c r="K93" s="11"/>
    </row>
    <row r="94" spans="1:11" s="1" customFormat="1" ht="225">
      <c r="A94" s="11">
        <v>92</v>
      </c>
      <c r="B94" s="11" t="s">
        <v>329</v>
      </c>
      <c r="C94" s="11">
        <v>5</v>
      </c>
      <c r="D94" s="11" t="s">
        <v>242</v>
      </c>
      <c r="E94" s="11"/>
      <c r="F94" s="11" t="s">
        <v>3850</v>
      </c>
      <c r="G94" s="11" t="s">
        <v>3851</v>
      </c>
      <c r="H94" s="11"/>
      <c r="I94" s="11"/>
      <c r="J94" s="11"/>
      <c r="K94" s="11"/>
    </row>
    <row r="95" spans="1:11" s="1" customFormat="1" ht="60">
      <c r="A95" s="11">
        <v>93</v>
      </c>
      <c r="B95" s="11" t="s">
        <v>330</v>
      </c>
      <c r="C95" s="11">
        <v>5</v>
      </c>
      <c r="D95" s="11" t="s">
        <v>242</v>
      </c>
      <c r="E95" s="11"/>
      <c r="F95" s="11" t="s">
        <v>3852</v>
      </c>
      <c r="G95" s="11" t="s">
        <v>3853</v>
      </c>
      <c r="H95" s="11"/>
      <c r="I95" s="11"/>
      <c r="J95" s="11"/>
      <c r="K95" s="11"/>
    </row>
    <row r="96" spans="1:11" s="1" customFormat="1" ht="150">
      <c r="A96" s="11">
        <v>94</v>
      </c>
      <c r="B96" s="11" t="s">
        <v>331</v>
      </c>
      <c r="C96" s="11">
        <v>5</v>
      </c>
      <c r="D96" s="11" t="s">
        <v>242</v>
      </c>
      <c r="E96" s="11"/>
      <c r="F96" s="11" t="s">
        <v>3854</v>
      </c>
      <c r="G96" s="11" t="s">
        <v>3855</v>
      </c>
      <c r="H96" s="11"/>
      <c r="I96" s="11"/>
      <c r="J96" s="11"/>
      <c r="K96" s="11"/>
    </row>
    <row r="97" spans="1:11" s="1" customFormat="1" ht="105">
      <c r="A97" s="11">
        <v>95</v>
      </c>
      <c r="B97" s="11" t="s">
        <v>332</v>
      </c>
      <c r="C97" s="11">
        <v>5</v>
      </c>
      <c r="D97" s="11" t="s">
        <v>242</v>
      </c>
      <c r="E97" s="11"/>
      <c r="F97" s="11" t="s">
        <v>3856</v>
      </c>
      <c r="G97" s="11" t="s">
        <v>3857</v>
      </c>
      <c r="H97" s="11"/>
      <c r="I97" s="11"/>
      <c r="J97" s="11"/>
      <c r="K97" s="11"/>
    </row>
    <row r="98" spans="1:11" s="1" customFormat="1" ht="60">
      <c r="A98" s="11">
        <v>96</v>
      </c>
      <c r="B98" s="11" t="s">
        <v>333</v>
      </c>
      <c r="C98" s="11">
        <v>5</v>
      </c>
      <c r="D98" s="11" t="s">
        <v>242</v>
      </c>
      <c r="E98" s="11"/>
      <c r="F98" s="11" t="s">
        <v>3858</v>
      </c>
      <c r="G98" s="11" t="s">
        <v>3859</v>
      </c>
      <c r="H98" s="11"/>
      <c r="I98" s="11"/>
      <c r="J98" s="11"/>
      <c r="K98" s="11"/>
    </row>
    <row r="99" spans="1:11" s="1" customFormat="1" ht="60">
      <c r="A99" s="11">
        <v>97</v>
      </c>
      <c r="B99" s="11" t="s">
        <v>334</v>
      </c>
      <c r="C99" s="11">
        <v>5</v>
      </c>
      <c r="D99" s="11" t="s">
        <v>242</v>
      </c>
      <c r="E99" s="11"/>
      <c r="F99" s="11" t="s">
        <v>3860</v>
      </c>
      <c r="G99" s="11" t="s">
        <v>3861</v>
      </c>
      <c r="H99" s="11"/>
      <c r="I99" s="11"/>
      <c r="J99" s="11"/>
      <c r="K99" s="11"/>
    </row>
    <row r="100" spans="1:11" s="1" customFormat="1" ht="75">
      <c r="A100" s="11">
        <v>98</v>
      </c>
      <c r="B100" s="11" t="s">
        <v>335</v>
      </c>
      <c r="C100" s="11">
        <v>3</v>
      </c>
      <c r="D100" s="11" t="s">
        <v>242</v>
      </c>
      <c r="E100" s="11"/>
      <c r="F100" s="11" t="s">
        <v>3862</v>
      </c>
      <c r="G100" s="11" t="s">
        <v>3863</v>
      </c>
      <c r="H100" s="11"/>
      <c r="I100" s="11"/>
      <c r="J100" s="11"/>
      <c r="K100" s="11"/>
    </row>
    <row r="101" spans="1:11" s="1" customFormat="1" ht="60">
      <c r="A101" s="11">
        <v>99</v>
      </c>
      <c r="B101" s="11" t="s">
        <v>336</v>
      </c>
      <c r="C101" s="11">
        <v>16</v>
      </c>
      <c r="D101" s="11" t="s">
        <v>189</v>
      </c>
      <c r="E101" s="11" t="s">
        <v>1266</v>
      </c>
      <c r="F101" s="11" t="s">
        <v>3864</v>
      </c>
      <c r="G101" s="11" t="s">
        <v>3865</v>
      </c>
      <c r="H101" s="11"/>
      <c r="I101" s="11"/>
      <c r="J101" s="11"/>
      <c r="K101" s="11"/>
    </row>
    <row r="102" spans="1:11" s="1" customFormat="1" ht="60">
      <c r="A102" s="11">
        <v>100</v>
      </c>
      <c r="B102" s="11" t="s">
        <v>337</v>
      </c>
      <c r="C102" s="11">
        <v>9</v>
      </c>
      <c r="D102" s="11" t="s">
        <v>189</v>
      </c>
      <c r="E102" s="11" t="s">
        <v>1269</v>
      </c>
      <c r="F102" s="11" t="s">
        <v>3866</v>
      </c>
      <c r="G102" s="11" t="s">
        <v>3867</v>
      </c>
      <c r="H102" s="11"/>
      <c r="I102" s="11"/>
      <c r="J102" s="11"/>
      <c r="K102" s="11"/>
    </row>
    <row r="103" spans="1:11" s="1" customFormat="1" ht="135">
      <c r="A103" s="11">
        <v>101</v>
      </c>
      <c r="B103" s="11" t="s">
        <v>338</v>
      </c>
      <c r="C103" s="11">
        <v>1</v>
      </c>
      <c r="D103" s="11" t="s">
        <v>242</v>
      </c>
      <c r="E103" s="11"/>
      <c r="F103" s="11" t="s">
        <v>3868</v>
      </c>
      <c r="G103" s="11" t="s">
        <v>3869</v>
      </c>
      <c r="H103" s="11"/>
      <c r="I103" s="11"/>
      <c r="J103" s="11"/>
      <c r="K103" s="11"/>
    </row>
    <row r="104" spans="1:11" s="1" customFormat="1" ht="90">
      <c r="A104" s="11">
        <v>102</v>
      </c>
      <c r="B104" s="11" t="s">
        <v>339</v>
      </c>
      <c r="C104" s="11">
        <v>1</v>
      </c>
      <c r="D104" s="11" t="s">
        <v>242</v>
      </c>
      <c r="E104" s="11"/>
      <c r="F104" s="11" t="s">
        <v>3870</v>
      </c>
      <c r="G104" s="11" t="s">
        <v>3871</v>
      </c>
      <c r="H104" s="11"/>
      <c r="I104" s="11"/>
      <c r="J104" s="11"/>
      <c r="K104" s="11"/>
    </row>
    <row r="105" spans="1:11" s="1" customFormat="1" ht="60">
      <c r="A105" s="11">
        <v>103</v>
      </c>
      <c r="B105" s="11" t="s">
        <v>340</v>
      </c>
      <c r="C105" s="11">
        <v>1</v>
      </c>
      <c r="D105" s="11" t="s">
        <v>242</v>
      </c>
      <c r="E105" s="11"/>
      <c r="F105" s="11" t="s">
        <v>3872</v>
      </c>
      <c r="G105" s="11" t="s">
        <v>3873</v>
      </c>
      <c r="H105" s="11"/>
      <c r="I105" s="11"/>
      <c r="J105" s="11"/>
      <c r="K105" s="11"/>
    </row>
    <row r="106" spans="1:11" s="1" customFormat="1" ht="45">
      <c r="A106" s="11">
        <v>104</v>
      </c>
      <c r="B106" s="11" t="s">
        <v>190</v>
      </c>
      <c r="C106" s="11">
        <v>8</v>
      </c>
      <c r="D106" s="11" t="s">
        <v>160</v>
      </c>
      <c r="E106" s="11" t="s">
        <v>177</v>
      </c>
      <c r="F106" s="11" t="s">
        <v>3874</v>
      </c>
      <c r="G106" s="11"/>
      <c r="H106" s="11"/>
      <c r="I106" s="11"/>
      <c r="J106" s="11"/>
      <c r="K106" s="11"/>
    </row>
    <row r="107" spans="1:11" s="1" customFormat="1" ht="75">
      <c r="A107" s="11">
        <v>105</v>
      </c>
      <c r="B107" s="11" t="s">
        <v>191</v>
      </c>
      <c r="C107" s="11">
        <v>16</v>
      </c>
      <c r="D107" s="11" t="s">
        <v>189</v>
      </c>
      <c r="E107" s="11" t="s">
        <v>1266</v>
      </c>
      <c r="F107" s="11" t="s">
        <v>2610</v>
      </c>
      <c r="G107" s="11" t="s">
        <v>2611</v>
      </c>
      <c r="H107" s="11"/>
      <c r="I107" s="11"/>
      <c r="J107" s="11"/>
      <c r="K107" s="11"/>
    </row>
    <row r="108" spans="1:11" s="1" customFormat="1" ht="30">
      <c r="A108" s="11">
        <v>106</v>
      </c>
      <c r="B108" s="11" t="s">
        <v>341</v>
      </c>
      <c r="C108" s="11">
        <v>16</v>
      </c>
      <c r="D108" s="11" t="s">
        <v>189</v>
      </c>
      <c r="E108" s="11" t="s">
        <v>1266</v>
      </c>
      <c r="F108" s="11" t="s">
        <v>3875</v>
      </c>
      <c r="G108" s="11" t="s">
        <v>3876</v>
      </c>
      <c r="H108" s="11"/>
      <c r="I108" s="11"/>
      <c r="J108" s="11"/>
      <c r="K108" s="11"/>
    </row>
    <row r="109" spans="1:11" s="1" customFormat="1" ht="60">
      <c r="A109" s="11">
        <v>107</v>
      </c>
      <c r="B109" s="11" t="s">
        <v>342</v>
      </c>
      <c r="C109" s="11">
        <v>6</v>
      </c>
      <c r="D109" s="11" t="s">
        <v>242</v>
      </c>
      <c r="E109" s="11"/>
      <c r="F109" s="11" t="s">
        <v>3877</v>
      </c>
      <c r="G109" s="11" t="s">
        <v>3878</v>
      </c>
      <c r="H109" s="11"/>
      <c r="I109" s="11"/>
      <c r="J109" s="11"/>
      <c r="K109" s="11"/>
    </row>
    <row r="110" spans="1:11" s="1" customFormat="1" ht="105">
      <c r="A110" s="11">
        <v>108</v>
      </c>
      <c r="B110" s="11" t="s">
        <v>343</v>
      </c>
      <c r="C110" s="11">
        <v>6</v>
      </c>
      <c r="D110" s="11" t="s">
        <v>242</v>
      </c>
      <c r="E110" s="11"/>
      <c r="F110" s="11" t="s">
        <v>3879</v>
      </c>
      <c r="G110" s="11" t="s">
        <v>4813</v>
      </c>
      <c r="H110" s="11"/>
      <c r="I110" s="11"/>
      <c r="J110" s="11"/>
      <c r="K110" s="11"/>
    </row>
    <row r="111" spans="1:11" s="1" customFormat="1" ht="105">
      <c r="A111" s="11">
        <v>109</v>
      </c>
      <c r="B111" s="11" t="s">
        <v>344</v>
      </c>
      <c r="C111" s="11">
        <v>1</v>
      </c>
      <c r="D111" s="11" t="s">
        <v>242</v>
      </c>
      <c r="E111" s="11"/>
      <c r="F111" s="11" t="s">
        <v>3880</v>
      </c>
      <c r="G111" s="11" t="s">
        <v>3881</v>
      </c>
      <c r="H111" s="11"/>
      <c r="I111" s="11"/>
      <c r="J111" s="11"/>
      <c r="K111" s="11"/>
    </row>
    <row r="112" spans="1:11" s="1" customFormat="1" ht="165">
      <c r="A112" s="11">
        <v>110</v>
      </c>
      <c r="B112" s="11" t="s">
        <v>345</v>
      </c>
      <c r="C112" s="11">
        <v>16</v>
      </c>
      <c r="D112" s="11" t="s">
        <v>189</v>
      </c>
      <c r="E112" s="11" t="s">
        <v>1266</v>
      </c>
      <c r="F112" s="11" t="s">
        <v>3882</v>
      </c>
      <c r="G112" s="11" t="s">
        <v>4814</v>
      </c>
      <c r="H112" s="11"/>
      <c r="I112" s="11"/>
      <c r="J112" s="11"/>
      <c r="K112" s="11"/>
    </row>
    <row r="113" spans="1:11" s="1" customFormat="1" ht="30">
      <c r="A113" s="11">
        <v>111</v>
      </c>
      <c r="B113" s="11" t="s">
        <v>346</v>
      </c>
      <c r="C113" s="11">
        <v>8</v>
      </c>
      <c r="D113" s="11" t="s">
        <v>160</v>
      </c>
      <c r="E113" s="11" t="s">
        <v>177</v>
      </c>
      <c r="F113" s="11" t="s">
        <v>3883</v>
      </c>
      <c r="G113" s="11" t="s">
        <v>3884</v>
      </c>
      <c r="H113" s="11"/>
      <c r="I113" s="11"/>
      <c r="J113" s="11"/>
      <c r="K113" s="11"/>
    </row>
    <row r="114" spans="1:11" s="1" customFormat="1" ht="45">
      <c r="A114" s="11">
        <v>112</v>
      </c>
      <c r="B114" s="11" t="s">
        <v>347</v>
      </c>
      <c r="C114" s="11">
        <v>2</v>
      </c>
      <c r="D114" s="11" t="s">
        <v>189</v>
      </c>
      <c r="E114" s="11"/>
      <c r="F114" s="11" t="s">
        <v>3885</v>
      </c>
      <c r="G114" s="11" t="s">
        <v>3886</v>
      </c>
      <c r="H114" s="11"/>
      <c r="I114" s="11"/>
      <c r="J114" s="11"/>
      <c r="K114" s="11"/>
    </row>
    <row r="115" spans="1:11" s="1" customFormat="1" ht="30">
      <c r="A115" s="11">
        <v>113</v>
      </c>
      <c r="B115" s="11" t="s">
        <v>348</v>
      </c>
      <c r="C115" s="11">
        <v>8</v>
      </c>
      <c r="D115" s="11" t="s">
        <v>160</v>
      </c>
      <c r="E115" s="11" t="s">
        <v>177</v>
      </c>
      <c r="F115" s="11" t="s">
        <v>3887</v>
      </c>
      <c r="G115" s="11" t="s">
        <v>3888</v>
      </c>
      <c r="H115" s="11"/>
      <c r="I115" s="11"/>
      <c r="J115" s="11"/>
      <c r="K115" s="11"/>
    </row>
    <row r="116" spans="1:11" s="1" customFormat="1" ht="60">
      <c r="A116" s="11">
        <v>114</v>
      </c>
      <c r="B116" s="11" t="s">
        <v>349</v>
      </c>
      <c r="C116" s="11">
        <v>16</v>
      </c>
      <c r="D116" s="11" t="s">
        <v>189</v>
      </c>
      <c r="E116" s="11" t="s">
        <v>1266</v>
      </c>
      <c r="F116" s="11" t="s">
        <v>3889</v>
      </c>
      <c r="G116" s="11" t="s">
        <v>3890</v>
      </c>
      <c r="H116" s="11"/>
      <c r="I116" s="11"/>
      <c r="J116" s="11"/>
      <c r="K116" s="11"/>
    </row>
    <row r="117" spans="1:11" s="1" customFormat="1">
      <c r="A117" s="11">
        <v>115</v>
      </c>
      <c r="B117" s="11" t="s">
        <v>192</v>
      </c>
      <c r="C117" s="11">
        <v>12</v>
      </c>
      <c r="D117" s="11" t="s">
        <v>189</v>
      </c>
      <c r="E117" s="11" t="s">
        <v>1270</v>
      </c>
      <c r="F117" s="11" t="s">
        <v>3891</v>
      </c>
      <c r="G117" s="11" t="s">
        <v>3892</v>
      </c>
      <c r="H117" s="11"/>
      <c r="I117" s="11"/>
      <c r="J117" s="11"/>
      <c r="K117" s="11"/>
    </row>
    <row r="118" spans="1:11" s="1" customFormat="1" ht="30">
      <c r="A118" s="11">
        <v>116</v>
      </c>
      <c r="B118" s="11" t="s">
        <v>193</v>
      </c>
      <c r="C118" s="11">
        <v>16</v>
      </c>
      <c r="D118" s="11" t="s">
        <v>189</v>
      </c>
      <c r="E118" s="11" t="s">
        <v>1266</v>
      </c>
      <c r="F118" s="11" t="s">
        <v>3893</v>
      </c>
      <c r="G118" s="11" t="s">
        <v>3894</v>
      </c>
      <c r="H118" s="11"/>
      <c r="I118" s="11"/>
      <c r="J118" s="11"/>
      <c r="K118" s="11"/>
    </row>
    <row r="119" spans="1:11" s="1" customFormat="1" ht="30">
      <c r="A119" s="11">
        <v>117</v>
      </c>
      <c r="B119" s="11" t="s">
        <v>194</v>
      </c>
      <c r="C119" s="11">
        <v>16</v>
      </c>
      <c r="D119" s="11" t="s">
        <v>189</v>
      </c>
      <c r="E119" s="11" t="s">
        <v>1266</v>
      </c>
      <c r="F119" s="11" t="s">
        <v>3895</v>
      </c>
      <c r="G119" s="11" t="s">
        <v>3896</v>
      </c>
      <c r="H119" s="11"/>
      <c r="I119" s="11"/>
      <c r="J119" s="11"/>
      <c r="K119" s="11"/>
    </row>
    <row r="120" spans="1:11" s="1" customFormat="1">
      <c r="A120" s="11">
        <v>118</v>
      </c>
      <c r="B120" s="11" t="s">
        <v>195</v>
      </c>
      <c r="C120" s="11">
        <v>1</v>
      </c>
      <c r="D120" s="11" t="s">
        <v>242</v>
      </c>
      <c r="E120" s="11"/>
      <c r="F120" s="11" t="s">
        <v>3897</v>
      </c>
      <c r="G120" s="11" t="s">
        <v>3898</v>
      </c>
      <c r="H120" s="11"/>
      <c r="I120" s="11"/>
      <c r="J120" s="11"/>
      <c r="K120" s="11"/>
    </row>
    <row r="121" spans="1:11" s="1" customFormat="1">
      <c r="A121" s="11">
        <v>119</v>
      </c>
      <c r="B121" s="11" t="s">
        <v>196</v>
      </c>
      <c r="C121" s="11">
        <v>14</v>
      </c>
      <c r="D121" s="11" t="s">
        <v>242</v>
      </c>
      <c r="E121" s="11"/>
      <c r="F121" s="11" t="s">
        <v>3899</v>
      </c>
      <c r="G121" s="11" t="s">
        <v>3900</v>
      </c>
      <c r="H121" s="11"/>
      <c r="I121" s="11"/>
      <c r="J121" s="11"/>
      <c r="K121" s="11"/>
    </row>
    <row r="122" spans="1:11" s="1" customFormat="1" ht="30">
      <c r="A122" s="11">
        <v>120</v>
      </c>
      <c r="B122" s="11" t="s">
        <v>197</v>
      </c>
      <c r="C122" s="11">
        <v>1</v>
      </c>
      <c r="D122" s="11" t="s">
        <v>242</v>
      </c>
      <c r="E122" s="11"/>
      <c r="F122" s="11" t="s">
        <v>3901</v>
      </c>
      <c r="G122" s="11" t="s">
        <v>3902</v>
      </c>
      <c r="H122" s="11"/>
      <c r="I122" s="11"/>
      <c r="J122" s="11"/>
      <c r="K122" s="11"/>
    </row>
    <row r="123" spans="1:11" s="1" customFormat="1">
      <c r="A123" s="11">
        <v>121</v>
      </c>
      <c r="B123" s="11" t="s">
        <v>198</v>
      </c>
      <c r="C123" s="11">
        <v>1</v>
      </c>
      <c r="D123" s="11" t="s">
        <v>242</v>
      </c>
      <c r="E123" s="11"/>
      <c r="F123" s="11" t="s">
        <v>3903</v>
      </c>
      <c r="G123" s="11" t="s">
        <v>3904</v>
      </c>
      <c r="H123" s="11"/>
      <c r="I123" s="11"/>
      <c r="J123" s="11"/>
      <c r="K123" s="11"/>
    </row>
    <row r="124" spans="1:11" s="1" customFormat="1">
      <c r="A124" s="11">
        <v>122</v>
      </c>
      <c r="B124" s="11" t="s">
        <v>199</v>
      </c>
      <c r="C124" s="11">
        <v>1</v>
      </c>
      <c r="D124" s="11" t="s">
        <v>242</v>
      </c>
      <c r="E124" s="11"/>
      <c r="F124" s="11" t="s">
        <v>3905</v>
      </c>
      <c r="G124" s="11" t="s">
        <v>3906</v>
      </c>
      <c r="H124" s="11"/>
      <c r="I124" s="11"/>
      <c r="J124" s="11"/>
      <c r="K124" s="11"/>
    </row>
    <row r="125" spans="1:11" s="1" customFormat="1">
      <c r="A125" s="11">
        <v>123</v>
      </c>
      <c r="B125" s="11" t="s">
        <v>200</v>
      </c>
      <c r="C125" s="11">
        <v>1</v>
      </c>
      <c r="D125" s="11" t="s">
        <v>242</v>
      </c>
      <c r="E125" s="11"/>
      <c r="F125" s="11" t="s">
        <v>3907</v>
      </c>
      <c r="G125" s="11" t="s">
        <v>3908</v>
      </c>
      <c r="H125" s="11"/>
      <c r="I125" s="11"/>
      <c r="J125" s="11"/>
      <c r="K125" s="11"/>
    </row>
    <row r="126" spans="1:11" s="1" customFormat="1">
      <c r="A126" s="11">
        <v>124</v>
      </c>
      <c r="B126" s="11" t="s">
        <v>201</v>
      </c>
      <c r="C126" s="11">
        <v>8</v>
      </c>
      <c r="D126" s="11" t="s">
        <v>160</v>
      </c>
      <c r="E126" s="11" t="s">
        <v>177</v>
      </c>
      <c r="F126" s="11" t="s">
        <v>3909</v>
      </c>
      <c r="G126" s="11" t="s">
        <v>3910</v>
      </c>
      <c r="H126" s="11"/>
      <c r="I126" s="11"/>
      <c r="J126" s="11"/>
      <c r="K126" s="11"/>
    </row>
    <row r="127" spans="1:11" s="1" customFormat="1">
      <c r="A127" s="11">
        <v>125</v>
      </c>
      <c r="B127" s="11" t="s">
        <v>202</v>
      </c>
      <c r="C127" s="11">
        <v>8</v>
      </c>
      <c r="D127" s="11" t="s">
        <v>160</v>
      </c>
      <c r="E127" s="11" t="s">
        <v>177</v>
      </c>
      <c r="F127" s="11" t="s">
        <v>3911</v>
      </c>
      <c r="G127" s="11" t="s">
        <v>3912</v>
      </c>
      <c r="H127" s="11"/>
      <c r="I127" s="11"/>
      <c r="J127" s="11"/>
      <c r="K127" s="11"/>
    </row>
    <row r="128" spans="1:11" s="1" customFormat="1">
      <c r="A128" s="11">
        <v>126</v>
      </c>
      <c r="B128" s="11" t="s">
        <v>203</v>
      </c>
      <c r="C128" s="11">
        <v>8</v>
      </c>
      <c r="D128" s="11" t="s">
        <v>160</v>
      </c>
      <c r="E128" s="11" t="s">
        <v>177</v>
      </c>
      <c r="F128" s="11" t="s">
        <v>3913</v>
      </c>
      <c r="G128" s="11" t="s">
        <v>3914</v>
      </c>
      <c r="H128" s="11"/>
      <c r="I128" s="11"/>
      <c r="J128" s="11"/>
      <c r="K128" s="11"/>
    </row>
    <row r="129" spans="1:11" s="1" customFormat="1">
      <c r="A129" s="11">
        <v>127</v>
      </c>
      <c r="B129" s="11" t="s">
        <v>204</v>
      </c>
      <c r="C129" s="11">
        <v>8</v>
      </c>
      <c r="D129" s="11" t="s">
        <v>160</v>
      </c>
      <c r="E129" s="11" t="s">
        <v>177</v>
      </c>
      <c r="F129" s="11" t="s">
        <v>3915</v>
      </c>
      <c r="G129" s="11" t="s">
        <v>3916</v>
      </c>
      <c r="H129" s="11"/>
      <c r="I129" s="11"/>
      <c r="J129" s="11"/>
      <c r="K129" s="11"/>
    </row>
    <row r="130" spans="1:11" s="1" customFormat="1">
      <c r="A130" s="11">
        <v>128</v>
      </c>
      <c r="B130" s="11" t="s">
        <v>205</v>
      </c>
      <c r="C130" s="11">
        <v>16</v>
      </c>
      <c r="D130" s="11" t="s">
        <v>189</v>
      </c>
      <c r="E130" s="11" t="s">
        <v>1266</v>
      </c>
      <c r="F130" s="11" t="s">
        <v>3917</v>
      </c>
      <c r="G130" s="11" t="s">
        <v>3918</v>
      </c>
      <c r="H130" s="11"/>
      <c r="I130" s="11"/>
      <c r="J130" s="11"/>
      <c r="K130" s="11"/>
    </row>
    <row r="131" spans="1:11" s="1" customFormat="1">
      <c r="A131" s="11">
        <v>129</v>
      </c>
      <c r="B131" s="11" t="s">
        <v>206</v>
      </c>
      <c r="C131" s="11">
        <v>16</v>
      </c>
      <c r="D131" s="11" t="s">
        <v>189</v>
      </c>
      <c r="E131" s="11" t="s">
        <v>1266</v>
      </c>
      <c r="F131" s="11" t="s">
        <v>3919</v>
      </c>
      <c r="G131" s="11" t="s">
        <v>3920</v>
      </c>
      <c r="H131" s="11"/>
      <c r="I131" s="11"/>
      <c r="J131" s="11"/>
      <c r="K131" s="11"/>
    </row>
    <row r="132" spans="1:11" s="1" customFormat="1">
      <c r="A132" s="11">
        <v>130</v>
      </c>
      <c r="B132" s="11" t="s">
        <v>207</v>
      </c>
      <c r="C132" s="11">
        <v>16</v>
      </c>
      <c r="D132" s="11" t="s">
        <v>189</v>
      </c>
      <c r="E132" s="11" t="s">
        <v>1266</v>
      </c>
      <c r="F132" s="11" t="s">
        <v>3921</v>
      </c>
      <c r="G132" s="11" t="s">
        <v>3922</v>
      </c>
      <c r="H132" s="11"/>
      <c r="I132" s="11"/>
      <c r="J132" s="11"/>
      <c r="K132" s="11"/>
    </row>
    <row r="133" spans="1:11" s="1" customFormat="1">
      <c r="A133" s="11">
        <v>131</v>
      </c>
      <c r="B133" s="11" t="s">
        <v>208</v>
      </c>
      <c r="C133" s="11">
        <v>1</v>
      </c>
      <c r="D133" s="11" t="s">
        <v>242</v>
      </c>
      <c r="E133" s="11"/>
      <c r="F133" s="11" t="s">
        <v>3923</v>
      </c>
      <c r="G133" s="11" t="s">
        <v>3924</v>
      </c>
      <c r="H133" s="11"/>
      <c r="I133" s="11"/>
      <c r="J133" s="11"/>
      <c r="K133" s="11"/>
    </row>
    <row r="134" spans="1:11" s="1" customFormat="1">
      <c r="A134" s="11">
        <v>132</v>
      </c>
      <c r="B134" s="11" t="s">
        <v>209</v>
      </c>
      <c r="C134" s="11">
        <v>8</v>
      </c>
      <c r="D134" s="11" t="s">
        <v>160</v>
      </c>
      <c r="E134" s="11" t="s">
        <v>177</v>
      </c>
      <c r="F134" s="11" t="s">
        <v>3925</v>
      </c>
      <c r="G134" s="11" t="s">
        <v>3926</v>
      </c>
      <c r="H134" s="11"/>
      <c r="I134" s="11"/>
      <c r="J134" s="11"/>
      <c r="K134" s="11"/>
    </row>
    <row r="135" spans="1:11" s="1" customFormat="1">
      <c r="A135" s="11">
        <v>133</v>
      </c>
      <c r="B135" s="11" t="s">
        <v>210</v>
      </c>
      <c r="C135" s="11">
        <v>1</v>
      </c>
      <c r="D135" s="11" t="s">
        <v>242</v>
      </c>
      <c r="E135" s="11"/>
      <c r="F135" s="11" t="s">
        <v>3927</v>
      </c>
      <c r="G135" s="11" t="s">
        <v>3928</v>
      </c>
      <c r="H135" s="11"/>
      <c r="I135" s="11"/>
      <c r="J135" s="11"/>
      <c r="K135" s="11"/>
    </row>
    <row r="136" spans="1:11" s="1" customFormat="1" ht="30">
      <c r="A136" s="11">
        <v>134</v>
      </c>
      <c r="B136" s="11" t="s">
        <v>211</v>
      </c>
      <c r="C136" s="11">
        <v>5</v>
      </c>
      <c r="D136" s="11" t="s">
        <v>242</v>
      </c>
      <c r="E136" s="11"/>
      <c r="F136" s="11" t="s">
        <v>3929</v>
      </c>
      <c r="G136" s="11" t="s">
        <v>4779</v>
      </c>
      <c r="H136" s="11"/>
      <c r="I136" s="11"/>
      <c r="J136" s="11"/>
      <c r="K136" s="11"/>
    </row>
    <row r="137" spans="1:11" s="1" customFormat="1">
      <c r="A137" s="11">
        <v>135</v>
      </c>
      <c r="B137" s="11" t="s">
        <v>212</v>
      </c>
      <c r="C137" s="11">
        <v>2</v>
      </c>
      <c r="D137" s="11" t="s">
        <v>242</v>
      </c>
      <c r="E137" s="11"/>
      <c r="F137" s="11" t="s">
        <v>3930</v>
      </c>
      <c r="G137" s="11" t="s">
        <v>3931</v>
      </c>
      <c r="H137" s="11"/>
      <c r="I137" s="11"/>
      <c r="J137" s="11"/>
      <c r="K137" s="11"/>
    </row>
    <row r="138" spans="1:11" s="1" customFormat="1">
      <c r="A138" s="11">
        <v>136</v>
      </c>
      <c r="B138" s="11" t="s">
        <v>213</v>
      </c>
      <c r="C138" s="11">
        <v>2</v>
      </c>
      <c r="D138" s="11" t="s">
        <v>242</v>
      </c>
      <c r="E138" s="11"/>
      <c r="F138" s="11" t="s">
        <v>3932</v>
      </c>
      <c r="G138" s="11" t="s">
        <v>3933</v>
      </c>
      <c r="H138" s="11"/>
      <c r="I138" s="11"/>
      <c r="J138" s="11"/>
      <c r="K138" s="11"/>
    </row>
    <row r="139" spans="1:11" s="1" customFormat="1">
      <c r="A139" s="11">
        <v>137</v>
      </c>
      <c r="B139" s="11" t="s">
        <v>214</v>
      </c>
      <c r="C139" s="11">
        <v>16</v>
      </c>
      <c r="D139" s="11" t="s">
        <v>189</v>
      </c>
      <c r="E139" s="11" t="s">
        <v>1266</v>
      </c>
      <c r="F139" s="11" t="s">
        <v>3934</v>
      </c>
      <c r="G139" s="11" t="s">
        <v>3935</v>
      </c>
      <c r="H139" s="11"/>
      <c r="I139" s="11"/>
      <c r="J139" s="11"/>
      <c r="K139" s="11"/>
    </row>
    <row r="140" spans="1:11" s="1" customFormat="1">
      <c r="A140" s="11">
        <v>138</v>
      </c>
      <c r="B140" s="11" t="s">
        <v>215</v>
      </c>
      <c r="C140" s="11">
        <v>1</v>
      </c>
      <c r="D140" s="11" t="s">
        <v>242</v>
      </c>
      <c r="E140" s="11"/>
      <c r="F140" s="11" t="s">
        <v>3936</v>
      </c>
      <c r="G140" s="11" t="s">
        <v>3937</v>
      </c>
      <c r="H140" s="11"/>
      <c r="I140" s="11"/>
      <c r="J140" s="11"/>
      <c r="K140" s="11"/>
    </row>
    <row r="141" spans="1:11" s="1" customFormat="1">
      <c r="A141" s="11">
        <v>139</v>
      </c>
      <c r="B141" s="11" t="s">
        <v>216</v>
      </c>
      <c r="C141" s="11">
        <v>1</v>
      </c>
      <c r="D141" s="11" t="s">
        <v>242</v>
      </c>
      <c r="E141" s="11"/>
      <c r="F141" s="11" t="s">
        <v>3938</v>
      </c>
      <c r="G141" s="11" t="s">
        <v>3939</v>
      </c>
      <c r="H141" s="11"/>
      <c r="I141" s="11"/>
      <c r="J141" s="11"/>
      <c r="K141" s="11"/>
    </row>
    <row r="142" spans="1:11" s="1" customFormat="1">
      <c r="A142" s="11">
        <v>140</v>
      </c>
      <c r="B142" s="11" t="s">
        <v>217</v>
      </c>
      <c r="C142" s="11">
        <v>1</v>
      </c>
      <c r="D142" s="11" t="s">
        <v>242</v>
      </c>
      <c r="E142" s="11"/>
      <c r="F142" s="11" t="s">
        <v>3940</v>
      </c>
      <c r="G142" s="11" t="s">
        <v>3941</v>
      </c>
      <c r="H142" s="11"/>
      <c r="I142" s="11"/>
      <c r="J142" s="11"/>
      <c r="K142" s="11"/>
    </row>
    <row r="143" spans="1:11" s="1" customFormat="1">
      <c r="A143" s="11">
        <v>141</v>
      </c>
      <c r="B143" s="11" t="s">
        <v>218</v>
      </c>
      <c r="C143" s="11">
        <v>1</v>
      </c>
      <c r="D143" s="11" t="s">
        <v>242</v>
      </c>
      <c r="E143" s="11"/>
      <c r="F143" s="11" t="s">
        <v>3942</v>
      </c>
      <c r="G143" s="11" t="s">
        <v>3943</v>
      </c>
      <c r="H143" s="11"/>
      <c r="I143" s="11"/>
      <c r="J143" s="11"/>
      <c r="K143" s="11"/>
    </row>
    <row r="144" spans="1:11" s="1" customFormat="1">
      <c r="A144" s="11">
        <v>142</v>
      </c>
      <c r="B144" s="11" t="s">
        <v>219</v>
      </c>
      <c r="C144" s="11">
        <v>1</v>
      </c>
      <c r="D144" s="11" t="s">
        <v>242</v>
      </c>
      <c r="E144" s="11"/>
      <c r="F144" s="11" t="s">
        <v>3944</v>
      </c>
      <c r="G144" s="11" t="s">
        <v>3945</v>
      </c>
      <c r="H144" s="11"/>
      <c r="I144" s="11"/>
      <c r="J144" s="11"/>
      <c r="K144" s="11"/>
    </row>
    <row r="145" spans="1:11" s="1" customFormat="1">
      <c r="A145" s="11">
        <v>143</v>
      </c>
      <c r="B145" s="11" t="s">
        <v>220</v>
      </c>
      <c r="C145" s="11">
        <v>2</v>
      </c>
      <c r="D145" s="11" t="s">
        <v>242</v>
      </c>
      <c r="E145" s="11"/>
      <c r="F145" s="11" t="s">
        <v>3946</v>
      </c>
      <c r="G145" s="11" t="s">
        <v>3947</v>
      </c>
      <c r="H145" s="11"/>
      <c r="I145" s="11"/>
      <c r="J145" s="11"/>
      <c r="K145" s="11"/>
    </row>
    <row r="146" spans="1:11" s="1" customFormat="1">
      <c r="A146" s="11">
        <v>144</v>
      </c>
      <c r="B146" s="11" t="s">
        <v>221</v>
      </c>
      <c r="C146" s="11">
        <v>1</v>
      </c>
      <c r="D146" s="11" t="s">
        <v>242</v>
      </c>
      <c r="E146" s="11"/>
      <c r="F146" s="11" t="s">
        <v>3948</v>
      </c>
      <c r="G146" s="11" t="s">
        <v>3949</v>
      </c>
      <c r="H146" s="11"/>
      <c r="I146" s="11"/>
      <c r="J146" s="11"/>
      <c r="K146" s="11"/>
    </row>
    <row r="147" spans="1:11" s="1" customFormat="1">
      <c r="A147" s="11">
        <v>145</v>
      </c>
      <c r="B147" s="11" t="s">
        <v>222</v>
      </c>
      <c r="C147" s="11">
        <v>2</v>
      </c>
      <c r="D147" s="11" t="s">
        <v>242</v>
      </c>
      <c r="E147" s="11"/>
      <c r="F147" s="11" t="s">
        <v>3950</v>
      </c>
      <c r="G147" s="11" t="s">
        <v>3951</v>
      </c>
      <c r="H147" s="11"/>
      <c r="I147" s="11"/>
      <c r="J147" s="11"/>
      <c r="K147" s="11"/>
    </row>
    <row r="148" spans="1:11" s="1" customFormat="1">
      <c r="A148" s="11">
        <v>146</v>
      </c>
      <c r="B148" s="11" t="s">
        <v>223</v>
      </c>
      <c r="C148" s="11">
        <v>1</v>
      </c>
      <c r="D148" s="11" t="s">
        <v>242</v>
      </c>
      <c r="E148" s="11"/>
      <c r="F148" s="11" t="s">
        <v>3952</v>
      </c>
      <c r="G148" s="11" t="s">
        <v>3953</v>
      </c>
      <c r="H148" s="11"/>
      <c r="I148" s="11"/>
      <c r="J148" s="11"/>
      <c r="K148" s="11"/>
    </row>
    <row r="149" spans="1:11" s="1" customFormat="1" ht="30">
      <c r="A149" s="11">
        <v>147</v>
      </c>
      <c r="B149" s="11" t="s">
        <v>224</v>
      </c>
      <c r="C149" s="11">
        <v>1</v>
      </c>
      <c r="D149" s="11" t="s">
        <v>242</v>
      </c>
      <c r="E149" s="11"/>
      <c r="F149" s="11" t="s">
        <v>3954</v>
      </c>
      <c r="G149" s="11" t="s">
        <v>3955</v>
      </c>
      <c r="H149" s="11"/>
      <c r="I149" s="11"/>
      <c r="J149" s="11"/>
      <c r="K149" s="11"/>
    </row>
    <row r="150" spans="1:11" s="1" customFormat="1">
      <c r="A150" s="11">
        <v>148</v>
      </c>
      <c r="B150" s="11" t="s">
        <v>225</v>
      </c>
      <c r="C150" s="11">
        <v>16</v>
      </c>
      <c r="D150" s="11" t="s">
        <v>189</v>
      </c>
      <c r="E150" s="11" t="s">
        <v>1266</v>
      </c>
      <c r="F150" s="11" t="s">
        <v>3956</v>
      </c>
      <c r="G150" s="11" t="s">
        <v>3957</v>
      </c>
      <c r="H150" s="11"/>
      <c r="I150" s="11"/>
      <c r="J150" s="11"/>
      <c r="K150" s="11"/>
    </row>
    <row r="151" spans="1:11" s="1" customFormat="1">
      <c r="A151" s="11">
        <v>149</v>
      </c>
      <c r="B151" s="11" t="s">
        <v>226</v>
      </c>
      <c r="C151" s="11">
        <v>1</v>
      </c>
      <c r="D151" s="11" t="s">
        <v>242</v>
      </c>
      <c r="E151" s="11"/>
      <c r="F151" s="11" t="s">
        <v>3958</v>
      </c>
      <c r="G151" s="11" t="s">
        <v>3959</v>
      </c>
      <c r="H151" s="11"/>
      <c r="I151" s="11"/>
      <c r="J151" s="11"/>
      <c r="K151" s="11"/>
    </row>
    <row r="152" spans="1:11" s="1" customFormat="1" ht="30">
      <c r="A152" s="11">
        <v>150</v>
      </c>
      <c r="B152" s="11" t="s">
        <v>227</v>
      </c>
      <c r="C152" s="11">
        <v>1</v>
      </c>
      <c r="D152" s="11" t="s">
        <v>242</v>
      </c>
      <c r="E152" s="11"/>
      <c r="F152" s="11" t="s">
        <v>3960</v>
      </c>
      <c r="G152" s="11" t="s">
        <v>3961</v>
      </c>
      <c r="H152" s="11"/>
      <c r="I152" s="11"/>
      <c r="J152" s="11"/>
      <c r="K152" s="11"/>
    </row>
    <row r="153" spans="1:11" s="1" customFormat="1">
      <c r="A153" s="11">
        <v>151</v>
      </c>
      <c r="B153" s="11" t="s">
        <v>228</v>
      </c>
      <c r="C153" s="11">
        <v>1</v>
      </c>
      <c r="D153" s="11" t="s">
        <v>242</v>
      </c>
      <c r="E153" s="11"/>
      <c r="F153" s="11" t="s">
        <v>3962</v>
      </c>
      <c r="G153" s="11" t="s">
        <v>3963</v>
      </c>
      <c r="H153" s="11"/>
      <c r="I153" s="11"/>
      <c r="J153" s="11"/>
      <c r="K153" s="11"/>
    </row>
    <row r="154" spans="1:11" s="1" customFormat="1">
      <c r="A154" s="11">
        <v>152</v>
      </c>
      <c r="B154" s="11" t="s">
        <v>229</v>
      </c>
      <c r="C154" s="11">
        <v>1</v>
      </c>
      <c r="D154" s="11" t="s">
        <v>242</v>
      </c>
      <c r="E154" s="11"/>
      <c r="F154" s="11" t="s">
        <v>3964</v>
      </c>
      <c r="G154" s="11" t="s">
        <v>3965</v>
      </c>
      <c r="H154" s="11"/>
      <c r="I154" s="11"/>
      <c r="J154" s="11"/>
      <c r="K154" s="11"/>
    </row>
    <row r="155" spans="1:11" s="1" customFormat="1" ht="30">
      <c r="A155" s="11">
        <v>153</v>
      </c>
      <c r="B155" s="11" t="s">
        <v>230</v>
      </c>
      <c r="C155" s="11">
        <v>1</v>
      </c>
      <c r="D155" s="11" t="s">
        <v>242</v>
      </c>
      <c r="E155" s="11"/>
      <c r="F155" s="11" t="s">
        <v>3966</v>
      </c>
      <c r="G155" s="11" t="s">
        <v>3967</v>
      </c>
      <c r="H155" s="11"/>
      <c r="I155" s="11"/>
      <c r="J155" s="11"/>
      <c r="K155" s="11"/>
    </row>
    <row r="156" spans="1:11" s="1" customFormat="1">
      <c r="A156" s="11">
        <v>154</v>
      </c>
      <c r="B156" s="11" t="s">
        <v>231</v>
      </c>
      <c r="C156" s="11">
        <v>8</v>
      </c>
      <c r="D156" s="11" t="s">
        <v>242</v>
      </c>
      <c r="E156" s="11"/>
      <c r="F156" s="11" t="s">
        <v>3968</v>
      </c>
      <c r="G156" s="11" t="s">
        <v>3969</v>
      </c>
      <c r="H156" s="11"/>
      <c r="I156" s="11"/>
      <c r="J156" s="11"/>
      <c r="K156" s="11"/>
    </row>
    <row r="157" spans="1:11" s="1" customFormat="1">
      <c r="A157" s="11">
        <v>155</v>
      </c>
      <c r="B157" s="11" t="s">
        <v>232</v>
      </c>
      <c r="C157" s="11">
        <v>1</v>
      </c>
      <c r="D157" s="11" t="s">
        <v>242</v>
      </c>
      <c r="E157" s="11"/>
      <c r="F157" s="11" t="s">
        <v>3970</v>
      </c>
      <c r="G157" s="11" t="s">
        <v>3971</v>
      </c>
      <c r="H157" s="11"/>
      <c r="I157" s="11"/>
      <c r="J157" s="11"/>
      <c r="K157" s="11"/>
    </row>
    <row r="158" spans="1:11" s="1" customFormat="1">
      <c r="A158" s="11">
        <v>156</v>
      </c>
      <c r="B158" s="11" t="s">
        <v>233</v>
      </c>
      <c r="C158" s="11">
        <v>24</v>
      </c>
      <c r="D158" s="11" t="s">
        <v>242</v>
      </c>
      <c r="E158" s="11"/>
      <c r="F158" s="11" t="s">
        <v>3972</v>
      </c>
      <c r="G158" s="11" t="s">
        <v>3972</v>
      </c>
      <c r="H158" s="11"/>
      <c r="I158" s="11"/>
      <c r="J158" s="11"/>
      <c r="K158" s="11"/>
    </row>
    <row r="159" spans="1:11" s="1" customFormat="1">
      <c r="A159" s="11">
        <v>157</v>
      </c>
      <c r="B159" s="11" t="s">
        <v>234</v>
      </c>
      <c r="C159" s="11">
        <v>16</v>
      </c>
      <c r="D159" s="11" t="s">
        <v>189</v>
      </c>
      <c r="E159" s="11" t="s">
        <v>1266</v>
      </c>
      <c r="F159" s="11" t="s">
        <v>3973</v>
      </c>
      <c r="G159" s="11" t="s">
        <v>3974</v>
      </c>
      <c r="H159" s="11"/>
      <c r="I159" s="11"/>
      <c r="J159" s="11"/>
      <c r="K159" s="11"/>
    </row>
    <row r="160" spans="1:11" s="1" customFormat="1">
      <c r="A160" s="11">
        <v>158</v>
      </c>
      <c r="B160" s="11" t="s">
        <v>235</v>
      </c>
      <c r="C160" s="11">
        <v>16</v>
      </c>
      <c r="D160" s="11" t="s">
        <v>189</v>
      </c>
      <c r="E160" s="11" t="s">
        <v>1266</v>
      </c>
      <c r="F160" s="11" t="s">
        <v>3975</v>
      </c>
      <c r="G160" s="11" t="s">
        <v>3976</v>
      </c>
      <c r="H160" s="11"/>
      <c r="I160" s="11"/>
      <c r="J160" s="11"/>
      <c r="K160" s="11"/>
    </row>
    <row r="161" spans="1:11" s="1" customFormat="1">
      <c r="A161" s="11">
        <v>159</v>
      </c>
      <c r="B161" s="11" t="s">
        <v>236</v>
      </c>
      <c r="C161" s="11">
        <v>8</v>
      </c>
      <c r="D161" s="11" t="s">
        <v>160</v>
      </c>
      <c r="E161" s="11" t="s">
        <v>177</v>
      </c>
      <c r="F161" s="11" t="s">
        <v>3977</v>
      </c>
      <c r="G161" s="11" t="s">
        <v>3978</v>
      </c>
      <c r="H161" s="11"/>
      <c r="I161" s="11"/>
      <c r="J161" s="11"/>
      <c r="K161" s="11"/>
    </row>
    <row r="162" spans="1:11" s="1" customFormat="1">
      <c r="A162" s="11">
        <v>160</v>
      </c>
      <c r="B162" s="11" t="s">
        <v>237</v>
      </c>
      <c r="C162" s="11">
        <v>30</v>
      </c>
      <c r="D162" s="11" t="s">
        <v>242</v>
      </c>
      <c r="E162" s="11"/>
      <c r="F162" s="11" t="s">
        <v>3979</v>
      </c>
      <c r="G162" s="11" t="s">
        <v>3980</v>
      </c>
      <c r="H162" s="11"/>
      <c r="I162" s="11"/>
      <c r="J162" s="11"/>
      <c r="K162" s="11"/>
    </row>
    <row r="163" spans="1:11" s="1" customFormat="1">
      <c r="A163" s="11">
        <v>161</v>
      </c>
      <c r="B163" s="11" t="s">
        <v>1182</v>
      </c>
      <c r="C163" s="11">
        <v>12</v>
      </c>
      <c r="D163" s="11" t="s">
        <v>189</v>
      </c>
      <c r="E163" s="11" t="s">
        <v>5576</v>
      </c>
      <c r="F163" s="11" t="s">
        <v>1688</v>
      </c>
      <c r="G163" s="11" t="s">
        <v>1689</v>
      </c>
      <c r="H163" s="11"/>
      <c r="I163" s="11"/>
      <c r="J163" s="11"/>
      <c r="K163" s="11"/>
    </row>
    <row r="164" spans="1:11" s="1" customFormat="1" ht="30">
      <c r="A164" s="11">
        <v>162</v>
      </c>
      <c r="B164" s="11" t="s">
        <v>1183</v>
      </c>
      <c r="C164" s="11">
        <v>30</v>
      </c>
      <c r="D164" s="11" t="s">
        <v>242</v>
      </c>
      <c r="E164" s="11" t="s">
        <v>5576</v>
      </c>
      <c r="F164" s="11" t="s">
        <v>1690</v>
      </c>
      <c r="G164" s="11" t="s">
        <v>1691</v>
      </c>
      <c r="H164" s="11"/>
      <c r="I164" s="11"/>
      <c r="J164" s="11"/>
      <c r="K164" s="11"/>
    </row>
    <row r="165" spans="1:11" s="1" customFormat="1"/>
    <row r="166" spans="1:11" s="1" customFormat="1"/>
    <row r="167" spans="1:11" s="1" customFormat="1"/>
    <row r="168" spans="1:11" s="1" customFormat="1"/>
    <row r="169" spans="1:11" s="1" customFormat="1"/>
    <row r="170" spans="1:11" s="1" customFormat="1"/>
    <row r="171" spans="1:11" s="1" customFormat="1"/>
    <row r="172" spans="1:11" s="1" customFormat="1"/>
    <row r="173" spans="1:11" s="1" customFormat="1"/>
    <row r="174" spans="1:11" s="1" customFormat="1"/>
    <row r="175" spans="1:11" s="1" customFormat="1"/>
    <row r="176" spans="1:11"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row r="252" s="1" customFormat="1"/>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8A4C2-DC8D-4D9F-A742-B5239A2FA1FA}">
  <sheetPr codeName="Sheet52"/>
  <dimension ref="A1:XFA247"/>
  <sheetViews>
    <sheetView workbookViewId="0">
      <selection activeCell="C22" sqref="C22"/>
    </sheetView>
  </sheetViews>
  <sheetFormatPr defaultColWidth="32.140625" defaultRowHeight="15"/>
  <cols>
    <col min="1" max="1" width="7.140625" style="44" bestFit="1" customWidth="1"/>
    <col min="2" max="2" width="28.140625" style="44" bestFit="1" customWidth="1"/>
    <col min="3" max="3" width="4.5703125" style="44" bestFit="1" customWidth="1"/>
    <col min="4" max="4" width="9" style="44" bestFit="1" customWidth="1"/>
    <col min="5" max="5" width="24.42578125" style="44" bestFit="1" customWidth="1"/>
    <col min="6" max="6" width="48.140625" style="44" bestFit="1" customWidth="1"/>
    <col min="7" max="7" width="57.42578125" style="44" customWidth="1"/>
    <col min="8" max="8" width="5.140625" style="2" bestFit="1" customWidth="1"/>
    <col min="9" max="16380" width="32.140625" style="2"/>
    <col min="16381" max="16381" width="1.7109375" style="2" customWidth="1"/>
    <col min="16382" max="16384" width="17.7109375" style="44" customWidth="1"/>
  </cols>
  <sheetData>
    <row r="1" spans="1:8" s="44" customFormat="1">
      <c r="A1" s="43" t="s">
        <v>238</v>
      </c>
      <c r="B1" s="43"/>
      <c r="C1" s="43"/>
      <c r="D1" s="43"/>
      <c r="E1" s="43"/>
      <c r="F1" s="43"/>
      <c r="G1" s="43"/>
      <c r="H1" s="43"/>
    </row>
    <row r="2" spans="1:8" s="44" customFormat="1">
      <c r="A2" s="10" t="s">
        <v>350</v>
      </c>
      <c r="B2" s="10" t="s">
        <v>156</v>
      </c>
      <c r="C2" s="10" t="s">
        <v>157</v>
      </c>
      <c r="D2" s="10" t="s">
        <v>239</v>
      </c>
      <c r="E2" s="10" t="s">
        <v>159</v>
      </c>
      <c r="F2" s="10" t="s">
        <v>1684</v>
      </c>
      <c r="G2" s="10" t="s">
        <v>1685</v>
      </c>
      <c r="H2" s="10" t="s">
        <v>5371</v>
      </c>
    </row>
    <row r="3" spans="1:8" s="44" customFormat="1">
      <c r="A3" s="42">
        <v>1</v>
      </c>
      <c r="B3" s="42" t="s">
        <v>240</v>
      </c>
      <c r="C3" s="42">
        <v>8</v>
      </c>
      <c r="D3" s="42" t="s">
        <v>160</v>
      </c>
      <c r="E3" s="42" t="s">
        <v>177</v>
      </c>
      <c r="F3" s="42" t="s">
        <v>1686</v>
      </c>
      <c r="G3" s="42" t="s">
        <v>1687</v>
      </c>
      <c r="H3" s="42" t="s">
        <v>5382</v>
      </c>
    </row>
    <row r="4" spans="1:8" s="44" customFormat="1" ht="105">
      <c r="A4" s="42">
        <v>2</v>
      </c>
      <c r="B4" s="42" t="s">
        <v>241</v>
      </c>
      <c r="C4" s="42">
        <v>14</v>
      </c>
      <c r="D4" s="42" t="s">
        <v>242</v>
      </c>
      <c r="E4" s="42"/>
      <c r="F4" s="42" t="s">
        <v>2389</v>
      </c>
      <c r="G4" s="42" t="s">
        <v>5381</v>
      </c>
      <c r="H4" s="42" t="s">
        <v>5384</v>
      </c>
    </row>
    <row r="5" spans="1:8" s="44" customFormat="1" ht="180">
      <c r="A5" s="42">
        <v>3</v>
      </c>
      <c r="B5" s="42" t="s">
        <v>243</v>
      </c>
      <c r="C5" s="42">
        <v>2</v>
      </c>
      <c r="D5" s="42" t="s">
        <v>242</v>
      </c>
      <c r="E5" s="42"/>
      <c r="F5" s="42" t="s">
        <v>3693</v>
      </c>
      <c r="G5" s="42" t="s">
        <v>3694</v>
      </c>
      <c r="H5" s="42" t="s">
        <v>1291</v>
      </c>
    </row>
    <row r="6" spans="1:8" s="44" customFormat="1" ht="30">
      <c r="A6" s="42">
        <v>4</v>
      </c>
      <c r="B6" s="42" t="s">
        <v>244</v>
      </c>
      <c r="C6" s="42">
        <v>30</v>
      </c>
      <c r="D6" s="42" t="s">
        <v>242</v>
      </c>
      <c r="E6" s="42"/>
      <c r="F6" s="42" t="s">
        <v>3695</v>
      </c>
      <c r="G6" s="42" t="s">
        <v>3696</v>
      </c>
      <c r="H6" s="42"/>
    </row>
    <row r="7" spans="1:8" s="44" customFormat="1" ht="90">
      <c r="A7" s="42">
        <v>5</v>
      </c>
      <c r="B7" s="42" t="s">
        <v>246</v>
      </c>
      <c r="C7" s="42">
        <v>15</v>
      </c>
      <c r="D7" s="42" t="s">
        <v>189</v>
      </c>
      <c r="E7" s="42" t="s">
        <v>1680</v>
      </c>
      <c r="F7" s="42" t="s">
        <v>3698</v>
      </c>
      <c r="G7" s="42" t="s">
        <v>3699</v>
      </c>
      <c r="H7" s="42"/>
    </row>
    <row r="8" spans="1:8" s="44" customFormat="1" ht="60">
      <c r="A8" s="42">
        <v>6</v>
      </c>
      <c r="B8" s="42" t="s">
        <v>247</v>
      </c>
      <c r="C8" s="42">
        <v>15</v>
      </c>
      <c r="D8" s="42" t="s">
        <v>189</v>
      </c>
      <c r="E8" s="42" t="s">
        <v>1680</v>
      </c>
      <c r="F8" s="42" t="s">
        <v>3700</v>
      </c>
      <c r="G8" s="42" t="s">
        <v>3701</v>
      </c>
      <c r="H8" s="42"/>
    </row>
    <row r="9" spans="1:8" s="44" customFormat="1" ht="105">
      <c r="A9" s="42">
        <v>7</v>
      </c>
      <c r="B9" s="42" t="s">
        <v>1621</v>
      </c>
      <c r="C9" s="42">
        <v>15</v>
      </c>
      <c r="D9" s="42" t="s">
        <v>189</v>
      </c>
      <c r="E9" s="42" t="s">
        <v>1680</v>
      </c>
      <c r="F9" s="42" t="s">
        <v>3702</v>
      </c>
      <c r="G9" s="42" t="s">
        <v>3703</v>
      </c>
      <c r="H9" s="42"/>
    </row>
    <row r="10" spans="1:8" s="44" customFormat="1" ht="120">
      <c r="A10" s="42">
        <v>8</v>
      </c>
      <c r="B10" s="42" t="s">
        <v>249</v>
      </c>
      <c r="C10" s="42">
        <v>15</v>
      </c>
      <c r="D10" s="42" t="s">
        <v>189</v>
      </c>
      <c r="E10" s="42" t="s">
        <v>1680</v>
      </c>
      <c r="F10" s="42" t="s">
        <v>3704</v>
      </c>
      <c r="G10" s="42" t="s">
        <v>3705</v>
      </c>
      <c r="H10" s="42"/>
    </row>
    <row r="11" spans="1:8" s="44" customFormat="1" ht="135">
      <c r="A11" s="42">
        <v>9</v>
      </c>
      <c r="B11" s="42" t="s">
        <v>1622</v>
      </c>
      <c r="C11" s="42">
        <v>15</v>
      </c>
      <c r="D11" s="42" t="s">
        <v>189</v>
      </c>
      <c r="E11" s="42" t="s">
        <v>1680</v>
      </c>
      <c r="F11" s="42"/>
      <c r="G11" s="42" t="s">
        <v>4298</v>
      </c>
      <c r="H11" s="42"/>
    </row>
    <row r="12" spans="1:8" s="44" customFormat="1" ht="135">
      <c r="A12" s="42">
        <v>10</v>
      </c>
      <c r="B12" s="42" t="s">
        <v>1623</v>
      </c>
      <c r="C12" s="42">
        <v>15</v>
      </c>
      <c r="D12" s="42" t="s">
        <v>189</v>
      </c>
      <c r="E12" s="42" t="s">
        <v>1680</v>
      </c>
      <c r="F12" s="42"/>
      <c r="G12" s="42" t="s">
        <v>4300</v>
      </c>
      <c r="H12" s="42"/>
    </row>
    <row r="13" spans="1:8" s="44" customFormat="1" ht="135">
      <c r="A13" s="42">
        <v>11</v>
      </c>
      <c r="B13" s="42" t="s">
        <v>1624</v>
      </c>
      <c r="C13" s="42">
        <v>15</v>
      </c>
      <c r="D13" s="42" t="s">
        <v>189</v>
      </c>
      <c r="E13" s="42" t="s">
        <v>1680</v>
      </c>
      <c r="F13" s="42"/>
      <c r="G13" s="42" t="s">
        <v>4299</v>
      </c>
      <c r="H13" s="42"/>
    </row>
    <row r="14" spans="1:8" s="44" customFormat="1" ht="75">
      <c r="A14" s="42">
        <v>12</v>
      </c>
      <c r="B14" s="42" t="s">
        <v>254</v>
      </c>
      <c r="C14" s="42">
        <v>15</v>
      </c>
      <c r="D14" s="42" t="s">
        <v>189</v>
      </c>
      <c r="E14" s="42" t="s">
        <v>1680</v>
      </c>
      <c r="F14" s="42" t="s">
        <v>2529</v>
      </c>
      <c r="G14" s="42" t="s">
        <v>4296</v>
      </c>
      <c r="H14" s="42"/>
    </row>
    <row r="15" spans="1:8" s="44" customFormat="1" ht="75">
      <c r="A15" s="42">
        <v>13</v>
      </c>
      <c r="B15" s="42" t="s">
        <v>256</v>
      </c>
      <c r="C15" s="42">
        <v>15</v>
      </c>
      <c r="D15" s="42" t="s">
        <v>189</v>
      </c>
      <c r="E15" s="42" t="s">
        <v>1680</v>
      </c>
      <c r="F15" s="42" t="s">
        <v>3716</v>
      </c>
      <c r="G15" s="42" t="s">
        <v>4297</v>
      </c>
      <c r="H15" s="42"/>
    </row>
    <row r="16" spans="1:8" s="44" customFormat="1" ht="75">
      <c r="A16" s="42">
        <v>14</v>
      </c>
      <c r="B16" s="42" t="s">
        <v>1625</v>
      </c>
      <c r="C16" s="42">
        <v>15</v>
      </c>
      <c r="D16" s="42" t="s">
        <v>189</v>
      </c>
      <c r="E16" s="42" t="s">
        <v>1680</v>
      </c>
      <c r="F16" s="42" t="s">
        <v>4302</v>
      </c>
      <c r="G16" s="42" t="s">
        <v>4301</v>
      </c>
      <c r="H16" s="42"/>
    </row>
    <row r="17" spans="1:9" s="44" customFormat="1" ht="90">
      <c r="A17" s="42">
        <v>15</v>
      </c>
      <c r="B17" s="42" t="s">
        <v>1626</v>
      </c>
      <c r="C17" s="42">
        <v>15</v>
      </c>
      <c r="D17" s="42" t="s">
        <v>189</v>
      </c>
      <c r="E17" s="42" t="s">
        <v>1680</v>
      </c>
      <c r="F17" s="42" t="s">
        <v>4303</v>
      </c>
      <c r="G17" s="42" t="s">
        <v>4304</v>
      </c>
      <c r="H17" s="42"/>
    </row>
    <row r="18" spans="1:9" s="44" customFormat="1" ht="120">
      <c r="A18" s="42">
        <v>16</v>
      </c>
      <c r="B18" s="42" t="s">
        <v>1627</v>
      </c>
      <c r="C18" s="42">
        <v>15</v>
      </c>
      <c r="D18" s="42" t="s">
        <v>189</v>
      </c>
      <c r="E18" s="42" t="s">
        <v>1680</v>
      </c>
      <c r="F18" s="42" t="s">
        <v>4305</v>
      </c>
      <c r="G18" s="42" t="s">
        <v>4306</v>
      </c>
      <c r="H18" s="42"/>
    </row>
    <row r="19" spans="1:9" s="44" customFormat="1" ht="60">
      <c r="A19" s="42">
        <v>17</v>
      </c>
      <c r="B19" s="42" t="s">
        <v>1016</v>
      </c>
      <c r="C19" s="42">
        <v>5</v>
      </c>
      <c r="D19" s="42" t="s">
        <v>189</v>
      </c>
      <c r="E19" s="42"/>
      <c r="F19" s="42" t="s">
        <v>4308</v>
      </c>
      <c r="G19" s="42" t="s">
        <v>4307</v>
      </c>
      <c r="H19" s="42"/>
    </row>
    <row r="20" spans="1:9" s="44" customFormat="1" ht="60">
      <c r="A20" s="42">
        <v>18</v>
      </c>
      <c r="B20" s="42" t="s">
        <v>1628</v>
      </c>
      <c r="C20" s="42">
        <v>5</v>
      </c>
      <c r="D20" s="42" t="s">
        <v>189</v>
      </c>
      <c r="E20" s="42"/>
      <c r="F20" s="42" t="s">
        <v>4309</v>
      </c>
      <c r="G20" s="42" t="s">
        <v>4310</v>
      </c>
      <c r="H20" s="42"/>
    </row>
    <row r="21" spans="1:9" s="44" customFormat="1" ht="150">
      <c r="A21" s="42">
        <v>19</v>
      </c>
      <c r="B21" s="42" t="s">
        <v>1629</v>
      </c>
      <c r="C21" s="42">
        <v>9</v>
      </c>
      <c r="D21" s="42" t="s">
        <v>189</v>
      </c>
      <c r="E21" s="42" t="s">
        <v>1683</v>
      </c>
      <c r="F21" s="42" t="s">
        <v>4311</v>
      </c>
      <c r="G21" s="42" t="s">
        <v>4312</v>
      </c>
      <c r="H21" s="42"/>
    </row>
    <row r="22" spans="1:9" s="44" customFormat="1" ht="75">
      <c r="A22" s="59">
        <v>20</v>
      </c>
      <c r="B22" s="59" t="s">
        <v>1630</v>
      </c>
      <c r="C22" s="59">
        <v>14</v>
      </c>
      <c r="D22" s="59" t="s">
        <v>242</v>
      </c>
      <c r="E22" s="59"/>
      <c r="F22" s="59" t="s">
        <v>4313</v>
      </c>
      <c r="G22" s="59" t="s">
        <v>4314</v>
      </c>
      <c r="H22" s="59"/>
      <c r="I22" s="31" t="s">
        <v>7123</v>
      </c>
    </row>
    <row r="23" spans="1:9" s="44" customFormat="1" ht="75">
      <c r="A23" s="59">
        <v>21</v>
      </c>
      <c r="B23" s="59" t="s">
        <v>1631</v>
      </c>
      <c r="C23" s="59">
        <v>14</v>
      </c>
      <c r="D23" s="59" t="s">
        <v>242</v>
      </c>
      <c r="E23" s="59"/>
      <c r="F23" s="59" t="s">
        <v>4316</v>
      </c>
      <c r="G23" s="59" t="s">
        <v>4315</v>
      </c>
      <c r="H23" s="59"/>
      <c r="I23" s="31" t="s">
        <v>7123</v>
      </c>
    </row>
    <row r="24" spans="1:9" s="44" customFormat="1" ht="60">
      <c r="A24" s="42">
        <v>22</v>
      </c>
      <c r="B24" s="42" t="s">
        <v>1632</v>
      </c>
      <c r="C24" s="42">
        <v>5</v>
      </c>
      <c r="D24" s="42" t="s">
        <v>189</v>
      </c>
      <c r="E24" s="42"/>
      <c r="F24" s="42" t="s">
        <v>4317</v>
      </c>
      <c r="G24" s="42" t="s">
        <v>4318</v>
      </c>
      <c r="H24" s="42"/>
    </row>
    <row r="25" spans="1:9" s="44" customFormat="1" ht="165">
      <c r="A25" s="42">
        <v>23</v>
      </c>
      <c r="B25" s="42" t="s">
        <v>688</v>
      </c>
      <c r="C25" s="42">
        <v>2</v>
      </c>
      <c r="D25" s="42" t="s">
        <v>189</v>
      </c>
      <c r="E25" s="42"/>
      <c r="F25" s="42" t="s">
        <v>4320</v>
      </c>
      <c r="G25" s="42" t="s">
        <v>4321</v>
      </c>
      <c r="H25" s="42"/>
    </row>
    <row r="26" spans="1:9" s="44" customFormat="1" ht="165">
      <c r="A26" s="42">
        <v>24</v>
      </c>
      <c r="B26" s="42" t="s">
        <v>1633</v>
      </c>
      <c r="C26" s="42">
        <v>2</v>
      </c>
      <c r="D26" s="42" t="s">
        <v>189</v>
      </c>
      <c r="E26" s="42"/>
      <c r="F26" s="42" t="s">
        <v>4319</v>
      </c>
      <c r="G26" s="42" t="s">
        <v>4322</v>
      </c>
      <c r="H26" s="42"/>
    </row>
    <row r="27" spans="1:9" s="44" customFormat="1" ht="150">
      <c r="A27" s="42">
        <v>25</v>
      </c>
      <c r="B27" s="42" t="s">
        <v>690</v>
      </c>
      <c r="C27" s="42">
        <v>3</v>
      </c>
      <c r="D27" s="42" t="s">
        <v>189</v>
      </c>
      <c r="E27" s="42"/>
      <c r="F27" s="42" t="s">
        <v>4324</v>
      </c>
      <c r="G27" s="42" t="s">
        <v>4323</v>
      </c>
      <c r="H27" s="42"/>
    </row>
    <row r="28" spans="1:9" s="44" customFormat="1" ht="135">
      <c r="A28" s="42">
        <v>26</v>
      </c>
      <c r="B28" s="42" t="s">
        <v>1634</v>
      </c>
      <c r="C28" s="42">
        <v>12</v>
      </c>
      <c r="D28" s="42" t="s">
        <v>189</v>
      </c>
      <c r="E28" s="42"/>
      <c r="F28" s="42" t="s">
        <v>4326</v>
      </c>
      <c r="G28" s="42" t="s">
        <v>4325</v>
      </c>
      <c r="H28" s="42"/>
    </row>
    <row r="29" spans="1:9" s="44" customFormat="1" ht="45">
      <c r="A29" s="42">
        <v>27</v>
      </c>
      <c r="B29" s="42" t="s">
        <v>1635</v>
      </c>
      <c r="C29" s="42">
        <v>13</v>
      </c>
      <c r="D29" s="42" t="s">
        <v>189</v>
      </c>
      <c r="E29" s="42" t="s">
        <v>1681</v>
      </c>
      <c r="F29" s="42" t="s">
        <v>4327</v>
      </c>
      <c r="G29" s="42" t="s">
        <v>4328</v>
      </c>
      <c r="H29" s="42"/>
    </row>
    <row r="30" spans="1:9" s="44" customFormat="1" ht="225">
      <c r="A30" s="42">
        <v>28</v>
      </c>
      <c r="B30" s="42" t="s">
        <v>4348</v>
      </c>
      <c r="C30" s="42">
        <v>5</v>
      </c>
      <c r="D30" s="42" t="s">
        <v>242</v>
      </c>
      <c r="E30" s="42"/>
      <c r="F30" s="42" t="s">
        <v>4330</v>
      </c>
      <c r="G30" s="42" t="s">
        <v>4329</v>
      </c>
      <c r="H30" s="42"/>
    </row>
    <row r="31" spans="1:9" s="44" customFormat="1" ht="75">
      <c r="A31" s="42">
        <v>29</v>
      </c>
      <c r="B31" s="42" t="s">
        <v>4349</v>
      </c>
      <c r="C31" s="42">
        <v>5</v>
      </c>
      <c r="D31" s="42" t="s">
        <v>242</v>
      </c>
      <c r="E31" s="42"/>
      <c r="F31" s="42" t="s">
        <v>4331</v>
      </c>
      <c r="G31" s="42" t="s">
        <v>4332</v>
      </c>
      <c r="H31" s="42"/>
    </row>
    <row r="32" spans="1:9" s="44" customFormat="1" ht="135">
      <c r="A32" s="42">
        <v>30</v>
      </c>
      <c r="B32" s="42" t="s">
        <v>4350</v>
      </c>
      <c r="C32" s="42">
        <v>5</v>
      </c>
      <c r="D32" s="42" t="s">
        <v>242</v>
      </c>
      <c r="E32" s="42"/>
      <c r="F32" s="42" t="s">
        <v>4333</v>
      </c>
      <c r="G32" s="42" t="s">
        <v>4334</v>
      </c>
      <c r="H32" s="42"/>
    </row>
    <row r="33" spans="1:9" s="44" customFormat="1" ht="135">
      <c r="A33" s="42">
        <v>31</v>
      </c>
      <c r="B33" s="42" t="s">
        <v>4351</v>
      </c>
      <c r="C33" s="42">
        <v>5</v>
      </c>
      <c r="D33" s="42" t="s">
        <v>242</v>
      </c>
      <c r="E33" s="42"/>
      <c r="F33" s="42" t="s">
        <v>4335</v>
      </c>
      <c r="G33" s="42" t="s">
        <v>4336</v>
      </c>
      <c r="H33" s="42"/>
    </row>
    <row r="34" spans="1:9" s="44" customFormat="1" ht="45">
      <c r="A34" s="42">
        <v>32</v>
      </c>
      <c r="B34" s="42" t="s">
        <v>4352</v>
      </c>
      <c r="C34" s="42">
        <v>5</v>
      </c>
      <c r="D34" s="42" t="s">
        <v>242</v>
      </c>
      <c r="E34" s="42"/>
      <c r="F34" s="42" t="s">
        <v>4337</v>
      </c>
      <c r="G34" s="42" t="s">
        <v>4338</v>
      </c>
      <c r="H34" s="42"/>
    </row>
    <row r="35" spans="1:9" s="44" customFormat="1" ht="45">
      <c r="A35" s="42">
        <v>33</v>
      </c>
      <c r="B35" s="42" t="s">
        <v>4353</v>
      </c>
      <c r="C35" s="42">
        <v>5</v>
      </c>
      <c r="D35" s="42" t="s">
        <v>242</v>
      </c>
      <c r="E35" s="42"/>
      <c r="F35" s="42" t="s">
        <v>4339</v>
      </c>
      <c r="G35" s="42" t="s">
        <v>4815</v>
      </c>
      <c r="H35" s="42"/>
    </row>
    <row r="36" spans="1:9" s="44" customFormat="1" ht="225">
      <c r="A36" s="42">
        <v>34</v>
      </c>
      <c r="B36" s="42" t="s">
        <v>4354</v>
      </c>
      <c r="C36" s="42">
        <v>5</v>
      </c>
      <c r="D36" s="42" t="s">
        <v>242</v>
      </c>
      <c r="E36" s="42"/>
      <c r="F36" s="42" t="s">
        <v>4341</v>
      </c>
      <c r="G36" s="42" t="s">
        <v>4340</v>
      </c>
      <c r="H36" s="42"/>
    </row>
    <row r="37" spans="1:9" s="44" customFormat="1" ht="60">
      <c r="A37" s="42">
        <v>35</v>
      </c>
      <c r="B37" s="42" t="s">
        <v>4355</v>
      </c>
      <c r="C37" s="42">
        <v>5</v>
      </c>
      <c r="D37" s="42" t="s">
        <v>242</v>
      </c>
      <c r="E37" s="42"/>
      <c r="F37" s="42" t="s">
        <v>4343</v>
      </c>
      <c r="G37" s="42" t="s">
        <v>4342</v>
      </c>
      <c r="H37" s="42"/>
    </row>
    <row r="38" spans="1:9" s="44" customFormat="1" ht="150">
      <c r="A38" s="42">
        <v>36</v>
      </c>
      <c r="B38" s="42" t="s">
        <v>4356</v>
      </c>
      <c r="C38" s="42">
        <v>5</v>
      </c>
      <c r="D38" s="42" t="s">
        <v>242</v>
      </c>
      <c r="E38" s="42"/>
      <c r="F38" s="42" t="s">
        <v>4344</v>
      </c>
      <c r="G38" s="42" t="s">
        <v>4345</v>
      </c>
      <c r="H38" s="42"/>
    </row>
    <row r="39" spans="1:9" s="44" customFormat="1" ht="105">
      <c r="A39" s="59">
        <v>37</v>
      </c>
      <c r="B39" s="59" t="s">
        <v>4357</v>
      </c>
      <c r="C39" s="59">
        <v>5</v>
      </c>
      <c r="D39" s="59" t="s">
        <v>242</v>
      </c>
      <c r="E39" s="59"/>
      <c r="F39" s="59" t="s">
        <v>4346</v>
      </c>
      <c r="G39" s="59" t="s">
        <v>3857</v>
      </c>
      <c r="H39" s="59"/>
      <c r="I39" s="31" t="s">
        <v>6994</v>
      </c>
    </row>
    <row r="40" spans="1:9" s="44" customFormat="1" ht="60">
      <c r="A40" s="59">
        <v>38</v>
      </c>
      <c r="B40" s="59" t="s">
        <v>4358</v>
      </c>
      <c r="C40" s="59">
        <v>5</v>
      </c>
      <c r="D40" s="59" t="s">
        <v>242</v>
      </c>
      <c r="E40" s="59"/>
      <c r="F40" s="59" t="s">
        <v>4347</v>
      </c>
      <c r="G40" s="59" t="s">
        <v>3859</v>
      </c>
      <c r="H40" s="59"/>
      <c r="I40" s="31" t="s">
        <v>6994</v>
      </c>
    </row>
    <row r="41" spans="1:9" s="44" customFormat="1" ht="60">
      <c r="A41" s="59">
        <v>39</v>
      </c>
      <c r="B41" s="59" t="s">
        <v>4359</v>
      </c>
      <c r="C41" s="59">
        <v>5</v>
      </c>
      <c r="D41" s="59" t="s">
        <v>242</v>
      </c>
      <c r="E41" s="59"/>
      <c r="F41" s="59" t="s">
        <v>3860</v>
      </c>
      <c r="G41" s="59" t="s">
        <v>3861</v>
      </c>
      <c r="H41" s="59"/>
      <c r="I41" s="31"/>
    </row>
    <row r="42" spans="1:9" s="44" customFormat="1" ht="195">
      <c r="A42" s="59">
        <v>40</v>
      </c>
      <c r="B42" s="59" t="s">
        <v>1636</v>
      </c>
      <c r="C42" s="59">
        <v>14</v>
      </c>
      <c r="D42" s="59" t="s">
        <v>242</v>
      </c>
      <c r="E42" s="59"/>
      <c r="F42" s="59" t="s">
        <v>4276</v>
      </c>
      <c r="G42" s="59" t="s">
        <v>4360</v>
      </c>
      <c r="H42" s="59"/>
      <c r="I42" s="31" t="s">
        <v>7124</v>
      </c>
    </row>
    <row r="43" spans="1:9" s="44" customFormat="1" ht="30">
      <c r="A43" s="59">
        <v>41</v>
      </c>
      <c r="B43" s="59" t="s">
        <v>1637</v>
      </c>
      <c r="C43" s="59">
        <v>14</v>
      </c>
      <c r="D43" s="59" t="s">
        <v>242</v>
      </c>
      <c r="E43" s="59"/>
      <c r="F43" s="59" t="s">
        <v>4277</v>
      </c>
      <c r="G43" s="59" t="s">
        <v>4361</v>
      </c>
      <c r="H43" s="59"/>
      <c r="I43" s="31" t="s">
        <v>7124</v>
      </c>
    </row>
    <row r="44" spans="1:9" s="44" customFormat="1" ht="30">
      <c r="A44" s="59">
        <v>42</v>
      </c>
      <c r="B44" s="59" t="s">
        <v>1638</v>
      </c>
      <c r="C44" s="59">
        <v>14</v>
      </c>
      <c r="D44" s="59" t="s">
        <v>242</v>
      </c>
      <c r="E44" s="59"/>
      <c r="F44" s="59" t="s">
        <v>4278</v>
      </c>
      <c r="G44" s="59" t="s">
        <v>4361</v>
      </c>
      <c r="H44" s="59"/>
      <c r="I44" s="31" t="s">
        <v>7124</v>
      </c>
    </row>
    <row r="45" spans="1:9" s="44" customFormat="1" ht="30">
      <c r="A45" s="59">
        <v>43</v>
      </c>
      <c r="B45" s="59" t="s">
        <v>1639</v>
      </c>
      <c r="C45" s="59">
        <v>14</v>
      </c>
      <c r="D45" s="59" t="s">
        <v>242</v>
      </c>
      <c r="E45" s="59"/>
      <c r="F45" s="59" t="s">
        <v>4279</v>
      </c>
      <c r="G45" s="59" t="s">
        <v>4361</v>
      </c>
      <c r="H45" s="59"/>
      <c r="I45" s="31" t="s">
        <v>7124</v>
      </c>
    </row>
    <row r="46" spans="1:9" s="44" customFormat="1" ht="30">
      <c r="A46" s="59">
        <v>44</v>
      </c>
      <c r="B46" s="59" t="s">
        <v>1640</v>
      </c>
      <c r="C46" s="59">
        <v>14</v>
      </c>
      <c r="D46" s="59" t="s">
        <v>242</v>
      </c>
      <c r="E46" s="59"/>
      <c r="F46" s="59" t="s">
        <v>4280</v>
      </c>
      <c r="G46" s="59" t="s">
        <v>4361</v>
      </c>
      <c r="H46" s="59"/>
      <c r="I46" s="31" t="s">
        <v>7124</v>
      </c>
    </row>
    <row r="47" spans="1:9" s="44" customFormat="1" ht="30">
      <c r="A47" s="59">
        <v>45</v>
      </c>
      <c r="B47" s="59" t="s">
        <v>1641</v>
      </c>
      <c r="C47" s="59">
        <v>14</v>
      </c>
      <c r="D47" s="59" t="s">
        <v>242</v>
      </c>
      <c r="E47" s="59"/>
      <c r="F47" s="59" t="s">
        <v>4281</v>
      </c>
      <c r="G47" s="59" t="s">
        <v>4361</v>
      </c>
      <c r="H47" s="59"/>
      <c r="I47" s="31" t="s">
        <v>7124</v>
      </c>
    </row>
    <row r="48" spans="1:9" s="44" customFormat="1" ht="165">
      <c r="A48" s="59">
        <v>46</v>
      </c>
      <c r="B48" s="59" t="s">
        <v>1642</v>
      </c>
      <c r="C48" s="59">
        <v>14</v>
      </c>
      <c r="D48" s="59" t="s">
        <v>242</v>
      </c>
      <c r="E48" s="59"/>
      <c r="F48" s="59" t="s">
        <v>4284</v>
      </c>
      <c r="G48" s="59" t="s">
        <v>4362</v>
      </c>
      <c r="H48" s="59"/>
      <c r="I48" s="31" t="s">
        <v>6734</v>
      </c>
    </row>
    <row r="49" spans="1:9" s="44" customFormat="1" ht="30">
      <c r="A49" s="59">
        <v>47</v>
      </c>
      <c r="B49" s="59" t="s">
        <v>1643</v>
      </c>
      <c r="C49" s="59">
        <v>14</v>
      </c>
      <c r="D49" s="59" t="s">
        <v>242</v>
      </c>
      <c r="E49" s="59"/>
      <c r="F49" s="59" t="s">
        <v>4363</v>
      </c>
      <c r="G49" s="59" t="s">
        <v>4364</v>
      </c>
      <c r="H49" s="59"/>
      <c r="I49" s="31" t="s">
        <v>7124</v>
      </c>
    </row>
    <row r="50" spans="1:9" s="44" customFormat="1" ht="30">
      <c r="A50" s="59">
        <v>48</v>
      </c>
      <c r="B50" s="59" t="s">
        <v>1644</v>
      </c>
      <c r="C50" s="59">
        <v>14</v>
      </c>
      <c r="D50" s="59" t="s">
        <v>242</v>
      </c>
      <c r="E50" s="59"/>
      <c r="F50" s="59" t="s">
        <v>4287</v>
      </c>
      <c r="G50" s="59" t="s">
        <v>4364</v>
      </c>
      <c r="H50" s="59"/>
      <c r="I50" s="31" t="s">
        <v>7124</v>
      </c>
    </row>
    <row r="51" spans="1:9" s="44" customFormat="1" ht="30">
      <c r="A51" s="59">
        <v>49</v>
      </c>
      <c r="B51" s="59" t="s">
        <v>1645</v>
      </c>
      <c r="C51" s="59">
        <v>14</v>
      </c>
      <c r="D51" s="59" t="s">
        <v>242</v>
      </c>
      <c r="E51" s="59"/>
      <c r="F51" s="59" t="s">
        <v>4288</v>
      </c>
      <c r="G51" s="59" t="s">
        <v>4364</v>
      </c>
      <c r="H51" s="59"/>
      <c r="I51" s="31" t="s">
        <v>7124</v>
      </c>
    </row>
    <row r="52" spans="1:9" s="44" customFormat="1" ht="30">
      <c r="A52" s="59">
        <v>50</v>
      </c>
      <c r="B52" s="59" t="s">
        <v>1646</v>
      </c>
      <c r="C52" s="59">
        <v>14</v>
      </c>
      <c r="D52" s="59" t="s">
        <v>242</v>
      </c>
      <c r="E52" s="59"/>
      <c r="F52" s="59" t="s">
        <v>4289</v>
      </c>
      <c r="G52" s="59" t="s">
        <v>4364</v>
      </c>
      <c r="H52" s="59"/>
      <c r="I52" s="31" t="s">
        <v>7124</v>
      </c>
    </row>
    <row r="53" spans="1:9" s="44" customFormat="1" ht="30">
      <c r="A53" s="59">
        <v>51</v>
      </c>
      <c r="B53" s="59" t="s">
        <v>1647</v>
      </c>
      <c r="C53" s="59">
        <v>14</v>
      </c>
      <c r="D53" s="59" t="s">
        <v>242</v>
      </c>
      <c r="E53" s="59"/>
      <c r="F53" s="59" t="s">
        <v>4290</v>
      </c>
      <c r="G53" s="59" t="s">
        <v>4364</v>
      </c>
      <c r="H53" s="59"/>
      <c r="I53" s="31" t="s">
        <v>7124</v>
      </c>
    </row>
    <row r="54" spans="1:9" s="44" customFormat="1" ht="135">
      <c r="A54" s="42">
        <v>52</v>
      </c>
      <c r="B54" s="42" t="s">
        <v>540</v>
      </c>
      <c r="C54" s="42">
        <v>2</v>
      </c>
      <c r="D54" s="42" t="s">
        <v>242</v>
      </c>
      <c r="E54" s="42"/>
      <c r="F54" s="42" t="s">
        <v>4365</v>
      </c>
      <c r="G54" s="42" t="s">
        <v>4366</v>
      </c>
      <c r="H54" s="42"/>
    </row>
    <row r="55" spans="1:9" s="44" customFormat="1" ht="30">
      <c r="A55" s="42">
        <v>53</v>
      </c>
      <c r="B55" s="42" t="s">
        <v>1648</v>
      </c>
      <c r="C55" s="42">
        <v>30</v>
      </c>
      <c r="D55" s="42" t="s">
        <v>242</v>
      </c>
      <c r="E55" s="42"/>
      <c r="F55" s="42" t="s">
        <v>4368</v>
      </c>
      <c r="G55" s="42" t="s">
        <v>4367</v>
      </c>
      <c r="H55" s="42"/>
    </row>
    <row r="56" spans="1:9" s="44" customFormat="1" ht="120">
      <c r="A56" s="42">
        <v>54</v>
      </c>
      <c r="B56" s="42" t="s">
        <v>265</v>
      </c>
      <c r="C56" s="42">
        <v>1</v>
      </c>
      <c r="D56" s="42" t="s">
        <v>242</v>
      </c>
      <c r="E56" s="42"/>
      <c r="F56" s="42" t="s">
        <v>4370</v>
      </c>
      <c r="G56" s="42" t="s">
        <v>4369</v>
      </c>
      <c r="H56" s="42"/>
    </row>
    <row r="57" spans="1:9" s="44" customFormat="1" ht="195">
      <c r="A57" s="42">
        <v>55</v>
      </c>
      <c r="B57" s="42" t="s">
        <v>269</v>
      </c>
      <c r="C57" s="42">
        <v>3</v>
      </c>
      <c r="D57" s="42" t="s">
        <v>242</v>
      </c>
      <c r="E57" s="42"/>
      <c r="F57" s="42" t="s">
        <v>3741</v>
      </c>
      <c r="G57" s="42" t="s">
        <v>4371</v>
      </c>
      <c r="H57" s="42"/>
    </row>
    <row r="58" spans="1:9" s="44" customFormat="1" ht="180">
      <c r="A58" s="42">
        <v>56</v>
      </c>
      <c r="B58" s="42" t="s">
        <v>278</v>
      </c>
      <c r="C58" s="42">
        <v>3</v>
      </c>
      <c r="D58" s="42" t="s">
        <v>242</v>
      </c>
      <c r="E58" s="42"/>
      <c r="F58" s="42" t="s">
        <v>3758</v>
      </c>
      <c r="G58" s="42" t="s">
        <v>4372</v>
      </c>
      <c r="H58" s="42"/>
    </row>
    <row r="59" spans="1:9" s="44" customFormat="1" ht="45">
      <c r="A59" s="42">
        <v>57</v>
      </c>
      <c r="B59" s="42" t="s">
        <v>279</v>
      </c>
      <c r="C59" s="42">
        <v>2</v>
      </c>
      <c r="D59" s="42" t="s">
        <v>242</v>
      </c>
      <c r="E59" s="42"/>
      <c r="F59" s="42" t="s">
        <v>4373</v>
      </c>
      <c r="G59" s="42" t="s">
        <v>4374</v>
      </c>
      <c r="H59" s="42"/>
    </row>
    <row r="60" spans="1:9" s="44" customFormat="1" ht="75">
      <c r="A60" s="42">
        <v>58</v>
      </c>
      <c r="B60" s="42" t="s">
        <v>285</v>
      </c>
      <c r="C60" s="42">
        <v>1</v>
      </c>
      <c r="D60" s="42" t="s">
        <v>242</v>
      </c>
      <c r="E60" s="42"/>
      <c r="F60" s="42" t="s">
        <v>3771</v>
      </c>
      <c r="G60" s="42" t="s">
        <v>4375</v>
      </c>
      <c r="H60" s="42"/>
    </row>
    <row r="61" spans="1:9" s="44" customFormat="1" ht="75">
      <c r="A61" s="42">
        <v>59</v>
      </c>
      <c r="B61" s="42" t="s">
        <v>432</v>
      </c>
      <c r="C61" s="42">
        <v>4</v>
      </c>
      <c r="D61" s="42" t="s">
        <v>242</v>
      </c>
      <c r="E61" s="42"/>
      <c r="F61" s="42" t="s">
        <v>2721</v>
      </c>
      <c r="G61" s="42" t="s">
        <v>4376</v>
      </c>
      <c r="H61" s="42"/>
    </row>
    <row r="62" spans="1:9" s="44" customFormat="1" ht="45">
      <c r="A62" s="42">
        <v>60</v>
      </c>
      <c r="B62" s="42" t="s">
        <v>1649</v>
      </c>
      <c r="C62" s="42">
        <v>3</v>
      </c>
      <c r="D62" s="42" t="s">
        <v>242</v>
      </c>
      <c r="E62" s="42"/>
      <c r="F62" s="42" t="s">
        <v>4377</v>
      </c>
      <c r="G62" s="42" t="s">
        <v>4378</v>
      </c>
      <c r="H62" s="42"/>
    </row>
    <row r="63" spans="1:9" s="44" customFormat="1" ht="45">
      <c r="A63" s="42">
        <v>61</v>
      </c>
      <c r="B63" s="42" t="s">
        <v>347</v>
      </c>
      <c r="C63" s="42">
        <v>2</v>
      </c>
      <c r="D63" s="42" t="s">
        <v>242</v>
      </c>
      <c r="E63" s="42"/>
      <c r="F63" s="42" t="s">
        <v>4379</v>
      </c>
      <c r="G63" s="42" t="s">
        <v>4380</v>
      </c>
      <c r="H63" s="42"/>
    </row>
    <row r="64" spans="1:9" s="44" customFormat="1" ht="225">
      <c r="A64" s="42">
        <v>62</v>
      </c>
      <c r="B64" s="42" t="s">
        <v>267</v>
      </c>
      <c r="C64" s="42">
        <v>1</v>
      </c>
      <c r="D64" s="42" t="s">
        <v>242</v>
      </c>
      <c r="E64" s="42"/>
      <c r="F64" s="42" t="s">
        <v>3738</v>
      </c>
      <c r="G64" s="42" t="s">
        <v>5400</v>
      </c>
      <c r="H64" s="42"/>
    </row>
    <row r="65" spans="1:9" s="44" customFormat="1" ht="75">
      <c r="A65" s="42">
        <v>63</v>
      </c>
      <c r="B65" s="59" t="s">
        <v>270</v>
      </c>
      <c r="C65" s="59">
        <v>1</v>
      </c>
      <c r="D65" s="59" t="s">
        <v>242</v>
      </c>
      <c r="E65" s="59"/>
      <c r="F65" s="59" t="s">
        <v>4381</v>
      </c>
      <c r="G65" s="59" t="s">
        <v>4382</v>
      </c>
      <c r="H65" s="59"/>
      <c r="I65" s="31"/>
    </row>
    <row r="66" spans="1:9" s="44" customFormat="1" ht="150">
      <c r="A66" s="42">
        <v>64</v>
      </c>
      <c r="B66" s="59" t="s">
        <v>1650</v>
      </c>
      <c r="C66" s="59">
        <v>1</v>
      </c>
      <c r="D66" s="59" t="s">
        <v>242</v>
      </c>
      <c r="E66" s="59"/>
      <c r="F66" s="59" t="s">
        <v>4383</v>
      </c>
      <c r="G66" s="59" t="s">
        <v>4384</v>
      </c>
      <c r="H66" s="59"/>
      <c r="I66" s="31"/>
    </row>
    <row r="67" spans="1:9" s="44" customFormat="1" ht="105">
      <c r="A67" s="42">
        <v>65</v>
      </c>
      <c r="B67" s="59" t="s">
        <v>1651</v>
      </c>
      <c r="C67" s="59">
        <v>1</v>
      </c>
      <c r="D67" s="59" t="s">
        <v>242</v>
      </c>
      <c r="E67" s="59"/>
      <c r="F67" s="59" t="s">
        <v>4386</v>
      </c>
      <c r="G67" s="59" t="s">
        <v>4385</v>
      </c>
      <c r="H67" s="59"/>
      <c r="I67" s="31"/>
    </row>
    <row r="68" spans="1:9" s="44" customFormat="1" ht="45">
      <c r="A68" s="42">
        <v>66</v>
      </c>
      <c r="B68" s="59" t="s">
        <v>1652</v>
      </c>
      <c r="C68" s="59">
        <v>1</v>
      </c>
      <c r="D68" s="59" t="s">
        <v>242</v>
      </c>
      <c r="E68" s="59"/>
      <c r="F68" s="59" t="s">
        <v>4388</v>
      </c>
      <c r="G68" s="59" t="s">
        <v>4387</v>
      </c>
      <c r="H68" s="59"/>
      <c r="I68" s="31"/>
    </row>
    <row r="69" spans="1:9" s="44" customFormat="1" ht="45">
      <c r="A69" s="42">
        <v>67</v>
      </c>
      <c r="B69" s="59" t="s">
        <v>1653</v>
      </c>
      <c r="C69" s="59">
        <v>12</v>
      </c>
      <c r="D69" s="59" t="s">
        <v>189</v>
      </c>
      <c r="E69" s="59" t="s">
        <v>1682</v>
      </c>
      <c r="F69" s="59" t="s">
        <v>4389</v>
      </c>
      <c r="G69" s="59" t="s">
        <v>4390</v>
      </c>
      <c r="H69" s="59"/>
      <c r="I69" s="31"/>
    </row>
    <row r="70" spans="1:9" s="44" customFormat="1" ht="60">
      <c r="A70" s="42">
        <v>68</v>
      </c>
      <c r="B70" s="59" t="s">
        <v>1654</v>
      </c>
      <c r="C70" s="59">
        <v>12</v>
      </c>
      <c r="D70" s="59" t="s">
        <v>189</v>
      </c>
      <c r="E70" s="59" t="s">
        <v>1682</v>
      </c>
      <c r="F70" s="59" t="s">
        <v>4391</v>
      </c>
      <c r="G70" s="59" t="s">
        <v>4392</v>
      </c>
      <c r="H70" s="59"/>
      <c r="I70" s="31"/>
    </row>
    <row r="71" spans="1:9" s="44" customFormat="1" ht="30">
      <c r="A71" s="42">
        <v>69</v>
      </c>
      <c r="B71" s="59" t="s">
        <v>1655</v>
      </c>
      <c r="C71" s="59">
        <v>2</v>
      </c>
      <c r="D71" s="59" t="s">
        <v>242</v>
      </c>
      <c r="E71" s="59"/>
      <c r="F71" s="59" t="s">
        <v>4393</v>
      </c>
      <c r="G71" s="59" t="s">
        <v>4393</v>
      </c>
      <c r="H71" s="59"/>
      <c r="I71" s="31"/>
    </row>
    <row r="72" spans="1:9" s="44" customFormat="1" ht="75">
      <c r="A72" s="42">
        <v>70</v>
      </c>
      <c r="B72" s="59" t="s">
        <v>1656</v>
      </c>
      <c r="C72" s="59">
        <v>1</v>
      </c>
      <c r="D72" s="59" t="s">
        <v>242</v>
      </c>
      <c r="E72" s="59"/>
      <c r="F72" s="59" t="s">
        <v>4394</v>
      </c>
      <c r="G72" s="59" t="s">
        <v>4395</v>
      </c>
      <c r="H72" s="59"/>
      <c r="I72" s="31"/>
    </row>
    <row r="73" spans="1:9" s="44" customFormat="1" ht="45">
      <c r="A73" s="42">
        <v>71</v>
      </c>
      <c r="B73" s="59" t="s">
        <v>1657</v>
      </c>
      <c r="C73" s="59">
        <v>5</v>
      </c>
      <c r="D73" s="59" t="s">
        <v>242</v>
      </c>
      <c r="E73" s="59"/>
      <c r="F73" s="59" t="s">
        <v>4396</v>
      </c>
      <c r="G73" s="59" t="s">
        <v>4397</v>
      </c>
      <c r="H73" s="59"/>
      <c r="I73" s="31"/>
    </row>
    <row r="74" spans="1:9" s="44" customFormat="1" ht="30">
      <c r="A74" s="42">
        <v>72</v>
      </c>
      <c r="B74" s="59" t="s">
        <v>1658</v>
      </c>
      <c r="C74" s="59">
        <v>5</v>
      </c>
      <c r="D74" s="59" t="s">
        <v>242</v>
      </c>
      <c r="E74" s="59"/>
      <c r="F74" s="59" t="s">
        <v>4398</v>
      </c>
      <c r="G74" s="59" t="s">
        <v>4399</v>
      </c>
      <c r="H74" s="59"/>
      <c r="I74" s="31"/>
    </row>
    <row r="75" spans="1:9" s="44" customFormat="1" ht="90">
      <c r="A75" s="42">
        <v>73</v>
      </c>
      <c r="B75" s="59" t="s">
        <v>1659</v>
      </c>
      <c r="C75" s="59">
        <v>9</v>
      </c>
      <c r="D75" s="59" t="s">
        <v>189</v>
      </c>
      <c r="E75" s="59" t="s">
        <v>1683</v>
      </c>
      <c r="F75" s="59" t="s">
        <v>4400</v>
      </c>
      <c r="G75" s="59" t="s">
        <v>4402</v>
      </c>
      <c r="H75" s="59"/>
      <c r="I75" s="31"/>
    </row>
    <row r="76" spans="1:9" s="44" customFormat="1" ht="90">
      <c r="A76" s="42">
        <v>74</v>
      </c>
      <c r="B76" s="59" t="s">
        <v>1660</v>
      </c>
      <c r="C76" s="59">
        <v>9</v>
      </c>
      <c r="D76" s="59" t="s">
        <v>189</v>
      </c>
      <c r="E76" s="59" t="s">
        <v>1683</v>
      </c>
      <c r="F76" s="59" t="s">
        <v>4401</v>
      </c>
      <c r="G76" s="59" t="s">
        <v>4403</v>
      </c>
      <c r="H76" s="59"/>
      <c r="I76" s="31"/>
    </row>
    <row r="77" spans="1:9" s="44" customFormat="1" ht="90">
      <c r="A77" s="42">
        <v>75</v>
      </c>
      <c r="B77" s="59" t="s">
        <v>1661</v>
      </c>
      <c r="C77" s="59">
        <v>9</v>
      </c>
      <c r="D77" s="59" t="s">
        <v>189</v>
      </c>
      <c r="E77" s="59" t="s">
        <v>1683</v>
      </c>
      <c r="F77" s="59" t="s">
        <v>4404</v>
      </c>
      <c r="G77" s="59" t="s">
        <v>4405</v>
      </c>
      <c r="H77" s="59"/>
      <c r="I77" s="31"/>
    </row>
    <row r="78" spans="1:9" s="44" customFormat="1" ht="75">
      <c r="A78" s="42">
        <v>76</v>
      </c>
      <c r="B78" s="59" t="s">
        <v>1662</v>
      </c>
      <c r="C78" s="59">
        <v>15</v>
      </c>
      <c r="D78" s="59" t="s">
        <v>189</v>
      </c>
      <c r="E78" s="59" t="s">
        <v>1680</v>
      </c>
      <c r="F78" s="59" t="s">
        <v>4406</v>
      </c>
      <c r="G78" s="59" t="s">
        <v>4407</v>
      </c>
      <c r="H78" s="59"/>
      <c r="I78" s="31"/>
    </row>
    <row r="79" spans="1:9" s="44" customFormat="1" ht="75">
      <c r="A79" s="42">
        <v>77</v>
      </c>
      <c r="B79" s="59" t="s">
        <v>1663</v>
      </c>
      <c r="C79" s="59">
        <v>15</v>
      </c>
      <c r="D79" s="59" t="s">
        <v>189</v>
      </c>
      <c r="E79" s="59" t="s">
        <v>1680</v>
      </c>
      <c r="F79" s="59" t="s">
        <v>4408</v>
      </c>
      <c r="G79" s="59" t="s">
        <v>4407</v>
      </c>
      <c r="H79" s="59"/>
      <c r="I79" s="31"/>
    </row>
    <row r="80" spans="1:9" s="44" customFormat="1" ht="45">
      <c r="A80" s="59">
        <v>78</v>
      </c>
      <c r="B80" s="59" t="s">
        <v>1664</v>
      </c>
      <c r="C80" s="59">
        <v>14</v>
      </c>
      <c r="D80" s="59" t="s">
        <v>242</v>
      </c>
      <c r="E80" s="59"/>
      <c r="F80" s="59" t="s">
        <v>4409</v>
      </c>
      <c r="G80" s="59" t="s">
        <v>4527</v>
      </c>
      <c r="H80" s="59"/>
      <c r="I80" s="31" t="s">
        <v>7124</v>
      </c>
    </row>
    <row r="81" spans="1:9" s="44" customFormat="1" ht="60">
      <c r="A81" s="59">
        <v>79</v>
      </c>
      <c r="B81" s="59" t="s">
        <v>1665</v>
      </c>
      <c r="C81" s="59">
        <v>14</v>
      </c>
      <c r="D81" s="59" t="s">
        <v>242</v>
      </c>
      <c r="E81" s="59"/>
      <c r="F81" s="59" t="s">
        <v>4410</v>
      </c>
      <c r="G81" s="59" t="s">
        <v>4528</v>
      </c>
      <c r="H81" s="59"/>
      <c r="I81" s="31" t="s">
        <v>7124</v>
      </c>
    </row>
    <row r="82" spans="1:9" s="44" customFormat="1" ht="60">
      <c r="A82" s="59">
        <v>80</v>
      </c>
      <c r="B82" s="59" t="s">
        <v>1666</v>
      </c>
      <c r="C82" s="59">
        <v>14</v>
      </c>
      <c r="D82" s="59" t="s">
        <v>242</v>
      </c>
      <c r="E82" s="59"/>
      <c r="F82" s="59" t="s">
        <v>4411</v>
      </c>
      <c r="G82" s="59" t="s">
        <v>4529</v>
      </c>
      <c r="H82" s="59"/>
      <c r="I82" s="31" t="s">
        <v>7124</v>
      </c>
    </row>
    <row r="83" spans="1:9" s="44" customFormat="1" ht="45">
      <c r="A83" s="42">
        <v>81</v>
      </c>
      <c r="B83" s="59" t="s">
        <v>1667</v>
      </c>
      <c r="C83" s="59">
        <v>4</v>
      </c>
      <c r="D83" s="59" t="s">
        <v>189</v>
      </c>
      <c r="E83" s="59"/>
      <c r="F83" s="59" t="s">
        <v>4412</v>
      </c>
      <c r="G83" s="59" t="s">
        <v>4414</v>
      </c>
      <c r="H83" s="59"/>
      <c r="I83" s="31"/>
    </row>
    <row r="84" spans="1:9" s="44" customFormat="1" ht="60">
      <c r="A84" s="42">
        <v>82</v>
      </c>
      <c r="B84" s="59" t="s">
        <v>1668</v>
      </c>
      <c r="C84" s="59">
        <v>5</v>
      </c>
      <c r="D84" s="59" t="s">
        <v>189</v>
      </c>
      <c r="E84" s="59"/>
      <c r="F84" s="59" t="s">
        <v>4416</v>
      </c>
      <c r="G84" s="59" t="s">
        <v>4415</v>
      </c>
      <c r="H84" s="59"/>
      <c r="I84" s="31"/>
    </row>
    <row r="85" spans="1:9" s="44" customFormat="1" ht="60">
      <c r="A85" s="42">
        <v>83</v>
      </c>
      <c r="B85" s="59" t="s">
        <v>1669</v>
      </c>
      <c r="C85" s="59">
        <v>5</v>
      </c>
      <c r="D85" s="59" t="s">
        <v>242</v>
      </c>
      <c r="E85" s="59"/>
      <c r="F85" s="59" t="s">
        <v>4417</v>
      </c>
      <c r="G85" s="59" t="s">
        <v>4418</v>
      </c>
      <c r="H85" s="59"/>
      <c r="I85" s="31"/>
    </row>
    <row r="86" spans="1:9" s="44" customFormat="1" ht="45">
      <c r="A86" s="59">
        <v>84</v>
      </c>
      <c r="B86" s="59" t="s">
        <v>1670</v>
      </c>
      <c r="C86" s="59">
        <v>4</v>
      </c>
      <c r="D86" s="59" t="s">
        <v>242</v>
      </c>
      <c r="E86" s="59"/>
      <c r="F86" s="59" t="s">
        <v>4420</v>
      </c>
      <c r="G86" s="59" t="s">
        <v>4419</v>
      </c>
      <c r="H86" s="59"/>
      <c r="I86" s="31"/>
    </row>
    <row r="87" spans="1:9" s="44" customFormat="1" ht="60">
      <c r="A87" s="59">
        <v>85</v>
      </c>
      <c r="B87" s="59" t="s">
        <v>1671</v>
      </c>
      <c r="C87" s="59">
        <v>5</v>
      </c>
      <c r="D87" s="59" t="s">
        <v>242</v>
      </c>
      <c r="E87" s="59"/>
      <c r="F87" s="59" t="s">
        <v>4422</v>
      </c>
      <c r="G87" s="59" t="s">
        <v>4423</v>
      </c>
      <c r="H87" s="59"/>
      <c r="I87" s="31"/>
    </row>
    <row r="88" spans="1:9" s="44" customFormat="1" ht="60">
      <c r="A88" s="59">
        <v>86</v>
      </c>
      <c r="B88" s="59" t="s">
        <v>1672</v>
      </c>
      <c r="C88" s="59">
        <v>5</v>
      </c>
      <c r="D88" s="59" t="s">
        <v>242</v>
      </c>
      <c r="E88" s="59"/>
      <c r="F88" s="59" t="s">
        <v>4424</v>
      </c>
      <c r="G88" s="59" t="s">
        <v>4421</v>
      </c>
      <c r="H88" s="59"/>
      <c r="I88" s="31"/>
    </row>
    <row r="89" spans="1:9" s="44" customFormat="1" ht="45">
      <c r="A89" s="59">
        <v>87</v>
      </c>
      <c r="B89" s="59" t="s">
        <v>1673</v>
      </c>
      <c r="C89" s="59">
        <v>14</v>
      </c>
      <c r="D89" s="59" t="s">
        <v>242</v>
      </c>
      <c r="E89" s="59"/>
      <c r="F89" s="59" t="s">
        <v>4425</v>
      </c>
      <c r="G89" s="59" t="s">
        <v>4426</v>
      </c>
      <c r="H89" s="59"/>
      <c r="I89" s="31" t="s">
        <v>7124</v>
      </c>
    </row>
    <row r="90" spans="1:9" s="44" customFormat="1" ht="45">
      <c r="A90" s="59">
        <v>88</v>
      </c>
      <c r="B90" s="59" t="s">
        <v>1674</v>
      </c>
      <c r="C90" s="59">
        <v>14</v>
      </c>
      <c r="D90" s="59" t="s">
        <v>242</v>
      </c>
      <c r="E90" s="59"/>
      <c r="F90" s="59" t="s">
        <v>4428</v>
      </c>
      <c r="G90" s="59" t="s">
        <v>4427</v>
      </c>
      <c r="H90" s="59"/>
      <c r="I90" s="31" t="s">
        <v>7124</v>
      </c>
    </row>
    <row r="91" spans="1:9" s="44" customFormat="1" ht="105">
      <c r="A91" s="59">
        <v>89</v>
      </c>
      <c r="B91" s="59" t="s">
        <v>505</v>
      </c>
      <c r="C91" s="59">
        <v>1</v>
      </c>
      <c r="D91" s="59" t="s">
        <v>242</v>
      </c>
      <c r="E91" s="59"/>
      <c r="F91" s="59" t="s">
        <v>4429</v>
      </c>
      <c r="G91" s="59" t="s">
        <v>4430</v>
      </c>
      <c r="H91" s="59"/>
      <c r="I91" s="31"/>
    </row>
    <row r="92" spans="1:9" s="44" customFormat="1" ht="180">
      <c r="A92" s="59">
        <v>90</v>
      </c>
      <c r="B92" s="59" t="s">
        <v>1675</v>
      </c>
      <c r="C92" s="59">
        <v>11</v>
      </c>
      <c r="D92" s="59" t="s">
        <v>242</v>
      </c>
      <c r="E92" s="59">
        <v>11</v>
      </c>
      <c r="F92" s="59" t="s">
        <v>4431</v>
      </c>
      <c r="G92" s="59" t="s">
        <v>4816</v>
      </c>
      <c r="H92" s="59"/>
      <c r="I92" s="31"/>
    </row>
    <row r="93" spans="1:9" s="44" customFormat="1" ht="30">
      <c r="A93" s="59">
        <v>91</v>
      </c>
      <c r="B93" s="59" t="s">
        <v>1676</v>
      </c>
      <c r="C93" s="59">
        <v>14</v>
      </c>
      <c r="D93" s="59" t="s">
        <v>242</v>
      </c>
      <c r="E93" s="59"/>
      <c r="F93" s="59" t="s">
        <v>4433</v>
      </c>
      <c r="G93" s="59" t="s">
        <v>4432</v>
      </c>
      <c r="H93" s="59"/>
      <c r="I93" s="31" t="s">
        <v>7124</v>
      </c>
    </row>
    <row r="94" spans="1:9" s="44" customFormat="1" ht="75">
      <c r="A94" s="42">
        <v>92</v>
      </c>
      <c r="B94" s="59" t="s">
        <v>1677</v>
      </c>
      <c r="C94" s="59">
        <v>30</v>
      </c>
      <c r="D94" s="59" t="s">
        <v>242</v>
      </c>
      <c r="E94" s="59"/>
      <c r="F94" s="59" t="s">
        <v>4435</v>
      </c>
      <c r="G94" s="59" t="s">
        <v>4434</v>
      </c>
      <c r="H94" s="59"/>
      <c r="I94" s="31"/>
    </row>
    <row r="95" spans="1:9" s="44" customFormat="1" ht="90">
      <c r="A95" s="42">
        <v>93</v>
      </c>
      <c r="B95" s="82" t="s">
        <v>1678</v>
      </c>
      <c r="C95" s="59">
        <v>2</v>
      </c>
      <c r="D95" s="59" t="s">
        <v>242</v>
      </c>
      <c r="E95" s="59"/>
      <c r="F95" s="59" t="s">
        <v>3726</v>
      </c>
      <c r="G95" s="59" t="s">
        <v>3727</v>
      </c>
      <c r="H95" s="59"/>
      <c r="I95" s="31"/>
    </row>
    <row r="96" spans="1:9" s="44" customFormat="1" ht="90">
      <c r="A96" s="42">
        <v>94</v>
      </c>
      <c r="B96" s="59" t="s">
        <v>263</v>
      </c>
      <c r="C96" s="59">
        <v>2</v>
      </c>
      <c r="D96" s="59" t="s">
        <v>242</v>
      </c>
      <c r="E96" s="59"/>
      <c r="F96" s="59" t="s">
        <v>3730</v>
      </c>
      <c r="G96" s="59" t="s">
        <v>3731</v>
      </c>
      <c r="H96" s="59"/>
      <c r="I96" s="31"/>
    </row>
    <row r="97" spans="1:9" s="44" customFormat="1" ht="105">
      <c r="A97" s="42">
        <v>95</v>
      </c>
      <c r="B97" s="59" t="s">
        <v>344</v>
      </c>
      <c r="C97" s="59">
        <v>1</v>
      </c>
      <c r="D97" s="59" t="s">
        <v>242</v>
      </c>
      <c r="E97" s="59"/>
      <c r="F97" s="59" t="s">
        <v>3880</v>
      </c>
      <c r="G97" s="59" t="s">
        <v>3881</v>
      </c>
      <c r="H97" s="59"/>
      <c r="I97" s="31"/>
    </row>
    <row r="98" spans="1:9" s="44" customFormat="1">
      <c r="A98" s="42">
        <v>96</v>
      </c>
      <c r="B98" s="59" t="s">
        <v>1182</v>
      </c>
      <c r="C98" s="59">
        <v>12</v>
      </c>
      <c r="D98" s="59" t="s">
        <v>189</v>
      </c>
      <c r="E98" s="59" t="s">
        <v>5576</v>
      </c>
      <c r="F98" s="59" t="s">
        <v>1688</v>
      </c>
      <c r="G98" s="59" t="s">
        <v>1689</v>
      </c>
      <c r="H98" s="59"/>
      <c r="I98" s="31"/>
    </row>
    <row r="99" spans="1:9" s="44" customFormat="1" ht="30">
      <c r="A99" s="42">
        <v>97</v>
      </c>
      <c r="B99" s="59" t="s">
        <v>1183</v>
      </c>
      <c r="C99" s="59">
        <v>30</v>
      </c>
      <c r="D99" s="59" t="s">
        <v>242</v>
      </c>
      <c r="E99" s="59" t="s">
        <v>5576</v>
      </c>
      <c r="F99" s="59" t="s">
        <v>1690</v>
      </c>
      <c r="G99" s="59" t="s">
        <v>1691</v>
      </c>
      <c r="H99" s="59"/>
      <c r="I99" s="31"/>
    </row>
    <row r="100" spans="1:9" s="44" customFormat="1">
      <c r="B100" s="31"/>
      <c r="C100" s="31"/>
      <c r="D100" s="31"/>
      <c r="E100" s="31"/>
      <c r="F100" s="31"/>
      <c r="G100" s="31"/>
      <c r="H100" s="31"/>
      <c r="I100" s="31"/>
    </row>
    <row r="101" spans="1:9" s="44" customFormat="1">
      <c r="B101" s="31"/>
      <c r="C101" s="31"/>
      <c r="D101" s="31"/>
      <c r="E101" s="31"/>
      <c r="F101" s="31"/>
      <c r="G101" s="31"/>
      <c r="H101" s="31"/>
      <c r="I101" s="31"/>
    </row>
    <row r="102" spans="1:9" s="44" customFormat="1">
      <c r="B102" s="31"/>
      <c r="C102" s="31"/>
      <c r="D102" s="31"/>
      <c r="E102" s="31"/>
      <c r="F102" s="31"/>
      <c r="G102" s="31"/>
      <c r="H102" s="31"/>
      <c r="I102" s="31"/>
    </row>
    <row r="103" spans="1:9" s="44" customFormat="1">
      <c r="B103" s="31"/>
      <c r="C103" s="31"/>
      <c r="D103" s="31"/>
      <c r="E103" s="31"/>
      <c r="F103" s="31"/>
      <c r="G103" s="31"/>
      <c r="H103" s="31"/>
      <c r="I103" s="31"/>
    </row>
    <row r="104" spans="1:9" s="44" customFormat="1">
      <c r="B104" s="31"/>
      <c r="C104" s="31"/>
      <c r="D104" s="31"/>
      <c r="E104" s="31"/>
      <c r="F104" s="31"/>
      <c r="G104" s="31"/>
      <c r="H104" s="31"/>
      <c r="I104" s="31"/>
    </row>
    <row r="105" spans="1:9" s="44" customFormat="1">
      <c r="B105" s="31"/>
      <c r="C105" s="31"/>
      <c r="D105" s="31"/>
      <c r="E105" s="31"/>
      <c r="F105" s="31"/>
      <c r="G105" s="31"/>
      <c r="H105" s="31"/>
      <c r="I105" s="31"/>
    </row>
    <row r="106" spans="1:9" s="44" customFormat="1">
      <c r="B106" s="31"/>
      <c r="C106" s="31"/>
      <c r="D106" s="31"/>
      <c r="E106" s="31"/>
      <c r="F106" s="31"/>
      <c r="G106" s="31"/>
      <c r="H106" s="31"/>
      <c r="I106" s="31"/>
    </row>
    <row r="107" spans="1:9" s="44" customFormat="1">
      <c r="B107" s="31"/>
      <c r="C107" s="31"/>
      <c r="D107" s="31"/>
      <c r="E107" s="31"/>
      <c r="F107" s="31"/>
      <c r="G107" s="31"/>
      <c r="H107" s="31"/>
      <c r="I107" s="31"/>
    </row>
    <row r="108" spans="1:9" s="44" customFormat="1">
      <c r="B108" s="31"/>
      <c r="C108" s="31"/>
      <c r="D108" s="31"/>
      <c r="E108" s="31"/>
      <c r="F108" s="31"/>
      <c r="G108" s="31"/>
      <c r="H108" s="31"/>
      <c r="I108" s="31"/>
    </row>
    <row r="109" spans="1:9" s="44" customFormat="1">
      <c r="B109" s="31"/>
      <c r="C109" s="31"/>
      <c r="D109" s="31"/>
      <c r="E109" s="31"/>
      <c r="F109" s="31"/>
      <c r="G109" s="31"/>
      <c r="H109" s="31"/>
      <c r="I109" s="31"/>
    </row>
    <row r="110" spans="1:9" s="44" customFormat="1" ht="45">
      <c r="A110" s="59">
        <v>96</v>
      </c>
      <c r="B110" s="59" t="s">
        <v>1679</v>
      </c>
      <c r="C110" s="59">
        <v>200</v>
      </c>
      <c r="D110" s="59" t="s">
        <v>242</v>
      </c>
      <c r="E110" s="59"/>
      <c r="F110" s="59" t="s">
        <v>4413</v>
      </c>
      <c r="G110" s="59" t="s">
        <v>2465</v>
      </c>
      <c r="H110" s="59"/>
      <c r="I110" s="31" t="s">
        <v>6727</v>
      </c>
    </row>
    <row r="111" spans="1:9" s="44" customFormat="1"/>
    <row r="112" spans="1:9" s="44" customFormat="1"/>
    <row r="113" s="44" customFormat="1"/>
    <row r="114" s="44" customFormat="1"/>
    <row r="115" s="44" customFormat="1"/>
    <row r="116" s="44" customFormat="1"/>
    <row r="117" s="44" customFormat="1"/>
    <row r="118" s="44" customFormat="1"/>
    <row r="119" s="44" customFormat="1"/>
    <row r="120" s="44" customFormat="1"/>
    <row r="121" s="44" customFormat="1"/>
    <row r="122" s="44" customFormat="1"/>
    <row r="123" s="44" customFormat="1"/>
    <row r="124" s="44" customFormat="1"/>
    <row r="125" s="44" customFormat="1"/>
    <row r="126" s="44" customFormat="1"/>
    <row r="127" s="44" customFormat="1"/>
    <row r="128" s="44" customFormat="1"/>
    <row r="129" s="44" customFormat="1"/>
    <row r="130" s="44" customFormat="1"/>
    <row r="131" s="44" customFormat="1"/>
    <row r="132" s="44" customFormat="1"/>
    <row r="133" s="44" customFormat="1"/>
    <row r="134" s="44" customFormat="1"/>
    <row r="135" s="44" customFormat="1"/>
    <row r="136" s="44" customFormat="1"/>
    <row r="137" s="44" customFormat="1"/>
    <row r="138" s="44" customFormat="1"/>
    <row r="139" s="44" customFormat="1"/>
    <row r="140" s="44" customFormat="1"/>
    <row r="141" s="44" customFormat="1"/>
    <row r="142" s="44" customFormat="1"/>
    <row r="143" s="44" customFormat="1"/>
    <row r="144" s="44" customFormat="1"/>
    <row r="145" s="44" customFormat="1"/>
    <row r="146" s="44" customFormat="1"/>
    <row r="147" s="44" customFormat="1"/>
    <row r="148" s="44" customFormat="1"/>
    <row r="149" s="44" customFormat="1"/>
    <row r="150" s="44" customFormat="1"/>
    <row r="151" s="44" customFormat="1"/>
    <row r="152" s="44" customFormat="1"/>
    <row r="153" s="44" customFormat="1"/>
    <row r="154" s="44" customFormat="1"/>
    <row r="155" s="44" customFormat="1"/>
    <row r="156" s="44" customFormat="1"/>
    <row r="157" s="44" customFormat="1"/>
    <row r="158" s="44" customFormat="1"/>
    <row r="159" s="44" customFormat="1"/>
    <row r="160" s="44" customFormat="1"/>
    <row r="161" s="44" customFormat="1"/>
    <row r="162" s="44" customFormat="1"/>
    <row r="163" s="44" customFormat="1"/>
    <row r="164" s="44" customFormat="1"/>
    <row r="165" s="44" customFormat="1"/>
    <row r="166" s="44" customFormat="1"/>
    <row r="167" s="44" customFormat="1"/>
    <row r="168" s="44" customFormat="1"/>
    <row r="169" s="44" customFormat="1"/>
    <row r="170" s="44" customFormat="1"/>
    <row r="171" s="44" customFormat="1"/>
    <row r="172" s="44" customFormat="1"/>
    <row r="173" s="44" customFormat="1"/>
    <row r="174" s="44" customFormat="1"/>
    <row r="175" s="44" customFormat="1"/>
    <row r="176" s="44" customFormat="1"/>
    <row r="177" s="44" customFormat="1"/>
    <row r="178" s="44" customFormat="1"/>
    <row r="179" s="44" customFormat="1"/>
    <row r="180" s="44" customFormat="1"/>
    <row r="181" s="44" customFormat="1"/>
    <row r="182" s="44" customFormat="1"/>
    <row r="183" s="44" customFormat="1"/>
    <row r="184" s="44" customFormat="1"/>
    <row r="185" s="44" customFormat="1"/>
    <row r="186" s="44" customFormat="1"/>
    <row r="187" s="44" customFormat="1"/>
    <row r="188" s="44" customFormat="1"/>
    <row r="189" s="44" customFormat="1"/>
    <row r="190" s="44" customFormat="1"/>
    <row r="191" s="44" customFormat="1"/>
    <row r="192" s="44" customFormat="1"/>
    <row r="193" s="44" customFormat="1"/>
    <row r="194" s="44" customFormat="1"/>
    <row r="195" s="44" customFormat="1"/>
    <row r="196" s="44" customFormat="1"/>
    <row r="197" s="44" customFormat="1"/>
    <row r="198" s="44" customFormat="1"/>
    <row r="199" s="44" customFormat="1"/>
    <row r="200" s="44" customFormat="1"/>
    <row r="201" s="44" customFormat="1"/>
    <row r="202" s="44" customFormat="1"/>
    <row r="203" s="44" customFormat="1"/>
    <row r="204" s="44" customFormat="1"/>
    <row r="205" s="44" customFormat="1"/>
    <row r="206" s="44" customFormat="1"/>
    <row r="207" s="44" customFormat="1"/>
    <row r="208" s="44" customFormat="1"/>
    <row r="209" s="44" customFormat="1"/>
    <row r="210" s="44" customFormat="1"/>
    <row r="211" s="44" customFormat="1"/>
    <row r="212" s="44" customFormat="1"/>
    <row r="213" s="44" customFormat="1"/>
    <row r="214" s="44" customFormat="1"/>
    <row r="215" s="44" customFormat="1"/>
    <row r="216" s="44" customFormat="1"/>
    <row r="217" s="44" customFormat="1"/>
    <row r="218" s="44" customFormat="1"/>
    <row r="219" s="44" customFormat="1"/>
    <row r="220" s="44" customFormat="1"/>
    <row r="221" s="44" customFormat="1"/>
    <row r="222" s="44" customFormat="1"/>
    <row r="223" s="44" customFormat="1"/>
    <row r="224" s="44" customFormat="1"/>
    <row r="225" s="44" customFormat="1"/>
    <row r="226" s="44" customFormat="1"/>
    <row r="227" s="44" customFormat="1"/>
    <row r="228" s="44" customFormat="1"/>
    <row r="229" s="44" customFormat="1"/>
    <row r="230" s="44" customFormat="1"/>
    <row r="231" s="44" customFormat="1"/>
    <row r="232" s="44" customFormat="1"/>
    <row r="233" s="44" customFormat="1"/>
    <row r="234" s="44" customFormat="1"/>
    <row r="235" s="44" customFormat="1"/>
    <row r="236" s="44" customFormat="1"/>
    <row r="237" s="44" customFormat="1"/>
    <row r="238" s="44" customFormat="1"/>
    <row r="239" s="44" customFormat="1"/>
    <row r="240" s="44" customFormat="1"/>
    <row r="241" s="44" customFormat="1"/>
    <row r="242" s="44" customFormat="1"/>
    <row r="243" s="44" customFormat="1"/>
    <row r="244" s="44" customFormat="1"/>
    <row r="245" s="44" customFormat="1"/>
    <row r="246" s="44" customFormat="1"/>
    <row r="247" s="44" customFormat="1"/>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66F76-2274-403B-A0F7-5D6D80A5DDA3}">
  <sheetPr codeName="Sheet41"/>
  <dimension ref="A1:XFA246"/>
  <sheetViews>
    <sheetView topLeftCell="A23" workbookViewId="0">
      <selection activeCell="C22" sqref="C22"/>
    </sheetView>
  </sheetViews>
  <sheetFormatPr defaultColWidth="32.140625" defaultRowHeight="15"/>
  <cols>
    <col min="1" max="1" width="7.140625" style="44" bestFit="1" customWidth="1"/>
    <col min="2" max="2" width="18.42578125" style="44" bestFit="1" customWidth="1"/>
    <col min="3" max="3" width="4.5703125" style="44" bestFit="1" customWidth="1"/>
    <col min="4" max="4" width="9" style="44" bestFit="1" customWidth="1"/>
    <col min="5" max="5" width="24.42578125" style="44" bestFit="1" customWidth="1"/>
    <col min="6" max="6" width="29.140625" style="44" bestFit="1" customWidth="1"/>
    <col min="7" max="7" width="57.42578125" style="44" customWidth="1"/>
    <col min="8" max="8" width="5.140625" style="2" bestFit="1" customWidth="1"/>
    <col min="9" max="16380" width="32.140625" style="2"/>
    <col min="16381" max="16381" width="1.7109375" style="2" customWidth="1"/>
    <col min="16382" max="16384" width="17.7109375" style="44" customWidth="1"/>
  </cols>
  <sheetData>
    <row r="1" spans="1:9" s="44" customFormat="1">
      <c r="A1" s="41" t="s">
        <v>238</v>
      </c>
      <c r="B1" s="41"/>
      <c r="C1" s="41"/>
      <c r="D1" s="41"/>
      <c r="E1" s="41"/>
      <c r="F1" s="41"/>
      <c r="G1" s="41"/>
      <c r="H1" s="41"/>
    </row>
    <row r="2" spans="1:9" s="44" customFormat="1">
      <c r="A2" s="10" t="s">
        <v>350</v>
      </c>
      <c r="B2" s="10" t="s">
        <v>156</v>
      </c>
      <c r="C2" s="10" t="s">
        <v>157</v>
      </c>
      <c r="D2" s="10" t="s">
        <v>239</v>
      </c>
      <c r="E2" s="10" t="s">
        <v>159</v>
      </c>
      <c r="F2" s="10" t="s">
        <v>1684</v>
      </c>
      <c r="G2" s="10" t="s">
        <v>1685</v>
      </c>
      <c r="H2" s="10" t="s">
        <v>5371</v>
      </c>
    </row>
    <row r="3" spans="1:9" s="44" customFormat="1">
      <c r="A3" s="42">
        <v>1</v>
      </c>
      <c r="B3" s="42" t="s">
        <v>240</v>
      </c>
      <c r="C3" s="42">
        <v>8</v>
      </c>
      <c r="D3" s="42" t="s">
        <v>160</v>
      </c>
      <c r="E3" s="42" t="s">
        <v>177</v>
      </c>
      <c r="F3" s="42" t="s">
        <v>1686</v>
      </c>
      <c r="G3" s="42" t="s">
        <v>1687</v>
      </c>
      <c r="H3" s="42" t="s">
        <v>5382</v>
      </c>
    </row>
    <row r="4" spans="1:9" s="44" customFormat="1" ht="60">
      <c r="A4" s="42">
        <v>2</v>
      </c>
      <c r="B4" s="42" t="s">
        <v>78</v>
      </c>
      <c r="C4" s="42">
        <v>4</v>
      </c>
      <c r="D4" s="42" t="s">
        <v>242</v>
      </c>
      <c r="E4" s="42"/>
      <c r="F4" s="42" t="s">
        <v>4293</v>
      </c>
      <c r="G4" s="42" t="s">
        <v>4294</v>
      </c>
      <c r="H4" s="42" t="s">
        <v>5384</v>
      </c>
    </row>
    <row r="5" spans="1:9" s="44" customFormat="1">
      <c r="A5" s="42">
        <v>3</v>
      </c>
      <c r="B5" s="42" t="s">
        <v>603</v>
      </c>
      <c r="C5" s="42">
        <v>2</v>
      </c>
      <c r="D5" s="42" t="s">
        <v>242</v>
      </c>
      <c r="E5" s="42"/>
      <c r="F5" s="42" t="s">
        <v>4292</v>
      </c>
      <c r="G5" s="42" t="s">
        <v>5464</v>
      </c>
      <c r="H5" s="42" t="s">
        <v>5385</v>
      </c>
    </row>
    <row r="6" spans="1:9" s="44" customFormat="1">
      <c r="A6" s="42">
        <v>4</v>
      </c>
      <c r="B6" s="42" t="s">
        <v>623</v>
      </c>
      <c r="C6" s="42">
        <v>3</v>
      </c>
      <c r="D6" s="42" t="s">
        <v>242</v>
      </c>
      <c r="E6" s="42"/>
      <c r="F6" s="42" t="s">
        <v>4295</v>
      </c>
      <c r="G6" s="42" t="s">
        <v>5463</v>
      </c>
      <c r="H6" s="42" t="s">
        <v>5402</v>
      </c>
    </row>
    <row r="7" spans="1:9" s="44" customFormat="1" ht="120">
      <c r="A7" s="42">
        <v>5</v>
      </c>
      <c r="B7" s="42" t="s">
        <v>990</v>
      </c>
      <c r="C7" s="42">
        <v>14</v>
      </c>
      <c r="D7" s="42" t="s">
        <v>242</v>
      </c>
      <c r="E7" s="42"/>
      <c r="F7" s="42" t="s">
        <v>4276</v>
      </c>
      <c r="G7" s="42" t="s">
        <v>4282</v>
      </c>
      <c r="H7" s="42"/>
    </row>
    <row r="8" spans="1:9" s="44" customFormat="1">
      <c r="A8" s="42">
        <v>6</v>
      </c>
      <c r="B8" s="42" t="s">
        <v>991</v>
      </c>
      <c r="C8" s="42">
        <v>14</v>
      </c>
      <c r="D8" s="42" t="s">
        <v>242</v>
      </c>
      <c r="E8" s="42"/>
      <c r="F8" s="42" t="s">
        <v>4277</v>
      </c>
      <c r="G8" s="42" t="s">
        <v>4283</v>
      </c>
      <c r="H8" s="42"/>
    </row>
    <row r="9" spans="1:9" s="44" customFormat="1">
      <c r="A9" s="42">
        <v>7</v>
      </c>
      <c r="B9" s="42" t="s">
        <v>992</v>
      </c>
      <c r="C9" s="42">
        <v>14</v>
      </c>
      <c r="D9" s="42" t="s">
        <v>242</v>
      </c>
      <c r="E9" s="42"/>
      <c r="F9" s="42" t="s">
        <v>4278</v>
      </c>
      <c r="G9" s="42" t="s">
        <v>4283</v>
      </c>
      <c r="H9" s="42"/>
    </row>
    <row r="10" spans="1:9" s="44" customFormat="1">
      <c r="A10" s="42">
        <v>8</v>
      </c>
      <c r="B10" s="42" t="s">
        <v>993</v>
      </c>
      <c r="C10" s="42">
        <v>14</v>
      </c>
      <c r="D10" s="42" t="s">
        <v>242</v>
      </c>
      <c r="E10" s="42"/>
      <c r="F10" s="42" t="s">
        <v>4279</v>
      </c>
      <c r="G10" s="42" t="s">
        <v>4283</v>
      </c>
      <c r="H10" s="42"/>
    </row>
    <row r="11" spans="1:9" s="44" customFormat="1">
      <c r="A11" s="42">
        <v>9</v>
      </c>
      <c r="B11" s="42" t="s">
        <v>994</v>
      </c>
      <c r="C11" s="42">
        <v>14</v>
      </c>
      <c r="D11" s="42" t="s">
        <v>242</v>
      </c>
      <c r="E11" s="42"/>
      <c r="F11" s="42" t="s">
        <v>4280</v>
      </c>
      <c r="G11" s="42" t="s">
        <v>4283</v>
      </c>
      <c r="H11" s="42"/>
    </row>
    <row r="12" spans="1:9" s="44" customFormat="1">
      <c r="A12" s="42">
        <v>10</v>
      </c>
      <c r="B12" s="42" t="s">
        <v>995</v>
      </c>
      <c r="C12" s="42">
        <v>14</v>
      </c>
      <c r="D12" s="42" t="s">
        <v>242</v>
      </c>
      <c r="E12" s="42"/>
      <c r="F12" s="42" t="s">
        <v>4281</v>
      </c>
      <c r="G12" s="42" t="s">
        <v>4283</v>
      </c>
      <c r="H12" s="42"/>
    </row>
    <row r="13" spans="1:9" s="44" customFormat="1" ht="120">
      <c r="A13" s="59">
        <v>11</v>
      </c>
      <c r="B13" s="59" t="s">
        <v>996</v>
      </c>
      <c r="C13" s="59">
        <v>14</v>
      </c>
      <c r="D13" s="59" t="s">
        <v>242</v>
      </c>
      <c r="E13" s="59"/>
      <c r="F13" s="59" t="s">
        <v>4284</v>
      </c>
      <c r="G13" s="59" t="s">
        <v>4285</v>
      </c>
      <c r="H13" s="59"/>
      <c r="I13" s="31"/>
    </row>
    <row r="14" spans="1:9" s="44" customFormat="1">
      <c r="A14" s="59">
        <v>12</v>
      </c>
      <c r="B14" s="59" t="s">
        <v>997</v>
      </c>
      <c r="C14" s="59">
        <v>14</v>
      </c>
      <c r="D14" s="59" t="s">
        <v>242</v>
      </c>
      <c r="E14" s="59"/>
      <c r="F14" s="59" t="s">
        <v>4286</v>
      </c>
      <c r="G14" s="59" t="s">
        <v>4291</v>
      </c>
      <c r="H14" s="59"/>
      <c r="I14" s="31"/>
    </row>
    <row r="15" spans="1:9" s="44" customFormat="1">
      <c r="A15" s="59">
        <v>13</v>
      </c>
      <c r="B15" s="59" t="s">
        <v>998</v>
      </c>
      <c r="C15" s="59">
        <v>14</v>
      </c>
      <c r="D15" s="59" t="s">
        <v>242</v>
      </c>
      <c r="E15" s="59"/>
      <c r="F15" s="59" t="s">
        <v>4287</v>
      </c>
      <c r="G15" s="59" t="s">
        <v>4291</v>
      </c>
      <c r="H15" s="59"/>
      <c r="I15" s="31"/>
    </row>
    <row r="16" spans="1:9" s="44" customFormat="1">
      <c r="A16" s="59">
        <v>14</v>
      </c>
      <c r="B16" s="59" t="s">
        <v>999</v>
      </c>
      <c r="C16" s="59">
        <v>14</v>
      </c>
      <c r="D16" s="59" t="s">
        <v>242</v>
      </c>
      <c r="E16" s="59"/>
      <c r="F16" s="59" t="s">
        <v>4288</v>
      </c>
      <c r="G16" s="59" t="s">
        <v>4291</v>
      </c>
      <c r="H16" s="59"/>
      <c r="I16" s="31"/>
    </row>
    <row r="17" spans="1:9" s="44" customFormat="1">
      <c r="A17" s="59">
        <v>15</v>
      </c>
      <c r="B17" s="59" t="s">
        <v>1000</v>
      </c>
      <c r="C17" s="59">
        <v>14</v>
      </c>
      <c r="D17" s="59" t="s">
        <v>242</v>
      </c>
      <c r="E17" s="59"/>
      <c r="F17" s="59" t="s">
        <v>4289</v>
      </c>
      <c r="G17" s="59" t="s">
        <v>4291</v>
      </c>
      <c r="H17" s="59"/>
      <c r="I17" s="31"/>
    </row>
    <row r="18" spans="1:9" s="44" customFormat="1">
      <c r="A18" s="59">
        <v>16</v>
      </c>
      <c r="B18" s="59" t="s">
        <v>1001</v>
      </c>
      <c r="C18" s="59">
        <v>14</v>
      </c>
      <c r="D18" s="59" t="s">
        <v>242</v>
      </c>
      <c r="E18" s="59"/>
      <c r="F18" s="59" t="s">
        <v>4290</v>
      </c>
      <c r="G18" s="59" t="s">
        <v>4291</v>
      </c>
      <c r="H18" s="59"/>
      <c r="I18" s="31"/>
    </row>
    <row r="19" spans="1:9" s="44" customFormat="1" ht="30">
      <c r="A19" s="59">
        <v>17</v>
      </c>
      <c r="B19" s="59" t="s">
        <v>6040</v>
      </c>
      <c r="C19" s="59">
        <v>14</v>
      </c>
      <c r="D19" s="59" t="s">
        <v>189</v>
      </c>
      <c r="E19" s="77"/>
      <c r="F19" s="75" t="s">
        <v>6041</v>
      </c>
      <c r="G19" s="75" t="s">
        <v>6726</v>
      </c>
      <c r="H19" s="59"/>
      <c r="I19" s="31" t="s">
        <v>7008</v>
      </c>
    </row>
    <row r="20" spans="1:9" s="44" customFormat="1" ht="45">
      <c r="A20" s="59">
        <v>18</v>
      </c>
      <c r="B20" s="59" t="s">
        <v>6042</v>
      </c>
      <c r="C20" s="59">
        <v>14</v>
      </c>
      <c r="D20" s="59" t="s">
        <v>242</v>
      </c>
      <c r="E20" s="77"/>
      <c r="F20" s="75" t="s">
        <v>6043</v>
      </c>
      <c r="G20" s="75" t="s">
        <v>6044</v>
      </c>
      <c r="H20" s="59"/>
      <c r="I20" s="31" t="s">
        <v>7008</v>
      </c>
    </row>
    <row r="21" spans="1:9" s="44" customFormat="1" ht="45">
      <c r="A21" s="59">
        <v>19</v>
      </c>
      <c r="B21" s="59" t="s">
        <v>6045</v>
      </c>
      <c r="C21" s="59">
        <v>14</v>
      </c>
      <c r="D21" s="59" t="s">
        <v>242</v>
      </c>
      <c r="E21" s="59"/>
      <c r="F21" s="59" t="s">
        <v>6046</v>
      </c>
      <c r="G21" s="59" t="s">
        <v>6047</v>
      </c>
      <c r="H21" s="59"/>
      <c r="I21" s="31" t="s">
        <v>7008</v>
      </c>
    </row>
    <row r="22" spans="1:9" s="44" customFormat="1" ht="30">
      <c r="A22" s="59">
        <v>20</v>
      </c>
      <c r="B22" s="59" t="s">
        <v>6048</v>
      </c>
      <c r="C22" s="59">
        <v>14</v>
      </c>
      <c r="D22" s="59" t="s">
        <v>242</v>
      </c>
      <c r="E22" s="59"/>
      <c r="F22" s="59" t="s">
        <v>6049</v>
      </c>
      <c r="G22" s="59" t="s">
        <v>6050</v>
      </c>
      <c r="H22" s="59"/>
      <c r="I22" s="31" t="s">
        <v>7008</v>
      </c>
    </row>
    <row r="23" spans="1:9" s="44" customFormat="1" ht="30">
      <c r="A23" s="59">
        <v>21</v>
      </c>
      <c r="B23" s="59" t="s">
        <v>6051</v>
      </c>
      <c r="C23" s="59">
        <v>11</v>
      </c>
      <c r="D23" s="59" t="s">
        <v>242</v>
      </c>
      <c r="E23" s="59"/>
      <c r="F23" s="59" t="s">
        <v>6052</v>
      </c>
      <c r="G23" s="59" t="s">
        <v>6053</v>
      </c>
      <c r="H23" s="59"/>
      <c r="I23" s="31" t="s">
        <v>7008</v>
      </c>
    </row>
    <row r="24" spans="1:9" s="44" customFormat="1" ht="45">
      <c r="A24" s="59">
        <v>22</v>
      </c>
      <c r="B24" s="59" t="s">
        <v>6054</v>
      </c>
      <c r="C24" s="59">
        <v>14</v>
      </c>
      <c r="D24" s="59" t="s">
        <v>242</v>
      </c>
      <c r="E24" s="59"/>
      <c r="F24" s="59" t="s">
        <v>6055</v>
      </c>
      <c r="G24" s="59" t="s">
        <v>6056</v>
      </c>
      <c r="H24" s="59"/>
      <c r="I24" s="31" t="s">
        <v>7008</v>
      </c>
    </row>
    <row r="25" spans="1:9" s="44" customFormat="1" ht="45">
      <c r="A25" s="59">
        <v>23</v>
      </c>
      <c r="B25" s="59" t="s">
        <v>6057</v>
      </c>
      <c r="C25" s="59">
        <v>14</v>
      </c>
      <c r="D25" s="59" t="s">
        <v>242</v>
      </c>
      <c r="E25" s="59"/>
      <c r="F25" s="59" t="s">
        <v>6058</v>
      </c>
      <c r="G25" s="59" t="s">
        <v>6059</v>
      </c>
      <c r="H25" s="59"/>
      <c r="I25" s="31" t="s">
        <v>7008</v>
      </c>
    </row>
    <row r="26" spans="1:9" s="44" customFormat="1">
      <c r="A26" s="59">
        <v>24</v>
      </c>
      <c r="B26" s="59" t="s">
        <v>1182</v>
      </c>
      <c r="C26" s="59">
        <v>12</v>
      </c>
      <c r="D26" s="59" t="s">
        <v>189</v>
      </c>
      <c r="E26" s="59" t="s">
        <v>5576</v>
      </c>
      <c r="F26" s="59" t="s">
        <v>1688</v>
      </c>
      <c r="G26" s="59" t="s">
        <v>1689</v>
      </c>
      <c r="H26" s="59"/>
      <c r="I26" s="31"/>
    </row>
    <row r="27" spans="1:9" s="44" customFormat="1" ht="30">
      <c r="A27" s="59">
        <v>25</v>
      </c>
      <c r="B27" s="59" t="s">
        <v>1183</v>
      </c>
      <c r="C27" s="59">
        <v>30</v>
      </c>
      <c r="D27" s="59" t="s">
        <v>242</v>
      </c>
      <c r="E27" s="59" t="s">
        <v>5576</v>
      </c>
      <c r="F27" s="59" t="s">
        <v>1690</v>
      </c>
      <c r="G27" s="59" t="s">
        <v>1691</v>
      </c>
      <c r="H27" s="59"/>
      <c r="I27" s="31"/>
    </row>
    <row r="28" spans="1:9" s="44" customFormat="1">
      <c r="A28" s="31"/>
      <c r="B28" s="31"/>
      <c r="C28" s="31"/>
      <c r="D28" s="31"/>
      <c r="E28" s="31"/>
      <c r="F28" s="31"/>
      <c r="G28" s="31"/>
      <c r="H28" s="31"/>
      <c r="I28" s="31"/>
    </row>
    <row r="29" spans="1:9" s="44" customFormat="1">
      <c r="A29" s="31"/>
      <c r="B29" s="31"/>
      <c r="C29" s="31"/>
      <c r="D29" s="31"/>
      <c r="E29" s="31"/>
      <c r="F29" s="31"/>
      <c r="G29" s="31"/>
      <c r="H29" s="31"/>
      <c r="I29" s="31"/>
    </row>
    <row r="30" spans="1:9" s="44" customFormat="1">
      <c r="A30" s="31"/>
      <c r="B30" s="31"/>
      <c r="C30" s="31"/>
      <c r="D30" s="31"/>
      <c r="E30" s="31"/>
      <c r="F30" s="31"/>
      <c r="G30" s="31"/>
      <c r="H30" s="31"/>
      <c r="I30" s="31"/>
    </row>
    <row r="31" spans="1:9" s="44" customFormat="1">
      <c r="A31" s="31"/>
      <c r="B31" s="31"/>
      <c r="C31" s="31"/>
      <c r="D31" s="31"/>
      <c r="E31" s="31"/>
      <c r="F31" s="31"/>
      <c r="G31" s="31"/>
      <c r="H31" s="31"/>
      <c r="I31" s="31"/>
    </row>
    <row r="32" spans="1:9" s="44" customFormat="1">
      <c r="A32" s="31"/>
      <c r="B32" s="31"/>
      <c r="C32" s="31"/>
      <c r="D32" s="31"/>
      <c r="E32" s="31"/>
      <c r="F32" s="31"/>
      <c r="G32" s="31"/>
      <c r="H32" s="31"/>
      <c r="I32" s="31"/>
    </row>
    <row r="33" spans="1:9" s="44" customFormat="1">
      <c r="A33" s="31"/>
      <c r="B33" s="31"/>
      <c r="C33" s="31"/>
      <c r="D33" s="31"/>
      <c r="E33" s="31"/>
      <c r="F33" s="31"/>
      <c r="G33" s="31"/>
      <c r="H33" s="31"/>
      <c r="I33" s="31"/>
    </row>
    <row r="34" spans="1:9" s="44" customFormat="1">
      <c r="A34" s="31"/>
      <c r="B34" s="31"/>
      <c r="C34" s="31"/>
      <c r="D34" s="31"/>
      <c r="E34" s="31"/>
      <c r="F34" s="31"/>
      <c r="G34" s="31"/>
      <c r="H34" s="31"/>
      <c r="I34" s="31"/>
    </row>
    <row r="35" spans="1:9" s="44" customFormat="1" ht="180">
      <c r="A35" s="59">
        <v>5</v>
      </c>
      <c r="B35" s="59" t="s">
        <v>243</v>
      </c>
      <c r="C35" s="59">
        <v>2</v>
      </c>
      <c r="D35" s="59" t="s">
        <v>242</v>
      </c>
      <c r="E35" s="59"/>
      <c r="F35" s="59" t="s">
        <v>3693</v>
      </c>
      <c r="G35" s="73" t="s">
        <v>3694</v>
      </c>
      <c r="H35" s="59"/>
      <c r="I35" s="31" t="s">
        <v>5924</v>
      </c>
    </row>
    <row r="36" spans="1:9" s="44" customFormat="1"/>
    <row r="37" spans="1:9" s="44" customFormat="1"/>
    <row r="38" spans="1:9" s="44" customFormat="1"/>
    <row r="39" spans="1:9" s="44" customFormat="1"/>
    <row r="40" spans="1:9" s="44" customFormat="1"/>
    <row r="41" spans="1:9" s="44" customFormat="1"/>
    <row r="42" spans="1:9" s="44" customFormat="1"/>
    <row r="43" spans="1:9" s="44" customFormat="1"/>
    <row r="44" spans="1:9" s="44" customFormat="1"/>
    <row r="45" spans="1:9" s="44" customFormat="1"/>
    <row r="46" spans="1:9" s="44" customFormat="1"/>
    <row r="47" spans="1:9" s="44" customFormat="1"/>
    <row r="48" spans="1:9" s="44" customFormat="1"/>
    <row r="49" s="44" customFormat="1"/>
    <row r="50" s="44" customFormat="1"/>
    <row r="51" s="44" customFormat="1"/>
    <row r="52" s="44" customFormat="1"/>
    <row r="53" s="44" customFormat="1"/>
    <row r="54" s="44" customFormat="1"/>
    <row r="55" s="44" customFormat="1"/>
    <row r="56" s="44" customFormat="1"/>
    <row r="57" s="44" customFormat="1"/>
    <row r="58" s="44" customFormat="1"/>
    <row r="59" s="44" customFormat="1"/>
    <row r="60" s="44" customFormat="1"/>
    <row r="61" s="44" customFormat="1"/>
    <row r="62" s="44" customFormat="1"/>
    <row r="63" s="44" customFormat="1"/>
    <row r="64" s="44" customFormat="1"/>
    <row r="65" s="44" customFormat="1"/>
    <row r="66" s="44" customFormat="1"/>
    <row r="67" s="44" customFormat="1"/>
    <row r="68" s="44" customFormat="1"/>
    <row r="69" s="44" customFormat="1"/>
    <row r="70" s="44" customFormat="1"/>
    <row r="71" s="44" customFormat="1"/>
    <row r="72" s="44" customFormat="1"/>
    <row r="73" s="44" customFormat="1"/>
    <row r="74" s="44" customFormat="1"/>
    <row r="75" s="44" customFormat="1"/>
    <row r="76" s="44" customFormat="1"/>
    <row r="77" s="44" customFormat="1"/>
    <row r="78" s="44" customFormat="1"/>
    <row r="79" s="44" customFormat="1"/>
    <row r="80" s="44" customFormat="1"/>
    <row r="81" s="44" customFormat="1"/>
    <row r="82" s="44" customFormat="1"/>
    <row r="83" s="44" customFormat="1"/>
    <row r="84" s="44" customFormat="1"/>
    <row r="85" s="44" customFormat="1"/>
    <row r="86" s="44" customFormat="1"/>
    <row r="87" s="44" customFormat="1"/>
    <row r="88" s="44" customFormat="1"/>
    <row r="89" s="44" customFormat="1"/>
    <row r="90" s="44" customFormat="1"/>
    <row r="91" s="44" customFormat="1"/>
    <row r="92" s="44" customFormat="1"/>
    <row r="93" s="44" customFormat="1"/>
    <row r="94" s="44" customFormat="1"/>
    <row r="95" s="44" customFormat="1"/>
    <row r="96" s="44" customFormat="1"/>
    <row r="97" s="44" customFormat="1"/>
    <row r="98" s="44" customFormat="1"/>
    <row r="99" s="44" customFormat="1"/>
    <row r="100" s="44" customFormat="1"/>
    <row r="101" s="44" customFormat="1"/>
    <row r="102" s="44" customFormat="1"/>
    <row r="103" s="44" customFormat="1"/>
    <row r="104" s="44" customFormat="1"/>
    <row r="105" s="44" customFormat="1"/>
    <row r="106" s="44" customFormat="1"/>
    <row r="107" s="44" customFormat="1"/>
    <row r="108" s="44" customFormat="1"/>
    <row r="109" s="44" customFormat="1"/>
    <row r="110" s="44" customFormat="1"/>
    <row r="111" s="44" customFormat="1"/>
    <row r="112" s="44" customFormat="1"/>
    <row r="113" s="44" customFormat="1"/>
    <row r="114" s="44" customFormat="1"/>
    <row r="115" s="44" customFormat="1"/>
    <row r="116" s="44" customFormat="1"/>
    <row r="117" s="44" customFormat="1"/>
    <row r="118" s="44" customFormat="1"/>
    <row r="119" s="44" customFormat="1"/>
    <row r="120" s="44" customFormat="1"/>
    <row r="121" s="44" customFormat="1"/>
    <row r="122" s="44" customFormat="1"/>
    <row r="123" s="44" customFormat="1"/>
    <row r="124" s="44" customFormat="1"/>
    <row r="125" s="44" customFormat="1"/>
    <row r="126" s="44" customFormat="1"/>
    <row r="127" s="44" customFormat="1"/>
    <row r="128" s="44" customFormat="1"/>
    <row r="129" s="44" customFormat="1"/>
    <row r="130" s="44" customFormat="1"/>
    <row r="131" s="44" customFormat="1"/>
    <row r="132" s="44" customFormat="1"/>
    <row r="133" s="44" customFormat="1"/>
    <row r="134" s="44" customFormat="1"/>
    <row r="135" s="44" customFormat="1"/>
    <row r="136" s="44" customFormat="1"/>
    <row r="137" s="44" customFormat="1"/>
    <row r="138" s="44" customFormat="1"/>
    <row r="139" s="44" customFormat="1"/>
    <row r="140" s="44" customFormat="1"/>
    <row r="141" s="44" customFormat="1"/>
    <row r="142" s="44" customFormat="1"/>
    <row r="143" s="44" customFormat="1"/>
    <row r="144" s="44" customFormat="1"/>
    <row r="145" s="44" customFormat="1"/>
    <row r="146" s="44" customFormat="1"/>
    <row r="147" s="44" customFormat="1"/>
    <row r="148" s="44" customFormat="1"/>
    <row r="149" s="44" customFormat="1"/>
    <row r="150" s="44" customFormat="1"/>
    <row r="151" s="44" customFormat="1"/>
    <row r="152" s="44" customFormat="1"/>
    <row r="153" s="44" customFormat="1"/>
    <row r="154" s="44" customFormat="1"/>
    <row r="155" s="44" customFormat="1"/>
    <row r="156" s="44" customFormat="1"/>
    <row r="157" s="44" customFormat="1"/>
    <row r="158" s="44" customFormat="1"/>
    <row r="159" s="44" customFormat="1"/>
    <row r="160" s="44" customFormat="1"/>
    <row r="161" s="44" customFormat="1"/>
    <row r="162" s="44" customFormat="1"/>
    <row r="163" s="44" customFormat="1"/>
    <row r="164" s="44" customFormat="1"/>
    <row r="165" s="44" customFormat="1"/>
    <row r="166" s="44" customFormat="1"/>
    <row r="167" s="44" customFormat="1"/>
    <row r="168" s="44" customFormat="1"/>
    <row r="169" s="44" customFormat="1"/>
    <row r="170" s="44" customFormat="1"/>
    <row r="171" s="44" customFormat="1"/>
    <row r="172" s="44" customFormat="1"/>
    <row r="173" s="44" customFormat="1"/>
    <row r="174" s="44" customFormat="1"/>
    <row r="175" s="44" customFormat="1"/>
    <row r="176" s="44" customFormat="1"/>
    <row r="177" s="44" customFormat="1"/>
    <row r="178" s="44" customFormat="1"/>
    <row r="179" s="44" customFormat="1"/>
    <row r="180" s="44" customFormat="1"/>
    <row r="181" s="44" customFormat="1"/>
    <row r="182" s="44" customFormat="1"/>
    <row r="183" s="44" customFormat="1"/>
    <row r="184" s="44" customFormat="1"/>
    <row r="185" s="44" customFormat="1"/>
    <row r="186" s="44" customFormat="1"/>
    <row r="187" s="44" customFormat="1"/>
    <row r="188" s="44" customFormat="1"/>
    <row r="189" s="44" customFormat="1"/>
    <row r="190" s="44" customFormat="1"/>
    <row r="191" s="44" customFormat="1"/>
    <row r="192" s="44" customFormat="1"/>
    <row r="193" s="44" customFormat="1"/>
    <row r="194" s="44" customFormat="1"/>
    <row r="195" s="44" customFormat="1"/>
    <row r="196" s="44" customFormat="1"/>
    <row r="197" s="44" customFormat="1"/>
    <row r="198" s="44" customFormat="1"/>
    <row r="199" s="44" customFormat="1"/>
    <row r="200" s="44" customFormat="1"/>
    <row r="201" s="44" customFormat="1"/>
    <row r="202" s="44" customFormat="1"/>
    <row r="203" s="44" customFormat="1"/>
    <row r="204" s="44" customFormat="1"/>
    <row r="205" s="44" customFormat="1"/>
    <row r="206" s="44" customFormat="1"/>
    <row r="207" s="44" customFormat="1"/>
    <row r="208" s="44" customFormat="1"/>
    <row r="209" s="44" customFormat="1"/>
    <row r="210" s="44" customFormat="1"/>
    <row r="211" s="44" customFormat="1"/>
    <row r="212" s="44" customFormat="1"/>
    <row r="213" s="44" customFormat="1"/>
    <row r="214" s="44" customFormat="1"/>
    <row r="215" s="44" customFormat="1"/>
    <row r="216" s="44" customFormat="1"/>
    <row r="217" s="44" customFormat="1"/>
    <row r="218" s="44" customFormat="1"/>
    <row r="219" s="44" customFormat="1"/>
    <row r="220" s="44" customFormat="1"/>
    <row r="221" s="44" customFormat="1"/>
    <row r="222" s="44" customFormat="1"/>
    <row r="223" s="44" customFormat="1"/>
    <row r="224" s="44" customFormat="1"/>
    <row r="225" s="44" customFormat="1"/>
    <row r="226" s="44" customFormat="1"/>
    <row r="227" s="44" customFormat="1"/>
    <row r="228" s="44" customFormat="1"/>
    <row r="229" s="44" customFormat="1"/>
    <row r="230" s="44" customFormat="1"/>
    <row r="231" s="44" customFormat="1"/>
    <row r="232" s="44" customFormat="1"/>
    <row r="233" s="44" customFormat="1"/>
    <row r="234" s="44" customFormat="1"/>
    <row r="235" s="44" customFormat="1"/>
    <row r="236" s="44" customFormat="1"/>
    <row r="237" s="44" customFormat="1"/>
    <row r="238" s="44" customFormat="1"/>
    <row r="239" s="44" customFormat="1"/>
    <row r="240" s="44" customFormat="1"/>
    <row r="241" s="44" customFormat="1"/>
    <row r="242" s="44" customFormat="1"/>
    <row r="243" s="44" customFormat="1"/>
    <row r="244" s="44" customFormat="1"/>
    <row r="245" s="44" customFormat="1"/>
    <row r="246" s="44" customFormat="1"/>
  </sheetData>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7772-4591-43D8-A94D-378633B63415}">
  <sheetPr codeName="Sheet42"/>
  <dimension ref="A1:XEZ250"/>
  <sheetViews>
    <sheetView workbookViewId="0">
      <selection activeCell="C22" sqref="C22"/>
    </sheetView>
  </sheetViews>
  <sheetFormatPr defaultColWidth="32.140625" defaultRowHeight="15"/>
  <cols>
    <col min="1" max="1" width="7.140625" style="34" bestFit="1" customWidth="1"/>
    <col min="2" max="2" width="23.140625" style="34" bestFit="1" customWidth="1"/>
    <col min="3" max="3" width="4.5703125" style="34" bestFit="1" customWidth="1"/>
    <col min="4" max="4" width="9" style="34" bestFit="1" customWidth="1"/>
    <col min="5" max="5" width="24.42578125" style="34" bestFit="1" customWidth="1"/>
    <col min="6" max="6" width="31" style="34" bestFit="1" customWidth="1"/>
    <col min="7" max="7" width="56.5703125" style="34" bestFit="1" customWidth="1"/>
    <col min="8" max="9" width="5.140625" style="2" bestFit="1" customWidth="1"/>
    <col min="10" max="14" width="32.140625" style="2"/>
    <col min="15" max="15" width="16.85546875" style="2" bestFit="1" customWidth="1"/>
    <col min="16" max="16" width="2" style="2" bestFit="1" customWidth="1"/>
    <col min="17" max="16379" width="32.140625" style="2"/>
    <col min="16380" max="16380" width="1.7109375" style="2" customWidth="1"/>
    <col min="16381" max="16384" width="17.7109375" style="34" customWidth="1"/>
  </cols>
  <sheetData>
    <row r="1" spans="1:10" s="34" customFormat="1">
      <c r="A1" s="32" t="s">
        <v>238</v>
      </c>
      <c r="B1" s="32"/>
      <c r="C1" s="32"/>
      <c r="D1" s="32"/>
      <c r="E1" s="32"/>
      <c r="F1" s="32"/>
      <c r="G1" s="32"/>
      <c r="H1" s="32"/>
      <c r="I1" s="32"/>
    </row>
    <row r="2" spans="1:10" s="34" customFormat="1">
      <c r="A2" s="10" t="s">
        <v>350</v>
      </c>
      <c r="B2" s="10" t="s">
        <v>156</v>
      </c>
      <c r="C2" s="10" t="s">
        <v>157</v>
      </c>
      <c r="D2" s="10" t="s">
        <v>239</v>
      </c>
      <c r="E2" s="10" t="s">
        <v>159</v>
      </c>
      <c r="F2" s="10" t="s">
        <v>1684</v>
      </c>
      <c r="G2" s="10" t="s">
        <v>1685</v>
      </c>
      <c r="H2" s="10" t="s">
        <v>5371</v>
      </c>
      <c r="I2" s="10" t="s">
        <v>5372</v>
      </c>
    </row>
    <row r="3" spans="1:10" s="34" customFormat="1">
      <c r="A3" s="33">
        <v>1</v>
      </c>
      <c r="B3" s="33" t="s">
        <v>724</v>
      </c>
      <c r="C3" s="33">
        <v>8</v>
      </c>
      <c r="D3" s="33" t="s">
        <v>160</v>
      </c>
      <c r="E3" s="33" t="s">
        <v>177</v>
      </c>
      <c r="F3" s="33" t="s">
        <v>1686</v>
      </c>
      <c r="G3" s="33" t="s">
        <v>1687</v>
      </c>
      <c r="H3" s="33" t="s">
        <v>5382</v>
      </c>
      <c r="I3" s="33" t="s">
        <v>5386</v>
      </c>
    </row>
    <row r="4" spans="1:10" s="34" customFormat="1" ht="60">
      <c r="A4" s="33">
        <v>2</v>
      </c>
      <c r="B4" s="33" t="s">
        <v>775</v>
      </c>
      <c r="C4" s="33">
        <v>3</v>
      </c>
      <c r="D4" s="33" t="s">
        <v>189</v>
      </c>
      <c r="E4" s="33"/>
      <c r="F4" s="33" t="s">
        <v>4257</v>
      </c>
      <c r="G4" s="33" t="s">
        <v>4258</v>
      </c>
      <c r="H4" s="33" t="s">
        <v>5384</v>
      </c>
      <c r="I4" s="33" t="s">
        <v>1291</v>
      </c>
    </row>
    <row r="5" spans="1:10" s="34" customFormat="1" ht="60">
      <c r="A5" s="33">
        <v>3</v>
      </c>
      <c r="B5" s="33" t="s">
        <v>776</v>
      </c>
      <c r="C5" s="33">
        <v>3</v>
      </c>
      <c r="D5" s="33" t="s">
        <v>242</v>
      </c>
      <c r="E5" s="33"/>
      <c r="F5" s="33" t="s">
        <v>4260</v>
      </c>
      <c r="G5" s="33" t="s">
        <v>4259</v>
      </c>
      <c r="H5" s="33" t="s">
        <v>5385</v>
      </c>
      <c r="I5" s="33" t="s">
        <v>5387</v>
      </c>
    </row>
    <row r="6" spans="1:10" s="34" customFormat="1">
      <c r="A6" s="33">
        <v>4</v>
      </c>
      <c r="B6" s="33" t="s">
        <v>777</v>
      </c>
      <c r="C6" s="33">
        <v>30</v>
      </c>
      <c r="D6" s="33" t="s">
        <v>242</v>
      </c>
      <c r="E6" s="33"/>
      <c r="F6" s="33" t="s">
        <v>4261</v>
      </c>
      <c r="G6" s="33" t="s">
        <v>4262</v>
      </c>
      <c r="H6" s="33"/>
      <c r="I6" s="33"/>
    </row>
    <row r="7" spans="1:10" s="34" customFormat="1" ht="30">
      <c r="A7" s="33">
        <v>5</v>
      </c>
      <c r="B7" s="33" t="s">
        <v>778</v>
      </c>
      <c r="C7" s="33">
        <v>30</v>
      </c>
      <c r="D7" s="33" t="s">
        <v>242</v>
      </c>
      <c r="E7" s="33"/>
      <c r="F7" s="33" t="s">
        <v>4263</v>
      </c>
      <c r="G7" s="33" t="s">
        <v>4264</v>
      </c>
      <c r="H7" s="33"/>
      <c r="I7" s="33"/>
    </row>
    <row r="8" spans="1:10" s="34" customFormat="1" ht="60">
      <c r="A8" s="33">
        <v>6</v>
      </c>
      <c r="B8" s="33" t="s">
        <v>779</v>
      </c>
      <c r="C8" s="33">
        <v>2</v>
      </c>
      <c r="D8" s="33" t="s">
        <v>242</v>
      </c>
      <c r="E8" s="33"/>
      <c r="F8" s="33" t="s">
        <v>4265</v>
      </c>
      <c r="G8" s="33" t="s">
        <v>4266</v>
      </c>
      <c r="H8" s="33"/>
      <c r="I8" s="33"/>
    </row>
    <row r="9" spans="1:10" s="34" customFormat="1">
      <c r="A9" s="33">
        <v>7</v>
      </c>
      <c r="B9" s="33" t="s">
        <v>780</v>
      </c>
      <c r="C9" s="33">
        <v>3</v>
      </c>
      <c r="D9" s="33" t="s">
        <v>242</v>
      </c>
      <c r="E9" s="33"/>
      <c r="F9" s="33" t="s">
        <v>4267</v>
      </c>
      <c r="G9" s="33" t="s">
        <v>4268</v>
      </c>
      <c r="H9" s="33"/>
      <c r="I9" s="33"/>
    </row>
    <row r="10" spans="1:10" s="34" customFormat="1">
      <c r="A10" s="33">
        <v>8</v>
      </c>
      <c r="B10" s="33" t="s">
        <v>781</v>
      </c>
      <c r="C10" s="33">
        <v>2</v>
      </c>
      <c r="D10" s="33" t="s">
        <v>242</v>
      </c>
      <c r="E10" s="33"/>
      <c r="F10" s="33" t="s">
        <v>4269</v>
      </c>
      <c r="G10" s="33" t="s">
        <v>4270</v>
      </c>
      <c r="H10" s="33"/>
      <c r="I10" s="33"/>
    </row>
    <row r="11" spans="1:10" s="34" customFormat="1">
      <c r="A11" s="33">
        <v>9</v>
      </c>
      <c r="B11" s="33" t="s">
        <v>782</v>
      </c>
      <c r="C11" s="33">
        <v>3</v>
      </c>
      <c r="D11" s="33" t="s">
        <v>242</v>
      </c>
      <c r="E11" s="33"/>
      <c r="F11" s="33" t="s">
        <v>2744</v>
      </c>
      <c r="G11" s="33" t="s">
        <v>4271</v>
      </c>
      <c r="H11" s="33"/>
      <c r="I11" s="33"/>
    </row>
    <row r="12" spans="1:10" s="34" customFormat="1" ht="30">
      <c r="A12" s="59">
        <v>10</v>
      </c>
      <c r="B12" s="59" t="s">
        <v>783</v>
      </c>
      <c r="C12" s="59">
        <v>1</v>
      </c>
      <c r="D12" s="59" t="s">
        <v>189</v>
      </c>
      <c r="E12" s="59"/>
      <c r="F12" s="59" t="s">
        <v>4273</v>
      </c>
      <c r="G12" s="59" t="s">
        <v>4272</v>
      </c>
      <c r="H12" s="59"/>
      <c r="I12" s="59"/>
      <c r="J12" s="31"/>
    </row>
    <row r="13" spans="1:10" s="34" customFormat="1" ht="30">
      <c r="A13" s="59">
        <v>11</v>
      </c>
      <c r="B13" s="59" t="s">
        <v>784</v>
      </c>
      <c r="C13" s="59">
        <v>40</v>
      </c>
      <c r="D13" s="59" t="s">
        <v>242</v>
      </c>
      <c r="E13" s="59"/>
      <c r="F13" s="59" t="s">
        <v>4274</v>
      </c>
      <c r="G13" s="59" t="s">
        <v>4275</v>
      </c>
      <c r="H13" s="59"/>
      <c r="I13" s="59"/>
      <c r="J13" s="31"/>
    </row>
    <row r="14" spans="1:10" s="34" customFormat="1">
      <c r="A14" s="59">
        <v>12</v>
      </c>
      <c r="B14" s="59" t="s">
        <v>785</v>
      </c>
      <c r="C14" s="59">
        <v>1</v>
      </c>
      <c r="D14" s="59" t="s">
        <v>242</v>
      </c>
      <c r="E14" s="59"/>
      <c r="F14" s="59" t="s">
        <v>5925</v>
      </c>
      <c r="G14" s="59" t="s">
        <v>5926</v>
      </c>
      <c r="H14" s="59"/>
      <c r="I14" s="59"/>
      <c r="J14" s="31" t="s">
        <v>7009</v>
      </c>
    </row>
    <row r="15" spans="1:10" s="34" customFormat="1">
      <c r="A15" s="59">
        <v>13</v>
      </c>
      <c r="B15" s="59" t="s">
        <v>1182</v>
      </c>
      <c r="C15" s="59">
        <v>12</v>
      </c>
      <c r="D15" s="59" t="s">
        <v>189</v>
      </c>
      <c r="E15" s="59" t="s">
        <v>5576</v>
      </c>
      <c r="F15" s="59" t="s">
        <v>1688</v>
      </c>
      <c r="G15" s="59" t="s">
        <v>1689</v>
      </c>
      <c r="H15" s="59"/>
      <c r="I15" s="59"/>
      <c r="J15" s="31"/>
    </row>
    <row r="16" spans="1:10" s="34" customFormat="1" ht="30">
      <c r="A16" s="59">
        <v>14</v>
      </c>
      <c r="B16" s="59" t="s">
        <v>1183</v>
      </c>
      <c r="C16" s="59">
        <v>30</v>
      </c>
      <c r="D16" s="59" t="s">
        <v>242</v>
      </c>
      <c r="E16" s="59" t="s">
        <v>5576</v>
      </c>
      <c r="F16" s="59" t="s">
        <v>1690</v>
      </c>
      <c r="G16" s="59" t="s">
        <v>1691</v>
      </c>
      <c r="H16" s="59"/>
      <c r="I16" s="59"/>
      <c r="J16" s="31"/>
    </row>
    <row r="17" spans="1:10" s="34" customFormat="1">
      <c r="A17" s="31"/>
      <c r="B17" s="31"/>
      <c r="C17" s="31"/>
      <c r="D17" s="31"/>
      <c r="E17" s="31"/>
      <c r="F17" s="31"/>
      <c r="G17" s="31"/>
      <c r="H17" s="72"/>
      <c r="I17" s="72"/>
      <c r="J17" s="31"/>
    </row>
    <row r="18" spans="1:10" s="34" customFormat="1">
      <c r="A18" s="31"/>
      <c r="B18" s="31"/>
      <c r="C18" s="31"/>
      <c r="D18" s="31"/>
      <c r="E18" s="31"/>
      <c r="F18" s="31"/>
      <c r="G18" s="31"/>
      <c r="H18" s="72"/>
      <c r="I18" s="72"/>
      <c r="J18" s="31"/>
    </row>
    <row r="19" spans="1:10" s="34" customFormat="1">
      <c r="H19"/>
      <c r="I19"/>
    </row>
    <row r="20" spans="1:10" s="34" customFormat="1">
      <c r="H20"/>
      <c r="I20"/>
    </row>
    <row r="21" spans="1:10" s="34" customFormat="1"/>
    <row r="22" spans="1:10" s="34" customFormat="1">
      <c r="H22"/>
      <c r="I22"/>
    </row>
    <row r="23" spans="1:10" s="34" customFormat="1"/>
    <row r="24" spans="1:10" s="34" customFormat="1"/>
    <row r="25" spans="1:10" s="34" customFormat="1"/>
    <row r="26" spans="1:10" s="34" customFormat="1"/>
    <row r="27" spans="1:10" s="34" customFormat="1"/>
    <row r="28" spans="1:10" s="34" customFormat="1"/>
    <row r="29" spans="1:10" s="34" customFormat="1"/>
    <row r="30" spans="1:10" s="34" customFormat="1"/>
    <row r="31" spans="1:10" s="34" customFormat="1"/>
    <row r="32" spans="1:10" s="34" customFormat="1"/>
    <row r="33" spans="15:16" s="34" customFormat="1"/>
    <row r="34" spans="15:16" s="34" customFormat="1"/>
    <row r="35" spans="15:16" s="34" customFormat="1">
      <c r="O35" s="34" t="s">
        <v>785</v>
      </c>
      <c r="P35" s="34">
        <v>1</v>
      </c>
    </row>
    <row r="36" spans="15:16" s="34" customFormat="1"/>
    <row r="37" spans="15:16" s="34" customFormat="1"/>
    <row r="38" spans="15:16" s="34" customFormat="1"/>
    <row r="39" spans="15:16" s="34" customFormat="1"/>
    <row r="40" spans="15:16" s="34" customFormat="1"/>
    <row r="41" spans="15:16" s="34" customFormat="1"/>
    <row r="42" spans="15:16" s="34" customFormat="1"/>
    <row r="43" spans="15:16" s="34" customFormat="1"/>
    <row r="44" spans="15:16" s="34" customFormat="1"/>
    <row r="45" spans="15:16" s="34" customFormat="1"/>
    <row r="46" spans="15:16" s="34" customFormat="1"/>
    <row r="47" spans="15:16" s="34" customFormat="1"/>
    <row r="48" spans="15:16" s="34" customFormat="1"/>
    <row r="49" s="34" customFormat="1"/>
    <row r="50" s="34" customFormat="1"/>
    <row r="51" s="34" customFormat="1"/>
    <row r="52" s="34" customFormat="1"/>
    <row r="53" s="34" customFormat="1"/>
    <row r="54" s="34" customFormat="1"/>
    <row r="55" s="34" customFormat="1"/>
    <row r="56" s="34" customFormat="1"/>
    <row r="57" s="34" customFormat="1"/>
    <row r="58" s="34" customFormat="1"/>
    <row r="59" s="34" customFormat="1"/>
    <row r="60" s="34" customFormat="1"/>
    <row r="61" s="34" customFormat="1"/>
    <row r="62" s="34" customFormat="1"/>
    <row r="63" s="34" customFormat="1"/>
    <row r="64" s="34" customFormat="1"/>
    <row r="65" s="34" customFormat="1"/>
    <row r="66" s="34" customFormat="1"/>
    <row r="67" s="34" customFormat="1"/>
    <row r="68" s="34" customFormat="1"/>
    <row r="69" s="34" customFormat="1"/>
    <row r="70" s="34" customFormat="1"/>
    <row r="71" s="34" customFormat="1"/>
    <row r="72" s="34" customFormat="1"/>
    <row r="73" s="34" customFormat="1"/>
    <row r="74" s="34" customFormat="1"/>
    <row r="75" s="34" customFormat="1"/>
    <row r="76" s="34" customFormat="1"/>
    <row r="77" s="34" customFormat="1"/>
    <row r="78" s="34" customFormat="1"/>
    <row r="79" s="34" customFormat="1"/>
    <row r="80" s="34" customFormat="1"/>
    <row r="81" s="34" customFormat="1"/>
    <row r="82" s="34" customFormat="1"/>
    <row r="83" s="34" customFormat="1"/>
    <row r="84" s="34" customFormat="1"/>
    <row r="85" s="34" customFormat="1"/>
    <row r="86" s="34" customFormat="1"/>
    <row r="87" s="34" customFormat="1"/>
    <row r="88" s="34" customFormat="1"/>
    <row r="89" s="34" customFormat="1"/>
    <row r="90" s="34" customFormat="1"/>
    <row r="91" s="34" customFormat="1"/>
    <row r="92" s="34" customFormat="1"/>
    <row r="93" s="34" customFormat="1"/>
    <row r="94" s="34" customFormat="1"/>
    <row r="95" s="34" customFormat="1"/>
    <row r="96" s="34" customFormat="1"/>
    <row r="97" s="34" customFormat="1"/>
    <row r="98" s="34" customFormat="1"/>
    <row r="99" s="34" customFormat="1"/>
    <row r="100" s="34" customFormat="1"/>
    <row r="101" s="34" customFormat="1"/>
    <row r="102" s="34" customFormat="1"/>
    <row r="103" s="34" customFormat="1"/>
    <row r="104" s="34" customFormat="1"/>
    <row r="105" s="34" customFormat="1"/>
    <row r="106" s="34" customFormat="1"/>
    <row r="107" s="34" customFormat="1"/>
    <row r="108" s="34" customFormat="1"/>
    <row r="109" s="34" customFormat="1"/>
    <row r="110" s="34" customFormat="1"/>
    <row r="111" s="34" customFormat="1"/>
    <row r="112" s="34" customFormat="1"/>
    <row r="113" s="34" customFormat="1"/>
    <row r="114" s="34" customFormat="1"/>
    <row r="115" s="34" customFormat="1"/>
    <row r="116" s="34" customFormat="1"/>
    <row r="117" s="34" customFormat="1"/>
    <row r="118" s="34" customFormat="1"/>
    <row r="119" s="34" customFormat="1"/>
    <row r="120" s="34" customFormat="1"/>
    <row r="121" s="34" customFormat="1"/>
    <row r="122" s="34" customFormat="1"/>
    <row r="123" s="34" customFormat="1"/>
    <row r="124" s="34" customFormat="1"/>
    <row r="125" s="34" customFormat="1"/>
    <row r="126" s="34" customFormat="1"/>
    <row r="127" s="34" customFormat="1"/>
    <row r="128" s="34" customFormat="1"/>
    <row r="129" s="34" customFormat="1"/>
    <row r="130" s="34" customFormat="1"/>
    <row r="131" s="34" customFormat="1"/>
    <row r="132" s="34" customFormat="1"/>
    <row r="133" s="34" customFormat="1"/>
    <row r="134" s="34" customFormat="1"/>
    <row r="135" s="34" customFormat="1"/>
    <row r="136" s="34" customFormat="1"/>
    <row r="137" s="34" customFormat="1"/>
    <row r="138" s="34" customFormat="1"/>
    <row r="139" s="34" customFormat="1"/>
    <row r="140" s="34" customFormat="1"/>
    <row r="141" s="34" customFormat="1"/>
    <row r="142" s="34" customFormat="1"/>
    <row r="143" s="34" customFormat="1"/>
    <row r="144" s="34" customFormat="1"/>
    <row r="145" s="34" customFormat="1"/>
    <row r="146" s="34" customFormat="1"/>
    <row r="147" s="34" customFormat="1"/>
    <row r="148" s="34" customFormat="1"/>
    <row r="149" s="34" customFormat="1"/>
    <row r="150" s="34" customFormat="1"/>
    <row r="151" s="34" customFormat="1"/>
    <row r="152" s="34" customFormat="1"/>
    <row r="153" s="34" customFormat="1"/>
    <row r="154" s="34" customFormat="1"/>
    <row r="155" s="34" customFormat="1"/>
    <row r="156" s="34" customFormat="1"/>
    <row r="157" s="34" customFormat="1"/>
    <row r="158" s="34" customFormat="1"/>
    <row r="159" s="34" customFormat="1"/>
    <row r="160" s="34" customFormat="1"/>
    <row r="161" s="34" customFormat="1"/>
    <row r="162" s="34" customFormat="1"/>
    <row r="163" s="34" customFormat="1"/>
    <row r="164" s="34" customFormat="1"/>
    <row r="165" s="34" customFormat="1"/>
    <row r="166" s="34" customFormat="1"/>
    <row r="167" s="34" customFormat="1"/>
    <row r="168" s="34" customFormat="1"/>
    <row r="169" s="34" customFormat="1"/>
    <row r="170" s="34" customFormat="1"/>
    <row r="171" s="34" customFormat="1"/>
    <row r="172" s="34" customFormat="1"/>
    <row r="173" s="34" customFormat="1"/>
    <row r="174" s="34" customFormat="1"/>
    <row r="175" s="34" customFormat="1"/>
    <row r="176" s="34" customFormat="1"/>
    <row r="177" s="34" customFormat="1"/>
    <row r="178" s="34" customFormat="1"/>
    <row r="179" s="34" customFormat="1"/>
    <row r="180" s="34" customFormat="1"/>
    <row r="181" s="34" customFormat="1"/>
    <row r="182" s="34" customFormat="1"/>
    <row r="183" s="34" customFormat="1"/>
    <row r="184" s="34" customFormat="1"/>
    <row r="185" s="34" customFormat="1"/>
    <row r="186" s="34" customFormat="1"/>
    <row r="187" s="34" customFormat="1"/>
    <row r="188" s="34" customFormat="1"/>
    <row r="189" s="34" customFormat="1"/>
    <row r="190" s="34" customFormat="1"/>
    <row r="191" s="34" customFormat="1"/>
    <row r="192" s="34" customFormat="1"/>
    <row r="193" s="34" customFormat="1"/>
    <row r="194" s="34" customFormat="1"/>
    <row r="195" s="34" customFormat="1"/>
    <row r="196" s="34" customFormat="1"/>
    <row r="197" s="34" customFormat="1"/>
    <row r="198" s="34" customFormat="1"/>
    <row r="199" s="34" customFormat="1"/>
    <row r="200" s="34" customFormat="1"/>
    <row r="201" s="34" customFormat="1"/>
    <row r="202" s="34" customFormat="1"/>
    <row r="203" s="34" customFormat="1"/>
    <row r="204" s="34" customFormat="1"/>
    <row r="205" s="34" customFormat="1"/>
    <row r="206" s="34" customFormat="1"/>
    <row r="207" s="34" customFormat="1"/>
    <row r="208" s="34" customFormat="1"/>
    <row r="209" s="34" customFormat="1"/>
    <row r="210" s="34" customFormat="1"/>
    <row r="211" s="34" customFormat="1"/>
    <row r="212" s="34" customFormat="1"/>
    <row r="213" s="34" customFormat="1"/>
    <row r="214" s="34" customFormat="1"/>
    <row r="215" s="34" customFormat="1"/>
    <row r="216" s="34" customFormat="1"/>
    <row r="217" s="34" customFormat="1"/>
    <row r="218" s="34" customFormat="1"/>
    <row r="219" s="34" customFormat="1"/>
    <row r="220" s="34" customFormat="1"/>
    <row r="221" s="34" customFormat="1"/>
    <row r="222" s="34" customFormat="1"/>
    <row r="223" s="34" customFormat="1"/>
    <row r="224" s="34" customFormat="1"/>
    <row r="225" s="34" customFormat="1"/>
    <row r="226" s="34" customFormat="1"/>
    <row r="227" s="34" customFormat="1"/>
    <row r="228" s="34" customFormat="1"/>
    <row r="229" s="34" customFormat="1"/>
    <row r="230" s="34" customFormat="1"/>
    <row r="231" s="34" customFormat="1"/>
    <row r="232" s="34" customFormat="1"/>
    <row r="233" s="34" customFormat="1"/>
    <row r="234" s="34" customFormat="1"/>
    <row r="235" s="34" customFormat="1"/>
    <row r="236" s="34" customFormat="1"/>
    <row r="237" s="34" customFormat="1"/>
    <row r="238" s="34" customFormat="1"/>
    <row r="239" s="34" customFormat="1"/>
    <row r="240" s="34" customFormat="1"/>
    <row r="241" s="34" customFormat="1"/>
    <row r="242" s="34" customFormat="1"/>
    <row r="243" s="34" customFormat="1"/>
    <row r="244" s="34" customFormat="1"/>
    <row r="245" s="34" customFormat="1"/>
    <row r="246" s="34" customFormat="1"/>
    <row r="247" s="34" customFormat="1"/>
    <row r="248" s="34" customFormat="1"/>
    <row r="249" s="34" customFormat="1"/>
    <row r="250" s="34" customFormat="1"/>
  </sheetData>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73F31-3684-4EA0-8608-C29C1C88E50E}">
  <sheetPr codeName="Sheet43"/>
  <dimension ref="A1:XEZ250"/>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9" width="5.140625" style="2" bestFit="1" customWidth="1"/>
    <col min="10" max="16379" width="32.140625" style="2"/>
    <col min="16380" max="16380" width="1.7109375" style="2" customWidth="1"/>
    <col min="16381" max="16384" width="17.7109375" style="1" customWidth="1"/>
  </cols>
  <sheetData>
    <row r="1" spans="1:9" s="1" customFormat="1">
      <c r="A1" s="12" t="s">
        <v>238</v>
      </c>
      <c r="B1" s="12"/>
      <c r="C1" s="12"/>
      <c r="D1" s="12"/>
      <c r="E1" s="12"/>
      <c r="F1" s="12"/>
      <c r="G1" s="12"/>
      <c r="H1" s="12"/>
      <c r="I1" s="12"/>
    </row>
    <row r="2" spans="1:9" s="1" customFormat="1">
      <c r="A2" s="10" t="s">
        <v>350</v>
      </c>
      <c r="B2" s="10" t="s">
        <v>156</v>
      </c>
      <c r="C2" s="10" t="s">
        <v>157</v>
      </c>
      <c r="D2" s="10" t="s">
        <v>239</v>
      </c>
      <c r="E2" s="10" t="s">
        <v>159</v>
      </c>
      <c r="F2" s="10" t="s">
        <v>1684</v>
      </c>
      <c r="G2" s="10" t="s">
        <v>1685</v>
      </c>
      <c r="H2" s="10" t="s">
        <v>5371</v>
      </c>
      <c r="I2" s="10" t="s">
        <v>5389</v>
      </c>
    </row>
    <row r="3" spans="1:9" s="1" customFormat="1">
      <c r="A3" s="11">
        <v>1</v>
      </c>
      <c r="B3" s="11" t="s">
        <v>240</v>
      </c>
      <c r="C3" s="11">
        <v>8</v>
      </c>
      <c r="D3" s="11" t="s">
        <v>160</v>
      </c>
      <c r="E3" s="11" t="s">
        <v>177</v>
      </c>
      <c r="F3" s="11" t="s">
        <v>1686</v>
      </c>
      <c r="G3" s="11" t="s">
        <v>1687</v>
      </c>
      <c r="H3" s="11" t="s">
        <v>5382</v>
      </c>
      <c r="I3" s="11" t="s">
        <v>5386</v>
      </c>
    </row>
    <row r="4" spans="1:9" s="1" customFormat="1">
      <c r="A4" s="11">
        <v>2</v>
      </c>
      <c r="B4" s="11" t="s">
        <v>722</v>
      </c>
      <c r="C4" s="11">
        <v>8</v>
      </c>
      <c r="D4" s="11" t="s">
        <v>160</v>
      </c>
      <c r="E4" s="11" t="s">
        <v>177</v>
      </c>
      <c r="F4" s="11" t="s">
        <v>2312</v>
      </c>
      <c r="G4" s="11" t="s">
        <v>4242</v>
      </c>
      <c r="H4" s="11" t="s">
        <v>5384</v>
      </c>
      <c r="I4" s="11"/>
    </row>
    <row r="5" spans="1:9" s="1" customFormat="1" ht="90">
      <c r="A5" s="11">
        <v>3</v>
      </c>
      <c r="B5" s="11" t="s">
        <v>723</v>
      </c>
      <c r="C5" s="11">
        <v>4</v>
      </c>
      <c r="D5" s="11" t="s">
        <v>242</v>
      </c>
      <c r="E5" s="11"/>
      <c r="F5" s="11" t="s">
        <v>4243</v>
      </c>
      <c r="G5" s="11" t="s">
        <v>4245</v>
      </c>
      <c r="H5" s="11" t="s">
        <v>5385</v>
      </c>
      <c r="I5" s="11"/>
    </row>
    <row r="6" spans="1:9" s="1" customFormat="1">
      <c r="A6" s="11">
        <v>4</v>
      </c>
      <c r="B6" s="11" t="s">
        <v>717</v>
      </c>
      <c r="C6" s="11">
        <v>7</v>
      </c>
      <c r="D6" s="11" t="s">
        <v>189</v>
      </c>
      <c r="E6" s="11"/>
      <c r="F6" s="11" t="s">
        <v>4246</v>
      </c>
      <c r="G6" s="11" t="s">
        <v>4247</v>
      </c>
      <c r="H6" s="11" t="s">
        <v>5402</v>
      </c>
      <c r="I6" s="11"/>
    </row>
    <row r="7" spans="1:9" s="1" customFormat="1" ht="30">
      <c r="A7" s="67">
        <v>5</v>
      </c>
      <c r="B7" s="11" t="s">
        <v>78</v>
      </c>
      <c r="C7" s="11">
        <v>4</v>
      </c>
      <c r="D7" s="11" t="s">
        <v>242</v>
      </c>
      <c r="E7" s="11"/>
      <c r="F7" s="11" t="s">
        <v>4248</v>
      </c>
      <c r="G7" s="11" t="s">
        <v>4249</v>
      </c>
      <c r="H7" s="11"/>
      <c r="I7" s="11"/>
    </row>
    <row r="8" spans="1:9" s="1" customFormat="1" ht="30">
      <c r="A8" s="67">
        <v>6</v>
      </c>
      <c r="B8" s="11" t="s">
        <v>114</v>
      </c>
      <c r="C8" s="11">
        <v>30</v>
      </c>
      <c r="D8" s="11" t="s">
        <v>242</v>
      </c>
      <c r="E8" s="11"/>
      <c r="F8" s="11" t="s">
        <v>4255</v>
      </c>
      <c r="G8" s="11" t="s">
        <v>4256</v>
      </c>
      <c r="H8" s="11"/>
      <c r="I8" s="11"/>
    </row>
    <row r="9" spans="1:9" s="1" customFormat="1" ht="30">
      <c r="A9" s="67">
        <v>7</v>
      </c>
      <c r="B9" s="11" t="s">
        <v>91</v>
      </c>
      <c r="C9" s="11">
        <v>10</v>
      </c>
      <c r="D9" s="11" t="s">
        <v>158</v>
      </c>
      <c r="E9" s="11"/>
      <c r="F9" s="11" t="s">
        <v>1735</v>
      </c>
      <c r="G9" s="11" t="s">
        <v>2888</v>
      </c>
      <c r="H9" s="11"/>
      <c r="I9" s="11"/>
    </row>
    <row r="10" spans="1:9" s="1" customFormat="1">
      <c r="A10" s="67">
        <v>8</v>
      </c>
      <c r="B10" s="11" t="s">
        <v>123</v>
      </c>
      <c r="C10" s="11">
        <v>20</v>
      </c>
      <c r="D10" s="11" t="s">
        <v>158</v>
      </c>
      <c r="E10" s="11"/>
      <c r="F10" s="11" t="s">
        <v>1736</v>
      </c>
      <c r="G10" s="11" t="s">
        <v>2889</v>
      </c>
      <c r="H10" s="11"/>
      <c r="I10" s="11"/>
    </row>
    <row r="11" spans="1:9" s="1" customFormat="1" ht="30">
      <c r="A11" s="67">
        <v>9</v>
      </c>
      <c r="B11" s="11" t="s">
        <v>92</v>
      </c>
      <c r="C11" s="11">
        <v>10</v>
      </c>
      <c r="D11" s="11" t="s">
        <v>158</v>
      </c>
      <c r="E11" s="11"/>
      <c r="F11" s="11" t="s">
        <v>1737</v>
      </c>
      <c r="G11" s="11" t="s">
        <v>2890</v>
      </c>
      <c r="H11" s="11"/>
      <c r="I11" s="11"/>
    </row>
    <row r="12" spans="1:9" s="1" customFormat="1">
      <c r="A12" s="67">
        <v>10</v>
      </c>
      <c r="B12" s="11" t="s">
        <v>718</v>
      </c>
      <c r="C12" s="11">
        <v>8</v>
      </c>
      <c r="D12" s="11" t="s">
        <v>160</v>
      </c>
      <c r="E12" s="11" t="s">
        <v>177</v>
      </c>
      <c r="F12" s="11" t="s">
        <v>4244</v>
      </c>
      <c r="G12" s="11" t="s">
        <v>4250</v>
      </c>
      <c r="H12" s="11"/>
      <c r="I12" s="11"/>
    </row>
    <row r="13" spans="1:9" s="1" customFormat="1">
      <c r="A13" s="67">
        <v>11</v>
      </c>
      <c r="B13" s="11" t="s">
        <v>719</v>
      </c>
      <c r="C13" s="11">
        <v>10</v>
      </c>
      <c r="D13" s="11" t="s">
        <v>242</v>
      </c>
      <c r="E13" s="11"/>
      <c r="F13" s="11" t="s">
        <v>4251</v>
      </c>
      <c r="G13" s="11" t="s">
        <v>4253</v>
      </c>
      <c r="H13" s="11"/>
      <c r="I13" s="11"/>
    </row>
    <row r="14" spans="1:9" s="1" customFormat="1">
      <c r="A14" s="67">
        <v>12</v>
      </c>
      <c r="B14" s="11" t="s">
        <v>720</v>
      </c>
      <c r="C14" s="11">
        <v>4</v>
      </c>
      <c r="D14" s="11" t="s">
        <v>242</v>
      </c>
      <c r="E14" s="11"/>
      <c r="F14" s="11" t="s">
        <v>4252</v>
      </c>
      <c r="G14" s="11" t="s">
        <v>4254</v>
      </c>
      <c r="H14" s="11"/>
      <c r="I14" s="11"/>
    </row>
    <row r="15" spans="1:9" s="1" customFormat="1" ht="60">
      <c r="A15" s="67">
        <v>13</v>
      </c>
      <c r="B15" s="11" t="s">
        <v>10</v>
      </c>
      <c r="C15" s="11">
        <v>1</v>
      </c>
      <c r="D15" s="11" t="s">
        <v>242</v>
      </c>
      <c r="E15" s="11"/>
      <c r="F15" s="11" t="s">
        <v>1754</v>
      </c>
      <c r="G15" s="11" t="s">
        <v>3264</v>
      </c>
      <c r="H15" s="11"/>
      <c r="I15" s="11"/>
    </row>
    <row r="16" spans="1:9" s="1" customFormat="1" ht="30">
      <c r="A16" s="67">
        <v>14</v>
      </c>
      <c r="B16" s="11" t="s">
        <v>151</v>
      </c>
      <c r="C16" s="11">
        <v>8</v>
      </c>
      <c r="D16" s="11" t="s">
        <v>242</v>
      </c>
      <c r="E16" s="11"/>
      <c r="F16" s="11" t="s">
        <v>1694</v>
      </c>
      <c r="G16" s="11" t="s">
        <v>2860</v>
      </c>
      <c r="H16" s="17"/>
      <c r="I16" s="11" t="s">
        <v>5387</v>
      </c>
    </row>
    <row r="17" spans="1:9" s="1" customFormat="1">
      <c r="A17" s="67">
        <v>15</v>
      </c>
      <c r="B17" s="11" t="s">
        <v>721</v>
      </c>
      <c r="C17" s="11">
        <v>20</v>
      </c>
      <c r="D17" s="11" t="s">
        <v>242</v>
      </c>
      <c r="E17" s="11"/>
      <c r="F17" s="11"/>
      <c r="G17" s="11"/>
      <c r="H17" s="17"/>
      <c r="I17" s="17"/>
    </row>
    <row r="18" spans="1:9" s="1" customFormat="1">
      <c r="A18" s="67">
        <v>16</v>
      </c>
      <c r="B18" s="11" t="s">
        <v>1182</v>
      </c>
      <c r="C18" s="11">
        <v>12</v>
      </c>
      <c r="D18" s="11" t="s">
        <v>189</v>
      </c>
      <c r="E18" s="11" t="s">
        <v>5576</v>
      </c>
      <c r="F18" s="11" t="s">
        <v>1688</v>
      </c>
      <c r="G18" s="11" t="s">
        <v>1689</v>
      </c>
      <c r="H18" s="17"/>
      <c r="I18" s="17"/>
    </row>
    <row r="19" spans="1:9" s="1" customFormat="1" ht="30">
      <c r="A19" s="67">
        <v>17</v>
      </c>
      <c r="B19" s="11" t="s">
        <v>1183</v>
      </c>
      <c r="C19" s="11">
        <v>30</v>
      </c>
      <c r="D19" s="11" t="s">
        <v>242</v>
      </c>
      <c r="E19" s="11" t="s">
        <v>5576</v>
      </c>
      <c r="F19" s="11" t="s">
        <v>1690</v>
      </c>
      <c r="G19" s="11" t="s">
        <v>1691</v>
      </c>
      <c r="H19" s="17"/>
      <c r="I19" s="17"/>
    </row>
    <row r="20" spans="1:9" s="1" customFormat="1">
      <c r="H20"/>
      <c r="I20"/>
    </row>
    <row r="21" spans="1:9" s="1" customFormat="1">
      <c r="H21"/>
      <c r="I21"/>
    </row>
    <row r="22" spans="1:9" s="1" customFormat="1">
      <c r="H22"/>
      <c r="I22"/>
    </row>
    <row r="23" spans="1:9" s="1" customFormat="1"/>
    <row r="24" spans="1:9" s="1" customFormat="1"/>
    <row r="25" spans="1:9" s="1" customFormat="1"/>
    <row r="26" spans="1:9" s="1" customFormat="1"/>
    <row r="27" spans="1:9" s="1" customFormat="1"/>
    <row r="28" spans="1:9" s="1" customFormat="1"/>
    <row r="29" spans="1:9" s="1" customFormat="1"/>
    <row r="30" spans="1:9" s="1" customFormat="1"/>
    <row r="31" spans="1:9" s="1" customFormat="1"/>
    <row r="32" spans="1:9"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BB9F5-9772-4464-BB73-BB575ABCC1D0}">
  <sheetPr codeName="Sheet40"/>
  <dimension ref="A1:XFA243"/>
  <sheetViews>
    <sheetView topLeftCell="A7" workbookViewId="0">
      <selection activeCell="C22" sqref="C22"/>
    </sheetView>
  </sheetViews>
  <sheetFormatPr defaultColWidth="32.140625" defaultRowHeight="15"/>
  <cols>
    <col min="1" max="1" width="7.140625" style="1" bestFit="1" customWidth="1"/>
    <col min="2" max="2" width="25.7109375" style="1" bestFit="1" customWidth="1"/>
    <col min="3" max="3" width="4.5703125" style="1" bestFit="1" customWidth="1"/>
    <col min="4" max="4" width="9" style="1" bestFit="1" customWidth="1"/>
    <col min="5" max="5" width="24.42578125" style="1" bestFit="1" customWidth="1"/>
    <col min="6" max="6" width="35.28515625" style="1" bestFit="1" customWidth="1"/>
    <col min="7" max="7" width="57.140625" style="1" bestFit="1" customWidth="1"/>
    <col min="8" max="9" width="5.140625" style="2" bestFit="1" customWidth="1"/>
    <col min="10" max="16380" width="32.140625" style="2"/>
    <col min="16381" max="16381" width="1.7109375" style="2" customWidth="1"/>
    <col min="16382" max="16384" width="17.7109375" style="1" customWidth="1"/>
  </cols>
  <sheetData>
    <row r="1" spans="1:10" s="1" customFormat="1">
      <c r="A1" s="12" t="s">
        <v>238</v>
      </c>
      <c r="B1" s="12"/>
      <c r="C1" s="12"/>
      <c r="D1" s="12"/>
      <c r="E1" s="12"/>
      <c r="F1" s="12"/>
      <c r="G1" s="12"/>
      <c r="H1" s="12"/>
      <c r="I1" s="12"/>
    </row>
    <row r="2" spans="1:10" s="1" customFormat="1">
      <c r="A2" s="10" t="s">
        <v>350</v>
      </c>
      <c r="B2" s="10" t="s">
        <v>156</v>
      </c>
      <c r="C2" s="10" t="s">
        <v>157</v>
      </c>
      <c r="D2" s="10" t="s">
        <v>239</v>
      </c>
      <c r="E2" s="10" t="s">
        <v>159</v>
      </c>
      <c r="F2" s="10" t="s">
        <v>1684</v>
      </c>
      <c r="G2" s="10" t="s">
        <v>1685</v>
      </c>
      <c r="H2" s="10" t="s">
        <v>5371</v>
      </c>
      <c r="I2" s="10" t="s">
        <v>5372</v>
      </c>
    </row>
    <row r="3" spans="1:10" s="1" customFormat="1">
      <c r="A3" s="11">
        <v>1</v>
      </c>
      <c r="B3" s="11" t="s">
        <v>724</v>
      </c>
      <c r="C3" s="11">
        <v>8</v>
      </c>
      <c r="D3" s="11" t="s">
        <v>160</v>
      </c>
      <c r="E3" s="11" t="s">
        <v>177</v>
      </c>
      <c r="F3" s="11" t="s">
        <v>1686</v>
      </c>
      <c r="G3" s="11" t="s">
        <v>1687</v>
      </c>
      <c r="H3" s="11" t="s">
        <v>5382</v>
      </c>
      <c r="I3" s="11" t="s">
        <v>5386</v>
      </c>
    </row>
    <row r="4" spans="1:10" s="1" customFormat="1">
      <c r="A4" s="11">
        <v>2</v>
      </c>
      <c r="B4" s="11" t="s">
        <v>750</v>
      </c>
      <c r="C4" s="11">
        <v>3</v>
      </c>
      <c r="D4" s="11" t="s">
        <v>242</v>
      </c>
      <c r="E4" s="11"/>
      <c r="F4" s="11" t="s">
        <v>3654</v>
      </c>
      <c r="G4" s="11" t="s">
        <v>5529</v>
      </c>
      <c r="H4" s="11" t="s">
        <v>5384</v>
      </c>
      <c r="I4" s="11" t="s">
        <v>5387</v>
      </c>
    </row>
    <row r="5" spans="1:10" s="1" customFormat="1" ht="30">
      <c r="A5" s="11">
        <v>3</v>
      </c>
      <c r="B5" s="11" t="s">
        <v>751</v>
      </c>
      <c r="C5" s="11">
        <v>30</v>
      </c>
      <c r="D5" s="11" t="s">
        <v>242</v>
      </c>
      <c r="E5" s="11"/>
      <c r="F5" s="11" t="s">
        <v>3655</v>
      </c>
      <c r="G5" s="11" t="s">
        <v>5542</v>
      </c>
      <c r="H5" s="11"/>
      <c r="I5" s="11"/>
    </row>
    <row r="6" spans="1:10" s="1" customFormat="1" ht="30">
      <c r="A6" s="11">
        <v>4</v>
      </c>
      <c r="B6" s="11" t="s">
        <v>752</v>
      </c>
      <c r="C6" s="11">
        <v>30</v>
      </c>
      <c r="D6" s="11" t="s">
        <v>242</v>
      </c>
      <c r="E6" s="11"/>
      <c r="F6" s="11" t="s">
        <v>3656</v>
      </c>
      <c r="G6" s="11" t="s">
        <v>5543</v>
      </c>
      <c r="H6" s="17"/>
      <c r="I6" s="17"/>
    </row>
    <row r="7" spans="1:10" s="1" customFormat="1" ht="30">
      <c r="A7" s="53">
        <v>5</v>
      </c>
      <c r="B7" s="11" t="s">
        <v>753</v>
      </c>
      <c r="C7" s="11">
        <v>5</v>
      </c>
      <c r="D7" s="11" t="s">
        <v>242</v>
      </c>
      <c r="E7" s="11"/>
      <c r="F7" s="11" t="s">
        <v>3657</v>
      </c>
      <c r="G7" s="11" t="s">
        <v>5544</v>
      </c>
      <c r="H7" s="17"/>
      <c r="I7" s="17"/>
    </row>
    <row r="8" spans="1:10" s="1" customFormat="1" ht="30">
      <c r="A8" s="53">
        <v>6</v>
      </c>
      <c r="B8" s="11" t="s">
        <v>754</v>
      </c>
      <c r="C8" s="11">
        <v>5</v>
      </c>
      <c r="D8" s="11" t="s">
        <v>242</v>
      </c>
      <c r="E8" s="11"/>
      <c r="F8" s="11" t="s">
        <v>3658</v>
      </c>
      <c r="G8" s="11" t="s">
        <v>5545</v>
      </c>
      <c r="H8" s="17"/>
      <c r="I8" s="17"/>
    </row>
    <row r="9" spans="1:10" s="1" customFormat="1" ht="120">
      <c r="A9" s="53">
        <v>7</v>
      </c>
      <c r="B9" s="11" t="s">
        <v>755</v>
      </c>
      <c r="C9" s="11">
        <v>1</v>
      </c>
      <c r="D9" s="11" t="s">
        <v>242</v>
      </c>
      <c r="E9" s="11"/>
      <c r="F9" s="11" t="s">
        <v>3659</v>
      </c>
      <c r="G9" s="11" t="s">
        <v>5547</v>
      </c>
      <c r="H9" s="17"/>
      <c r="I9" s="17"/>
    </row>
    <row r="10" spans="1:10" s="1" customFormat="1" ht="45">
      <c r="A10" s="53">
        <v>8</v>
      </c>
      <c r="B10" s="11" t="s">
        <v>756</v>
      </c>
      <c r="C10" s="11">
        <v>1</v>
      </c>
      <c r="D10" s="11" t="s">
        <v>242</v>
      </c>
      <c r="E10" s="11"/>
      <c r="F10" s="11" t="s">
        <v>3661</v>
      </c>
      <c r="G10" s="11" t="s">
        <v>5546</v>
      </c>
      <c r="H10" s="11"/>
      <c r="I10" s="11"/>
    </row>
    <row r="11" spans="1:10" s="1" customFormat="1">
      <c r="A11" s="53">
        <v>9</v>
      </c>
      <c r="B11" s="53" t="s">
        <v>757</v>
      </c>
      <c r="C11" s="53">
        <v>1</v>
      </c>
      <c r="D11" s="53" t="s">
        <v>242</v>
      </c>
      <c r="E11" s="53"/>
      <c r="F11" s="53" t="s">
        <v>3662</v>
      </c>
      <c r="G11" s="53" t="s">
        <v>5549</v>
      </c>
      <c r="H11" s="53"/>
      <c r="I11" s="53"/>
    </row>
    <row r="12" spans="1:10" s="1" customFormat="1">
      <c r="A12" s="59">
        <v>10</v>
      </c>
      <c r="B12" s="59" t="s">
        <v>6746</v>
      </c>
      <c r="C12" s="59">
        <v>1</v>
      </c>
      <c r="D12" s="59" t="s">
        <v>242</v>
      </c>
      <c r="E12" s="59"/>
      <c r="F12" s="59" t="s">
        <v>6765</v>
      </c>
      <c r="G12" s="59"/>
      <c r="H12" s="59"/>
      <c r="I12" s="59"/>
      <c r="J12" s="31" t="s">
        <v>6995</v>
      </c>
    </row>
    <row r="13" spans="1:10" s="1" customFormat="1">
      <c r="A13" s="59">
        <v>11</v>
      </c>
      <c r="B13" s="59" t="s">
        <v>6747</v>
      </c>
      <c r="C13" s="59">
        <v>1</v>
      </c>
      <c r="D13" s="59" t="s">
        <v>242</v>
      </c>
      <c r="E13" s="59"/>
      <c r="F13" s="59" t="s">
        <v>6766</v>
      </c>
      <c r="G13" s="59"/>
      <c r="H13" s="59"/>
      <c r="I13" s="59"/>
      <c r="J13" s="31" t="s">
        <v>6995</v>
      </c>
    </row>
    <row r="14" spans="1:10" s="1" customFormat="1">
      <c r="A14" s="59">
        <v>12</v>
      </c>
      <c r="B14" s="59" t="s">
        <v>6748</v>
      </c>
      <c r="C14" s="59">
        <v>1</v>
      </c>
      <c r="D14" s="59" t="s">
        <v>242</v>
      </c>
      <c r="E14" s="59"/>
      <c r="F14" s="59" t="s">
        <v>6767</v>
      </c>
      <c r="G14" s="59"/>
      <c r="H14" s="59"/>
      <c r="I14" s="59"/>
      <c r="J14" s="31" t="s">
        <v>6995</v>
      </c>
    </row>
    <row r="15" spans="1:10" s="1" customFormat="1">
      <c r="A15" s="59">
        <v>13</v>
      </c>
      <c r="B15" s="59" t="s">
        <v>6749</v>
      </c>
      <c r="C15" s="59">
        <v>1</v>
      </c>
      <c r="D15" s="59" t="s">
        <v>242</v>
      </c>
      <c r="E15" s="59"/>
      <c r="F15" s="59" t="s">
        <v>6768</v>
      </c>
      <c r="G15" s="59"/>
      <c r="H15" s="59"/>
      <c r="I15" s="59"/>
      <c r="J15" s="31" t="s">
        <v>6995</v>
      </c>
    </row>
    <row r="16" spans="1:10" s="1" customFormat="1">
      <c r="A16" s="59">
        <v>14</v>
      </c>
      <c r="B16" s="59" t="s">
        <v>6750</v>
      </c>
      <c r="C16" s="59">
        <v>4</v>
      </c>
      <c r="D16" s="59" t="s">
        <v>242</v>
      </c>
      <c r="E16" s="59"/>
      <c r="F16" s="59" t="s">
        <v>6769</v>
      </c>
      <c r="G16" s="59"/>
      <c r="H16" s="59"/>
      <c r="I16" s="59"/>
      <c r="J16" s="31" t="s">
        <v>6995</v>
      </c>
    </row>
    <row r="17" spans="1:10" s="1" customFormat="1">
      <c r="A17" s="59">
        <v>15</v>
      </c>
      <c r="B17" s="59" t="s">
        <v>6751</v>
      </c>
      <c r="C17" s="59">
        <v>4</v>
      </c>
      <c r="D17" s="59" t="s">
        <v>242</v>
      </c>
      <c r="E17" s="59"/>
      <c r="F17" s="59" t="s">
        <v>6770</v>
      </c>
      <c r="G17" s="59"/>
      <c r="H17" s="59"/>
      <c r="I17" s="59"/>
      <c r="J17" s="31" t="s">
        <v>6995</v>
      </c>
    </row>
    <row r="18" spans="1:10" s="1" customFormat="1">
      <c r="A18" s="59">
        <v>16</v>
      </c>
      <c r="B18" s="59" t="s">
        <v>6752</v>
      </c>
      <c r="C18" s="59">
        <v>4</v>
      </c>
      <c r="D18" s="59" t="s">
        <v>242</v>
      </c>
      <c r="E18" s="59"/>
      <c r="F18" s="59" t="s">
        <v>6771</v>
      </c>
      <c r="G18" s="59"/>
      <c r="H18" s="59"/>
      <c r="I18" s="59"/>
      <c r="J18" s="31" t="s">
        <v>6995</v>
      </c>
    </row>
    <row r="19" spans="1:10" s="1" customFormat="1">
      <c r="A19" s="59">
        <v>17</v>
      </c>
      <c r="B19" s="59" t="s">
        <v>6753</v>
      </c>
      <c r="C19" s="59">
        <v>4</v>
      </c>
      <c r="D19" s="59" t="s">
        <v>242</v>
      </c>
      <c r="E19" s="59"/>
      <c r="F19" s="59" t="s">
        <v>6772</v>
      </c>
      <c r="G19" s="59"/>
      <c r="H19" s="59"/>
      <c r="I19" s="59"/>
      <c r="J19" s="31" t="s">
        <v>6995</v>
      </c>
    </row>
    <row r="20" spans="1:10" s="1" customFormat="1">
      <c r="A20" s="59">
        <v>18</v>
      </c>
      <c r="B20" s="59" t="s">
        <v>6754</v>
      </c>
      <c r="C20" s="59">
        <v>4</v>
      </c>
      <c r="D20" s="59" t="s">
        <v>242</v>
      </c>
      <c r="E20" s="59"/>
      <c r="F20" s="59" t="s">
        <v>6773</v>
      </c>
      <c r="G20" s="59"/>
      <c r="H20" s="59"/>
      <c r="I20" s="59"/>
      <c r="J20" s="31" t="s">
        <v>6995</v>
      </c>
    </row>
    <row r="21" spans="1:10" s="1" customFormat="1">
      <c r="A21" s="59">
        <v>19</v>
      </c>
      <c r="B21" s="59" t="s">
        <v>6755</v>
      </c>
      <c r="C21" s="59">
        <v>4</v>
      </c>
      <c r="D21" s="59" t="s">
        <v>242</v>
      </c>
      <c r="E21" s="59"/>
      <c r="F21" s="59" t="s">
        <v>6774</v>
      </c>
      <c r="G21" s="59"/>
      <c r="H21" s="59"/>
      <c r="I21" s="59"/>
      <c r="J21" s="31" t="s">
        <v>6995</v>
      </c>
    </row>
    <row r="22" spans="1:10" s="1" customFormat="1">
      <c r="A22" s="59">
        <v>20</v>
      </c>
      <c r="B22" s="59" t="s">
        <v>6756</v>
      </c>
      <c r="C22" s="59">
        <v>4</v>
      </c>
      <c r="D22" s="59" t="s">
        <v>242</v>
      </c>
      <c r="E22" s="59"/>
      <c r="F22" s="59" t="s">
        <v>6775</v>
      </c>
      <c r="G22" s="59"/>
      <c r="H22" s="59"/>
      <c r="I22" s="59"/>
      <c r="J22" s="31" t="s">
        <v>6995</v>
      </c>
    </row>
    <row r="23" spans="1:10" s="1" customFormat="1">
      <c r="A23" s="59">
        <v>21</v>
      </c>
      <c r="B23" s="59" t="s">
        <v>6757</v>
      </c>
      <c r="C23" s="59">
        <v>4</v>
      </c>
      <c r="D23" s="59" t="s">
        <v>242</v>
      </c>
      <c r="E23" s="59"/>
      <c r="F23" s="59" t="s">
        <v>6776</v>
      </c>
      <c r="G23" s="59"/>
      <c r="H23" s="59"/>
      <c r="I23" s="59"/>
      <c r="J23" s="31" t="s">
        <v>6995</v>
      </c>
    </row>
    <row r="24" spans="1:10" s="1" customFormat="1">
      <c r="A24" s="59">
        <v>22</v>
      </c>
      <c r="B24" s="59" t="s">
        <v>6758</v>
      </c>
      <c r="C24" s="59">
        <v>4</v>
      </c>
      <c r="D24" s="59" t="s">
        <v>242</v>
      </c>
      <c r="E24" s="59"/>
      <c r="F24" s="59" t="s">
        <v>6777</v>
      </c>
      <c r="G24" s="59"/>
      <c r="H24" s="59"/>
      <c r="I24" s="59"/>
      <c r="J24" s="31" t="s">
        <v>6995</v>
      </c>
    </row>
    <row r="25" spans="1:10" s="1" customFormat="1">
      <c r="A25" s="59">
        <v>23</v>
      </c>
      <c r="B25" s="59" t="s">
        <v>6759</v>
      </c>
      <c r="C25" s="59">
        <v>4</v>
      </c>
      <c r="D25" s="59" t="s">
        <v>242</v>
      </c>
      <c r="E25" s="59"/>
      <c r="F25" s="59" t="s">
        <v>6778</v>
      </c>
      <c r="G25" s="59"/>
      <c r="H25" s="59"/>
      <c r="I25" s="59"/>
      <c r="J25" s="31" t="s">
        <v>6995</v>
      </c>
    </row>
    <row r="26" spans="1:10" s="1" customFormat="1">
      <c r="A26" s="59">
        <v>24</v>
      </c>
      <c r="B26" s="59" t="s">
        <v>6760</v>
      </c>
      <c r="C26" s="59">
        <v>3</v>
      </c>
      <c r="D26" s="59" t="s">
        <v>242</v>
      </c>
      <c r="E26" s="59"/>
      <c r="F26" s="59" t="s">
        <v>6779</v>
      </c>
      <c r="G26" s="59"/>
      <c r="H26" s="59"/>
      <c r="I26" s="59"/>
      <c r="J26" s="31" t="s">
        <v>6995</v>
      </c>
    </row>
    <row r="27" spans="1:10" s="1" customFormat="1">
      <c r="A27" s="59">
        <v>25</v>
      </c>
      <c r="B27" s="59" t="s">
        <v>6761</v>
      </c>
      <c r="C27" s="59">
        <v>3</v>
      </c>
      <c r="D27" s="59" t="s">
        <v>242</v>
      </c>
      <c r="E27" s="59"/>
      <c r="F27" s="59" t="s">
        <v>6780</v>
      </c>
      <c r="G27" s="59"/>
      <c r="H27" s="59"/>
      <c r="I27" s="59"/>
      <c r="J27" s="31" t="s">
        <v>6995</v>
      </c>
    </row>
    <row r="28" spans="1:10" s="1" customFormat="1">
      <c r="A28" s="59">
        <v>26</v>
      </c>
      <c r="B28" s="59" t="s">
        <v>6762</v>
      </c>
      <c r="C28" s="59">
        <v>3</v>
      </c>
      <c r="D28" s="59" t="s">
        <v>242</v>
      </c>
      <c r="E28" s="59"/>
      <c r="F28" s="59" t="s">
        <v>6783</v>
      </c>
      <c r="G28" s="59"/>
      <c r="H28" s="59"/>
      <c r="I28" s="59"/>
      <c r="J28" s="31" t="s">
        <v>6995</v>
      </c>
    </row>
    <row r="29" spans="1:10" s="1" customFormat="1">
      <c r="A29" s="59">
        <v>27</v>
      </c>
      <c r="B29" s="59" t="s">
        <v>6763</v>
      </c>
      <c r="C29" s="59">
        <v>3</v>
      </c>
      <c r="D29" s="59" t="s">
        <v>242</v>
      </c>
      <c r="E29" s="59"/>
      <c r="F29" s="59" t="s">
        <v>6781</v>
      </c>
      <c r="G29" s="59"/>
      <c r="H29" s="59"/>
      <c r="I29" s="59"/>
      <c r="J29" s="31" t="s">
        <v>6995</v>
      </c>
    </row>
    <row r="30" spans="1:10" s="1" customFormat="1">
      <c r="A30" s="59">
        <v>28</v>
      </c>
      <c r="B30" s="59" t="s">
        <v>6764</v>
      </c>
      <c r="C30" s="59">
        <v>3</v>
      </c>
      <c r="D30" s="59" t="s">
        <v>242</v>
      </c>
      <c r="E30" s="59"/>
      <c r="F30" s="59" t="s">
        <v>6782</v>
      </c>
      <c r="G30" s="59"/>
      <c r="H30" s="59"/>
      <c r="I30" s="59"/>
      <c r="J30" s="31" t="s">
        <v>6995</v>
      </c>
    </row>
    <row r="31" spans="1:10" s="1" customFormat="1" ht="45">
      <c r="A31" s="53">
        <v>29</v>
      </c>
      <c r="B31" s="53" t="s">
        <v>758</v>
      </c>
      <c r="C31" s="53">
        <v>1</v>
      </c>
      <c r="D31" s="53" t="s">
        <v>242</v>
      </c>
      <c r="E31" s="53"/>
      <c r="F31" s="53" t="s">
        <v>3660</v>
      </c>
      <c r="G31" s="53" t="s">
        <v>5548</v>
      </c>
      <c r="H31" s="53"/>
      <c r="I31" s="53"/>
    </row>
    <row r="32" spans="1:10" s="1" customFormat="1">
      <c r="A32" s="53">
        <v>30</v>
      </c>
      <c r="B32" s="53" t="s">
        <v>1182</v>
      </c>
      <c r="C32" s="53">
        <v>12</v>
      </c>
      <c r="D32" s="53" t="s">
        <v>189</v>
      </c>
      <c r="E32" s="53" t="s">
        <v>5576</v>
      </c>
      <c r="F32" s="53" t="s">
        <v>1688</v>
      </c>
      <c r="G32" s="53" t="s">
        <v>1689</v>
      </c>
      <c r="H32" s="53"/>
      <c r="I32" s="53"/>
    </row>
    <row r="33" spans="1:9" s="1" customFormat="1" ht="30">
      <c r="A33" s="53">
        <v>31</v>
      </c>
      <c r="B33" s="53" t="s">
        <v>1183</v>
      </c>
      <c r="C33" s="53">
        <v>30</v>
      </c>
      <c r="D33" s="53" t="s">
        <v>242</v>
      </c>
      <c r="E33" s="53" t="s">
        <v>5576</v>
      </c>
      <c r="F33" s="53" t="s">
        <v>1690</v>
      </c>
      <c r="G33" s="53" t="s">
        <v>1691</v>
      </c>
      <c r="H33" s="53"/>
      <c r="I33" s="53"/>
    </row>
    <row r="34" spans="1:9" s="1" customFormat="1"/>
    <row r="35" spans="1:9" s="1" customFormat="1"/>
    <row r="36" spans="1:9" s="1" customFormat="1"/>
    <row r="37" spans="1:9" s="1" customFormat="1"/>
    <row r="38" spans="1:9" s="1" customFormat="1"/>
    <row r="39" spans="1:9" s="1" customFormat="1"/>
    <row r="40" spans="1:9" s="1" customFormat="1"/>
    <row r="41" spans="1:9" s="1" customFormat="1"/>
    <row r="42" spans="1:9" s="1" customFormat="1"/>
    <row r="43" spans="1:9" s="1" customFormat="1"/>
    <row r="44" spans="1:9" s="1" customFormat="1"/>
    <row r="45" spans="1:9" s="1" customFormat="1"/>
    <row r="46" spans="1:9" s="1" customFormat="1"/>
    <row r="47" spans="1:9" s="1" customFormat="1"/>
    <row r="48" spans="1:9"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F0A72-9FB1-4EE9-B2F1-F116750CA703}">
  <sheetPr codeName="Sheet44"/>
  <dimension ref="A1:XFA250"/>
  <sheetViews>
    <sheetView workbookViewId="0">
      <selection activeCell="C22" sqref="C22"/>
    </sheetView>
  </sheetViews>
  <sheetFormatPr defaultColWidth="32.140625" defaultRowHeight="15"/>
  <cols>
    <col min="1" max="1" width="7.140625" style="1" bestFit="1" customWidth="1"/>
    <col min="2" max="2" width="12.140625" style="1" bestFit="1" customWidth="1"/>
    <col min="3" max="3" width="4.5703125" style="1" bestFit="1" customWidth="1"/>
    <col min="4" max="4" width="9" style="1" bestFit="1" customWidth="1"/>
    <col min="5" max="5" width="24.42578125" style="1" bestFit="1" customWidth="1"/>
    <col min="6" max="6" width="28.42578125" style="1" bestFit="1" customWidth="1"/>
    <col min="7" max="7" width="57.28515625" style="1" bestFit="1" customWidth="1"/>
    <col min="8" max="9" width="5.140625" style="2" bestFit="1" customWidth="1"/>
    <col min="10" max="15" width="32.140625" style="2"/>
    <col min="16" max="16" width="16.85546875" style="2" bestFit="1" customWidth="1"/>
    <col min="17" max="17" width="2" style="2" bestFit="1" customWidth="1"/>
    <col min="18" max="16380" width="32.140625" style="2"/>
    <col min="16381" max="16381" width="1.7109375" style="2" customWidth="1"/>
    <col min="16382" max="16384" width="17.7109375" style="1" customWidth="1"/>
  </cols>
  <sheetData>
    <row r="1" spans="1:9" s="1" customFormat="1">
      <c r="A1" s="12" t="s">
        <v>238</v>
      </c>
      <c r="B1" s="12"/>
      <c r="C1" s="12"/>
      <c r="D1" s="12"/>
      <c r="E1" s="12"/>
      <c r="F1" s="12"/>
      <c r="G1" s="12"/>
      <c r="H1" s="12"/>
      <c r="I1" s="12"/>
    </row>
    <row r="2" spans="1:9" s="1" customFormat="1">
      <c r="A2" s="10" t="s">
        <v>350</v>
      </c>
      <c r="B2" s="10" t="s">
        <v>156</v>
      </c>
      <c r="C2" s="10" t="s">
        <v>157</v>
      </c>
      <c r="D2" s="10" t="s">
        <v>239</v>
      </c>
      <c r="E2" s="10" t="s">
        <v>159</v>
      </c>
      <c r="F2" s="10" t="s">
        <v>1684</v>
      </c>
      <c r="G2" s="10" t="s">
        <v>1685</v>
      </c>
      <c r="H2" s="10" t="s">
        <v>5371</v>
      </c>
      <c r="I2" s="10" t="s">
        <v>5372</v>
      </c>
    </row>
    <row r="3" spans="1:9" s="1" customFormat="1">
      <c r="A3" s="11">
        <v>1</v>
      </c>
      <c r="B3" s="11" t="s">
        <v>724</v>
      </c>
      <c r="C3" s="11">
        <v>8</v>
      </c>
      <c r="D3" s="11" t="s">
        <v>160</v>
      </c>
      <c r="E3" s="11" t="s">
        <v>177</v>
      </c>
      <c r="F3" s="11" t="s">
        <v>1686</v>
      </c>
      <c r="G3" s="11" t="s">
        <v>1687</v>
      </c>
      <c r="H3" s="11" t="s">
        <v>5382</v>
      </c>
      <c r="I3" s="11" t="s">
        <v>5386</v>
      </c>
    </row>
    <row r="4" spans="1:9" s="1" customFormat="1" ht="30">
      <c r="A4" s="11">
        <v>2</v>
      </c>
      <c r="B4" s="11" t="s">
        <v>87</v>
      </c>
      <c r="C4" s="11">
        <v>14</v>
      </c>
      <c r="D4" s="11" t="s">
        <v>1032</v>
      </c>
      <c r="E4" s="11" t="s">
        <v>1033</v>
      </c>
      <c r="F4" s="11" t="s">
        <v>2312</v>
      </c>
      <c r="G4" s="11" t="s">
        <v>3690</v>
      </c>
      <c r="H4" s="11"/>
      <c r="I4" s="11"/>
    </row>
    <row r="5" spans="1:9" s="1" customFormat="1" ht="30">
      <c r="A5" s="11">
        <v>3</v>
      </c>
      <c r="B5" s="11" t="s">
        <v>1021</v>
      </c>
      <c r="C5" s="11">
        <v>8</v>
      </c>
      <c r="D5" s="11" t="s">
        <v>242</v>
      </c>
      <c r="E5" s="11"/>
      <c r="F5" s="11" t="s">
        <v>3691</v>
      </c>
      <c r="G5" s="11" t="s">
        <v>3692</v>
      </c>
      <c r="H5" s="11" t="s">
        <v>5384</v>
      </c>
      <c r="I5" s="11"/>
    </row>
    <row r="6" spans="1:9" s="1" customFormat="1" ht="30">
      <c r="A6" s="11">
        <v>4</v>
      </c>
      <c r="B6" s="11" t="s">
        <v>241</v>
      </c>
      <c r="C6" s="11">
        <v>14</v>
      </c>
      <c r="D6" s="11" t="s">
        <v>242</v>
      </c>
      <c r="E6" s="11"/>
      <c r="F6" s="11" t="s">
        <v>1711</v>
      </c>
      <c r="G6" s="11" t="s">
        <v>3689</v>
      </c>
      <c r="H6" s="11"/>
      <c r="I6" s="11" t="s">
        <v>5387</v>
      </c>
    </row>
    <row r="7" spans="1:9" s="1" customFormat="1">
      <c r="A7" s="11">
        <v>5</v>
      </c>
      <c r="B7" s="11" t="s">
        <v>1022</v>
      </c>
      <c r="C7" s="11">
        <v>20</v>
      </c>
      <c r="D7" s="11" t="s">
        <v>242</v>
      </c>
      <c r="E7" s="11"/>
      <c r="F7" s="11" t="s">
        <v>3687</v>
      </c>
      <c r="G7" s="11" t="s">
        <v>3688</v>
      </c>
      <c r="H7" s="11"/>
      <c r="I7" s="11" t="s">
        <v>1291</v>
      </c>
    </row>
    <row r="8" spans="1:9" s="1" customFormat="1">
      <c r="A8" s="11">
        <v>6</v>
      </c>
      <c r="B8" s="11" t="s">
        <v>1023</v>
      </c>
      <c r="C8" s="11">
        <v>20</v>
      </c>
      <c r="D8" s="11" t="s">
        <v>242</v>
      </c>
      <c r="E8" s="11"/>
      <c r="F8" s="11" t="s">
        <v>5551</v>
      </c>
      <c r="G8" s="11" t="s">
        <v>5552</v>
      </c>
      <c r="H8" s="11"/>
      <c r="I8" s="11" t="s">
        <v>1291</v>
      </c>
    </row>
    <row r="9" spans="1:9" s="1" customFormat="1">
      <c r="A9" s="11">
        <v>7</v>
      </c>
      <c r="B9" s="11" t="s">
        <v>428</v>
      </c>
      <c r="C9" s="11">
        <v>16</v>
      </c>
      <c r="D9" s="11" t="s">
        <v>189</v>
      </c>
      <c r="E9" s="11" t="s">
        <v>1266</v>
      </c>
      <c r="F9" s="11" t="s">
        <v>2607</v>
      </c>
      <c r="G9" s="11" t="s">
        <v>3674</v>
      </c>
      <c r="H9" s="11"/>
      <c r="I9" s="11"/>
    </row>
    <row r="10" spans="1:9" s="1" customFormat="1" ht="30">
      <c r="A10" s="11">
        <v>8</v>
      </c>
      <c r="B10" s="11" t="s">
        <v>425</v>
      </c>
      <c r="C10" s="11">
        <v>8</v>
      </c>
      <c r="D10" s="11" t="s">
        <v>160</v>
      </c>
      <c r="E10" s="11" t="s">
        <v>177</v>
      </c>
      <c r="F10" s="11" t="s">
        <v>2629</v>
      </c>
      <c r="G10" s="11" t="s">
        <v>2522</v>
      </c>
      <c r="H10" s="11"/>
      <c r="I10" s="11"/>
    </row>
    <row r="11" spans="1:9" s="1" customFormat="1" ht="45">
      <c r="A11" s="11">
        <v>9</v>
      </c>
      <c r="B11" s="11" t="s">
        <v>424</v>
      </c>
      <c r="C11" s="11">
        <v>8</v>
      </c>
      <c r="D11" s="11" t="s">
        <v>160</v>
      </c>
      <c r="E11" s="11" t="s">
        <v>177</v>
      </c>
      <c r="F11" s="11" t="s">
        <v>2519</v>
      </c>
      <c r="G11" s="11" t="s">
        <v>2520</v>
      </c>
      <c r="H11" s="11"/>
      <c r="I11" s="11"/>
    </row>
    <row r="12" spans="1:9" s="1" customFormat="1" ht="30">
      <c r="A12" s="11">
        <v>10</v>
      </c>
      <c r="B12" s="11" t="s">
        <v>1024</v>
      </c>
      <c r="C12" s="11">
        <v>8</v>
      </c>
      <c r="D12" s="11" t="s">
        <v>242</v>
      </c>
      <c r="E12" s="11" t="s">
        <v>177</v>
      </c>
      <c r="F12" s="11" t="s">
        <v>5550</v>
      </c>
      <c r="G12" s="11" t="s">
        <v>3667</v>
      </c>
      <c r="H12" s="11"/>
      <c r="I12" s="11" t="s">
        <v>1291</v>
      </c>
    </row>
    <row r="13" spans="1:9" s="1" customFormat="1">
      <c r="A13" s="11">
        <v>11</v>
      </c>
      <c r="B13" s="11" t="s">
        <v>426</v>
      </c>
      <c r="C13" s="11">
        <v>1</v>
      </c>
      <c r="D13" s="11" t="s">
        <v>242</v>
      </c>
      <c r="E13" s="11"/>
      <c r="F13" s="11" t="s">
        <v>3685</v>
      </c>
      <c r="G13" s="11" t="s">
        <v>3684</v>
      </c>
      <c r="H13" s="11" t="s">
        <v>5385</v>
      </c>
      <c r="I13" s="11"/>
    </row>
    <row r="14" spans="1:9" s="1" customFormat="1">
      <c r="A14" s="11">
        <v>12</v>
      </c>
      <c r="B14" s="11" t="s">
        <v>1025</v>
      </c>
      <c r="C14" s="11">
        <v>1</v>
      </c>
      <c r="D14" s="11" t="s">
        <v>242</v>
      </c>
      <c r="E14" s="11"/>
      <c r="F14" s="11" t="s">
        <v>3686</v>
      </c>
      <c r="G14" s="11" t="s">
        <v>3683</v>
      </c>
      <c r="H14" s="11"/>
      <c r="I14" s="11"/>
    </row>
    <row r="15" spans="1:9" s="1" customFormat="1" ht="30">
      <c r="A15" s="11">
        <v>13</v>
      </c>
      <c r="B15" s="11" t="s">
        <v>430</v>
      </c>
      <c r="C15" s="11">
        <v>25</v>
      </c>
      <c r="D15" s="11" t="s">
        <v>242</v>
      </c>
      <c r="E15" s="11"/>
      <c r="F15" s="11" t="s">
        <v>2415</v>
      </c>
      <c r="G15" s="11" t="s">
        <v>2416</v>
      </c>
      <c r="H15" s="11"/>
      <c r="I15" s="11"/>
    </row>
    <row r="16" spans="1:9" s="1" customFormat="1" ht="30">
      <c r="A16" s="11">
        <v>14</v>
      </c>
      <c r="B16" s="11" t="s">
        <v>438</v>
      </c>
      <c r="C16" s="11">
        <v>25</v>
      </c>
      <c r="D16" s="11" t="s">
        <v>242</v>
      </c>
      <c r="E16" s="11"/>
      <c r="F16" s="11" t="s">
        <v>2417</v>
      </c>
      <c r="G16" s="11" t="s">
        <v>2418</v>
      </c>
      <c r="H16" s="17"/>
      <c r="I16" s="17"/>
    </row>
    <row r="17" spans="1:9" s="1" customFormat="1" ht="30">
      <c r="A17" s="11">
        <v>15</v>
      </c>
      <c r="B17" s="11" t="s">
        <v>439</v>
      </c>
      <c r="C17" s="11">
        <v>25</v>
      </c>
      <c r="D17" s="11" t="s">
        <v>242</v>
      </c>
      <c r="E17" s="11"/>
      <c r="F17" s="11" t="s">
        <v>2419</v>
      </c>
      <c r="G17" s="11" t="s">
        <v>2420</v>
      </c>
      <c r="H17" s="17"/>
      <c r="I17" s="17"/>
    </row>
    <row r="18" spans="1:9" s="1" customFormat="1" ht="30">
      <c r="A18" s="11">
        <v>16</v>
      </c>
      <c r="B18" s="11" t="s">
        <v>1026</v>
      </c>
      <c r="C18" s="11">
        <v>25</v>
      </c>
      <c r="D18" s="11" t="s">
        <v>242</v>
      </c>
      <c r="E18" s="11"/>
      <c r="F18" s="11" t="s">
        <v>3668</v>
      </c>
      <c r="G18" s="11" t="s">
        <v>3671</v>
      </c>
      <c r="H18" s="17"/>
      <c r="I18" s="17"/>
    </row>
    <row r="19" spans="1:9" s="1" customFormat="1" ht="30">
      <c r="A19" s="11">
        <v>17</v>
      </c>
      <c r="B19" s="11" t="s">
        <v>1027</v>
      </c>
      <c r="C19" s="11">
        <v>25</v>
      </c>
      <c r="D19" s="11" t="s">
        <v>242</v>
      </c>
      <c r="E19" s="11"/>
      <c r="F19" s="11" t="s">
        <v>3669</v>
      </c>
      <c r="G19" s="11" t="s">
        <v>3672</v>
      </c>
      <c r="H19" s="17"/>
      <c r="I19" s="17"/>
    </row>
    <row r="20" spans="1:9" s="1" customFormat="1" ht="30">
      <c r="A20" s="11">
        <v>18</v>
      </c>
      <c r="B20" s="11" t="s">
        <v>1028</v>
      </c>
      <c r="C20" s="11">
        <v>25</v>
      </c>
      <c r="D20" s="11" t="s">
        <v>242</v>
      </c>
      <c r="E20" s="11"/>
      <c r="F20" s="11" t="s">
        <v>3670</v>
      </c>
      <c r="G20" s="11" t="s">
        <v>3673</v>
      </c>
      <c r="H20" s="11"/>
      <c r="I20" s="11"/>
    </row>
    <row r="21" spans="1:9" s="1" customFormat="1">
      <c r="A21" s="11">
        <v>19</v>
      </c>
      <c r="B21" s="11" t="s">
        <v>1029</v>
      </c>
      <c r="C21" s="11">
        <v>1</v>
      </c>
      <c r="D21" s="11" t="s">
        <v>242</v>
      </c>
      <c r="E21" s="11"/>
      <c r="F21" s="11" t="s">
        <v>3681</v>
      </c>
      <c r="G21" s="11" t="s">
        <v>3682</v>
      </c>
      <c r="H21" s="11"/>
      <c r="I21" s="11"/>
    </row>
    <row r="22" spans="1:9" s="1" customFormat="1" ht="30">
      <c r="A22" s="11">
        <v>20</v>
      </c>
      <c r="B22" s="11" t="s">
        <v>1030</v>
      </c>
      <c r="C22" s="11">
        <v>2</v>
      </c>
      <c r="D22" s="11" t="s">
        <v>242</v>
      </c>
      <c r="E22" s="11"/>
      <c r="F22" s="11" t="s">
        <v>3679</v>
      </c>
      <c r="G22" s="11" t="s">
        <v>3680</v>
      </c>
      <c r="H22" s="11"/>
      <c r="I22" s="11"/>
    </row>
    <row r="23" spans="1:9" s="1" customFormat="1">
      <c r="A23" s="11">
        <v>21</v>
      </c>
      <c r="B23" s="11" t="s">
        <v>1031</v>
      </c>
      <c r="C23" s="11">
        <v>200</v>
      </c>
      <c r="D23" s="11" t="s">
        <v>242</v>
      </c>
      <c r="E23" s="11"/>
      <c r="F23" s="11" t="s">
        <v>3677</v>
      </c>
      <c r="G23" s="11" t="s">
        <v>3678</v>
      </c>
      <c r="H23" s="11"/>
      <c r="I23" s="11"/>
    </row>
    <row r="24" spans="1:9" s="1" customFormat="1" ht="30">
      <c r="A24" s="11">
        <v>22</v>
      </c>
      <c r="B24" s="11" t="s">
        <v>89</v>
      </c>
      <c r="C24" s="11">
        <v>3</v>
      </c>
      <c r="D24" s="11" t="s">
        <v>242</v>
      </c>
      <c r="E24" s="11"/>
      <c r="F24" s="11" t="s">
        <v>3676</v>
      </c>
      <c r="G24" s="11" t="s">
        <v>3675</v>
      </c>
      <c r="H24" s="11"/>
      <c r="I24" s="11"/>
    </row>
    <row r="25" spans="1:9" s="1" customFormat="1">
      <c r="A25" s="11">
        <v>23</v>
      </c>
      <c r="B25" s="11" t="s">
        <v>1182</v>
      </c>
      <c r="C25" s="11">
        <v>12</v>
      </c>
      <c r="D25" s="11" t="s">
        <v>189</v>
      </c>
      <c r="E25" s="11" t="s">
        <v>5576</v>
      </c>
      <c r="F25" s="11" t="s">
        <v>1688</v>
      </c>
      <c r="G25" s="11" t="s">
        <v>1689</v>
      </c>
      <c r="H25" s="11"/>
      <c r="I25" s="11"/>
    </row>
    <row r="26" spans="1:9" s="1" customFormat="1" ht="30">
      <c r="A26" s="11">
        <v>24</v>
      </c>
      <c r="B26" s="11" t="s">
        <v>1183</v>
      </c>
      <c r="C26" s="11">
        <v>30</v>
      </c>
      <c r="D26" s="11" t="s">
        <v>242</v>
      </c>
      <c r="E26" s="11" t="s">
        <v>5576</v>
      </c>
      <c r="F26" s="11" t="s">
        <v>1690</v>
      </c>
      <c r="G26" s="11" t="s">
        <v>1691</v>
      </c>
      <c r="H26" s="11"/>
      <c r="I26" s="11"/>
    </row>
    <row r="27" spans="1:9" s="1" customFormat="1"/>
    <row r="28" spans="1:9" s="1" customFormat="1"/>
    <row r="29" spans="1:9" s="1" customFormat="1"/>
    <row r="30" spans="1:9" s="1" customFormat="1"/>
    <row r="31" spans="1:9" s="1" customFormat="1"/>
    <row r="32" spans="1:9" s="1" customFormat="1"/>
    <row r="33" spans="16:17" s="1" customFormat="1"/>
    <row r="34" spans="16:17" s="1" customFormat="1"/>
    <row r="35" spans="16:17" s="1" customFormat="1"/>
    <row r="36" spans="16:17" s="1" customFormat="1"/>
    <row r="37" spans="16:17" s="1" customFormat="1"/>
    <row r="38" spans="16:17" s="1" customFormat="1"/>
    <row r="39" spans="16:17" s="1" customFormat="1"/>
    <row r="40" spans="16:17" s="1" customFormat="1"/>
    <row r="41" spans="16:17" s="1" customFormat="1"/>
    <row r="42" spans="16:17" s="1" customFormat="1"/>
    <row r="43" spans="16:17" s="1" customFormat="1"/>
    <row r="44" spans="16:17" s="1" customFormat="1"/>
    <row r="45" spans="16:17" s="1" customFormat="1"/>
    <row r="46" spans="16:17" s="1" customFormat="1">
      <c r="P46" s="1" t="s">
        <v>785</v>
      </c>
      <c r="Q46" s="1">
        <v>1</v>
      </c>
    </row>
    <row r="47" spans="16:17" s="1" customFormat="1"/>
    <row r="48" spans="16:17"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DC96F-7871-4E76-BE88-B83116B4045B}">
  <sheetPr codeName="Sheet45"/>
  <dimension ref="A1:XFA250"/>
  <sheetViews>
    <sheetView workbookViewId="0">
      <selection activeCell="C22" sqref="C22"/>
    </sheetView>
  </sheetViews>
  <sheetFormatPr defaultColWidth="32.140625" defaultRowHeight="15"/>
  <cols>
    <col min="1" max="1" width="7.140625" style="1" bestFit="1" customWidth="1"/>
    <col min="2" max="2" width="12.140625" style="1" bestFit="1" customWidth="1"/>
    <col min="3" max="3" width="4.5703125" style="1" bestFit="1" customWidth="1"/>
    <col min="4" max="4" width="9" style="1" bestFit="1" customWidth="1"/>
    <col min="5" max="5" width="24.42578125" style="1" bestFit="1" customWidth="1"/>
    <col min="6" max="6" width="28.85546875" style="1" bestFit="1" customWidth="1"/>
    <col min="7" max="7" width="55.7109375" style="1" bestFit="1" customWidth="1"/>
    <col min="8" max="10" width="5.140625" style="2" bestFit="1" customWidth="1"/>
    <col min="11" max="16380" width="32.140625" style="2"/>
    <col min="16381" max="16381" width="1.7109375" style="2" customWidth="1"/>
    <col min="16382" max="16384" width="17.7109375" style="1" customWidth="1"/>
  </cols>
  <sheetData>
    <row r="1" spans="1:11" s="1" customFormat="1">
      <c r="A1" s="12" t="s">
        <v>238</v>
      </c>
      <c r="B1" s="12"/>
      <c r="C1" s="12"/>
      <c r="D1" s="12"/>
      <c r="E1" s="12"/>
      <c r="F1" s="12"/>
      <c r="G1" s="12"/>
      <c r="H1" s="12"/>
      <c r="I1" s="12"/>
      <c r="J1" s="12"/>
    </row>
    <row r="2" spans="1:11" s="1" customFormat="1">
      <c r="A2" s="10" t="s">
        <v>350</v>
      </c>
      <c r="B2" s="10" t="s">
        <v>156</v>
      </c>
      <c r="C2" s="10" t="s">
        <v>157</v>
      </c>
      <c r="D2" s="10" t="s">
        <v>239</v>
      </c>
      <c r="E2" s="10" t="s">
        <v>159</v>
      </c>
      <c r="F2" s="10" t="s">
        <v>1684</v>
      </c>
      <c r="G2" s="10" t="s">
        <v>1685</v>
      </c>
      <c r="H2" s="10" t="s">
        <v>5371</v>
      </c>
      <c r="I2" s="10" t="s">
        <v>5372</v>
      </c>
      <c r="J2" s="10" t="s">
        <v>5373</v>
      </c>
    </row>
    <row r="3" spans="1:11" s="1" customFormat="1">
      <c r="A3" s="11">
        <v>1</v>
      </c>
      <c r="B3" s="11" t="s">
        <v>240</v>
      </c>
      <c r="C3" s="11">
        <v>8</v>
      </c>
      <c r="D3" s="11" t="s">
        <v>160</v>
      </c>
      <c r="E3" s="11" t="s">
        <v>177</v>
      </c>
      <c r="F3" s="11" t="s">
        <v>1686</v>
      </c>
      <c r="G3" s="11" t="s">
        <v>1687</v>
      </c>
      <c r="H3" s="11" t="s">
        <v>5382</v>
      </c>
      <c r="I3" s="11" t="s">
        <v>5386</v>
      </c>
      <c r="J3" s="11" t="s">
        <v>5396</v>
      </c>
    </row>
    <row r="4" spans="1:11" s="1" customFormat="1">
      <c r="A4" s="59">
        <v>2</v>
      </c>
      <c r="B4" s="59" t="s">
        <v>243</v>
      </c>
      <c r="C4" s="59">
        <v>2</v>
      </c>
      <c r="D4" s="59" t="s">
        <v>242</v>
      </c>
      <c r="E4" s="59"/>
      <c r="F4" s="59" t="s">
        <v>2675</v>
      </c>
      <c r="G4" s="59" t="s">
        <v>5554</v>
      </c>
      <c r="H4" s="59" t="s">
        <v>5384</v>
      </c>
      <c r="I4" s="59" t="s">
        <v>1291</v>
      </c>
      <c r="J4" s="59" t="s">
        <v>1291</v>
      </c>
      <c r="K4" s="31"/>
    </row>
    <row r="5" spans="1:11" s="1" customFormat="1">
      <c r="A5" s="59">
        <v>3</v>
      </c>
      <c r="B5" s="59" t="s">
        <v>241</v>
      </c>
      <c r="C5" s="59">
        <v>14</v>
      </c>
      <c r="D5" s="59" t="s">
        <v>242</v>
      </c>
      <c r="E5" s="59"/>
      <c r="F5" s="59" t="s">
        <v>1711</v>
      </c>
      <c r="G5" s="59" t="s">
        <v>5555</v>
      </c>
      <c r="H5" s="59" t="s">
        <v>5385</v>
      </c>
      <c r="I5" s="59" t="s">
        <v>5387</v>
      </c>
      <c r="J5" s="59" t="s">
        <v>1291</v>
      </c>
      <c r="K5" s="31"/>
    </row>
    <row r="6" spans="1:11" s="1" customFormat="1" ht="30">
      <c r="A6" s="59">
        <v>4</v>
      </c>
      <c r="B6" s="59" t="s">
        <v>691</v>
      </c>
      <c r="C6" s="59">
        <v>8</v>
      </c>
      <c r="D6" s="59" t="s">
        <v>242</v>
      </c>
      <c r="E6" s="59"/>
      <c r="F6" s="59" t="s">
        <v>5556</v>
      </c>
      <c r="G6" s="59" t="s">
        <v>5557</v>
      </c>
      <c r="H6" s="59" t="s">
        <v>5402</v>
      </c>
      <c r="I6" s="59" t="s">
        <v>1291</v>
      </c>
      <c r="J6" s="59" t="s">
        <v>5388</v>
      </c>
      <c r="K6" s="31" t="s">
        <v>6996</v>
      </c>
    </row>
    <row r="7" spans="1:11" s="1" customFormat="1" ht="30">
      <c r="A7" s="59">
        <v>5</v>
      </c>
      <c r="B7" s="59" t="s">
        <v>692</v>
      </c>
      <c r="C7" s="59">
        <v>16</v>
      </c>
      <c r="D7" s="59" t="s">
        <v>189</v>
      </c>
      <c r="E7" s="59" t="s">
        <v>1266</v>
      </c>
      <c r="F7" s="59" t="s">
        <v>3651</v>
      </c>
      <c r="G7" s="59" t="s">
        <v>5553</v>
      </c>
      <c r="H7" s="59"/>
      <c r="I7" s="59"/>
      <c r="J7" s="59"/>
      <c r="K7" s="31"/>
    </row>
    <row r="8" spans="1:11" s="1" customFormat="1" ht="30">
      <c r="A8" s="59">
        <v>6</v>
      </c>
      <c r="B8" s="59" t="s">
        <v>693</v>
      </c>
      <c r="C8" s="59">
        <v>8</v>
      </c>
      <c r="D8" s="59" t="s">
        <v>160</v>
      </c>
      <c r="E8" s="59" t="s">
        <v>177</v>
      </c>
      <c r="F8" s="59" t="s">
        <v>2470</v>
      </c>
      <c r="G8" s="59" t="s">
        <v>5558</v>
      </c>
      <c r="H8" s="59"/>
      <c r="I8" s="59"/>
      <c r="J8" s="59"/>
      <c r="K8" s="31"/>
    </row>
    <row r="9" spans="1:11" s="1" customFormat="1">
      <c r="A9" s="59">
        <v>7</v>
      </c>
      <c r="B9" s="59" t="s">
        <v>694</v>
      </c>
      <c r="C9" s="59">
        <v>25</v>
      </c>
      <c r="D9" s="59" t="s">
        <v>242</v>
      </c>
      <c r="E9" s="59"/>
      <c r="F9" s="59" t="s">
        <v>3652</v>
      </c>
      <c r="G9" s="59" t="s">
        <v>3653</v>
      </c>
      <c r="H9" s="59"/>
      <c r="I9" s="59"/>
      <c r="J9" s="59"/>
      <c r="K9" s="31"/>
    </row>
    <row r="10" spans="1:11" s="1" customFormat="1" ht="30">
      <c r="A10" s="59">
        <v>8</v>
      </c>
      <c r="B10" s="59" t="s">
        <v>695</v>
      </c>
      <c r="C10" s="59">
        <v>8</v>
      </c>
      <c r="D10" s="59" t="s">
        <v>242</v>
      </c>
      <c r="E10" s="59"/>
      <c r="F10" s="59" t="s">
        <v>3650</v>
      </c>
      <c r="G10" s="59" t="s">
        <v>5559</v>
      </c>
      <c r="H10" s="59"/>
      <c r="I10" s="59"/>
      <c r="J10" s="59"/>
      <c r="K10" s="31" t="s">
        <v>6996</v>
      </c>
    </row>
    <row r="11" spans="1:11" s="1" customFormat="1" ht="30">
      <c r="A11" s="59">
        <v>9</v>
      </c>
      <c r="B11" s="59" t="s">
        <v>696</v>
      </c>
      <c r="C11" s="59">
        <v>1</v>
      </c>
      <c r="D11" s="59" t="s">
        <v>242</v>
      </c>
      <c r="E11" s="59"/>
      <c r="F11" s="59" t="s">
        <v>2472</v>
      </c>
      <c r="G11" s="59" t="s">
        <v>5560</v>
      </c>
      <c r="H11" s="59"/>
      <c r="I11" s="59"/>
      <c r="J11" s="59"/>
      <c r="K11" s="31"/>
    </row>
    <row r="12" spans="1:11" s="1" customFormat="1">
      <c r="A12" s="59">
        <v>10</v>
      </c>
      <c r="B12" s="59" t="s">
        <v>1182</v>
      </c>
      <c r="C12" s="59">
        <v>12</v>
      </c>
      <c r="D12" s="59" t="s">
        <v>189</v>
      </c>
      <c r="E12" s="59" t="s">
        <v>5576</v>
      </c>
      <c r="F12" s="59" t="s">
        <v>1688</v>
      </c>
      <c r="G12" s="59" t="s">
        <v>1689</v>
      </c>
      <c r="H12" s="59"/>
      <c r="I12" s="59"/>
      <c r="J12" s="59"/>
      <c r="K12" s="31"/>
    </row>
    <row r="13" spans="1:11" s="1" customFormat="1" ht="30">
      <c r="A13" s="59">
        <v>11</v>
      </c>
      <c r="B13" s="59" t="s">
        <v>1183</v>
      </c>
      <c r="C13" s="59">
        <v>30</v>
      </c>
      <c r="D13" s="59" t="s">
        <v>242</v>
      </c>
      <c r="E13" s="59" t="s">
        <v>5576</v>
      </c>
      <c r="F13" s="59" t="s">
        <v>1690</v>
      </c>
      <c r="G13" s="59" t="s">
        <v>1691</v>
      </c>
      <c r="H13" s="59"/>
      <c r="I13" s="59"/>
      <c r="J13" s="59"/>
      <c r="K13" s="31"/>
    </row>
    <row r="14" spans="1:11" s="1" customFormat="1">
      <c r="A14" s="31"/>
      <c r="B14" s="31"/>
      <c r="C14" s="31"/>
      <c r="D14" s="31"/>
      <c r="E14" s="31"/>
      <c r="F14" s="31"/>
      <c r="G14" s="31"/>
      <c r="H14" s="83"/>
      <c r="I14" s="83"/>
      <c r="J14" s="83"/>
      <c r="K14" s="31"/>
    </row>
    <row r="15" spans="1:11" s="1" customFormat="1">
      <c r="A15" s="31"/>
      <c r="B15" s="31"/>
      <c r="C15" s="31"/>
      <c r="D15" s="31"/>
      <c r="E15" s="31"/>
      <c r="F15" s="31"/>
      <c r="G15" s="31"/>
      <c r="H15" s="83"/>
      <c r="I15" s="83"/>
      <c r="J15" s="83"/>
      <c r="K15" s="31"/>
    </row>
    <row r="16" spans="1:11" s="1" customFormat="1">
      <c r="A16" s="31"/>
      <c r="B16" s="31"/>
      <c r="C16" s="31"/>
      <c r="D16" s="31"/>
      <c r="E16" s="31"/>
      <c r="F16" s="31"/>
      <c r="G16" s="31"/>
      <c r="H16" s="83"/>
      <c r="I16" s="83"/>
      <c r="J16" s="83"/>
      <c r="K16" s="31"/>
    </row>
    <row r="17" spans="1:11" s="1" customFormat="1">
      <c r="A17" s="31"/>
      <c r="B17" s="31"/>
      <c r="C17" s="31"/>
      <c r="D17" s="31"/>
      <c r="E17" s="31"/>
      <c r="F17" s="31"/>
      <c r="G17" s="31"/>
      <c r="H17" s="83"/>
      <c r="I17" s="83"/>
      <c r="J17" s="83"/>
      <c r="K17" s="31"/>
    </row>
    <row r="18" spans="1:11" s="1" customFormat="1">
      <c r="A18" s="31"/>
      <c r="B18" s="31"/>
      <c r="C18" s="31"/>
      <c r="D18" s="31"/>
      <c r="E18" s="31"/>
      <c r="F18" s="31"/>
      <c r="G18" s="31"/>
      <c r="H18" s="83"/>
      <c r="I18" s="83"/>
      <c r="J18" s="83"/>
      <c r="K18" s="31"/>
    </row>
    <row r="19" spans="1:11" s="1" customFormat="1">
      <c r="A19" s="31"/>
      <c r="B19" s="31"/>
      <c r="C19" s="31"/>
      <c r="D19" s="31"/>
      <c r="E19" s="31"/>
      <c r="F19" s="31"/>
      <c r="G19" s="31"/>
      <c r="H19" s="83"/>
      <c r="I19" s="83"/>
      <c r="J19" s="83"/>
      <c r="K19" s="31"/>
    </row>
    <row r="20" spans="1:11" s="1" customFormat="1">
      <c r="A20" s="31"/>
      <c r="B20" s="31"/>
      <c r="C20" s="31"/>
      <c r="D20" s="31"/>
      <c r="E20" s="31"/>
      <c r="F20" s="31"/>
      <c r="G20" s="31"/>
      <c r="H20" s="31"/>
      <c r="I20" s="31"/>
      <c r="J20" s="31"/>
      <c r="K20" s="31"/>
    </row>
    <row r="21" spans="1:11" s="1" customFormat="1">
      <c r="A21" s="31"/>
      <c r="B21" s="31"/>
      <c r="C21" s="31"/>
      <c r="D21" s="31"/>
      <c r="E21" s="31"/>
      <c r="F21" s="31"/>
      <c r="G21" s="31"/>
      <c r="H21" s="31"/>
      <c r="I21" s="31"/>
      <c r="J21" s="31"/>
      <c r="K21" s="31"/>
    </row>
    <row r="22" spans="1:11" s="1" customFormat="1">
      <c r="A22" s="31"/>
      <c r="B22" s="31"/>
      <c r="C22" s="31"/>
      <c r="D22" s="31"/>
      <c r="E22" s="31"/>
      <c r="F22" s="31"/>
      <c r="G22" s="31"/>
      <c r="H22" s="31"/>
      <c r="I22" s="31"/>
      <c r="J22" s="31"/>
      <c r="K22" s="31"/>
    </row>
    <row r="23" spans="1:11" s="1" customFormat="1">
      <c r="A23" s="31"/>
      <c r="B23" s="31"/>
      <c r="C23" s="31"/>
      <c r="D23" s="31"/>
      <c r="E23" s="31"/>
      <c r="F23" s="31"/>
      <c r="G23" s="31"/>
      <c r="H23" s="31"/>
      <c r="I23" s="31"/>
      <c r="J23" s="31"/>
      <c r="K23" s="31"/>
    </row>
    <row r="24" spans="1:11" s="1" customFormat="1">
      <c r="A24" s="31"/>
      <c r="B24" s="31"/>
      <c r="C24" s="31"/>
      <c r="D24" s="31"/>
      <c r="E24" s="31"/>
      <c r="F24" s="31"/>
      <c r="G24" s="31"/>
      <c r="H24" s="31"/>
      <c r="I24" s="31"/>
      <c r="J24" s="31"/>
      <c r="K24" s="31"/>
    </row>
    <row r="25" spans="1:11" s="1" customFormat="1"/>
    <row r="26" spans="1:11" s="1" customFormat="1"/>
    <row r="27" spans="1:11" s="1" customFormat="1"/>
    <row r="28" spans="1:11" s="1" customFormat="1"/>
    <row r="29" spans="1:11" s="1" customFormat="1"/>
    <row r="30" spans="1:11" s="1" customFormat="1"/>
    <row r="31" spans="1:11" s="1" customFormat="1"/>
    <row r="32" spans="1:11"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536C-7637-46BB-B312-8E394F61E8B4}">
  <sheetPr codeName="Sheet39"/>
  <dimension ref="A1:XFB252"/>
  <sheetViews>
    <sheetView topLeftCell="A49" workbookViewId="0">
      <selection activeCell="C22" sqref="C22"/>
    </sheetView>
  </sheetViews>
  <sheetFormatPr defaultColWidth="32.140625" defaultRowHeight="15"/>
  <cols>
    <col min="1" max="1" width="8.28515625" style="54" bestFit="1" customWidth="1"/>
    <col min="2" max="2" width="19" style="54" bestFit="1" customWidth="1"/>
    <col min="3" max="3" width="6.85546875" style="54" bestFit="1" customWidth="1"/>
    <col min="4" max="4" width="11.28515625" style="54" bestFit="1" customWidth="1"/>
    <col min="5" max="5" width="15.7109375" style="54" customWidth="1"/>
    <col min="6" max="6" width="39.5703125" style="54" bestFit="1" customWidth="1"/>
    <col min="7" max="7" width="57.42578125" style="54" customWidth="1"/>
    <col min="8" max="11" width="5.140625" style="2" bestFit="1" customWidth="1"/>
    <col min="12" max="16381" width="32.140625" style="2"/>
    <col min="16382" max="16382" width="1.7109375" style="2" customWidth="1"/>
    <col min="16383" max="16384" width="17.7109375" style="54" customWidth="1"/>
  </cols>
  <sheetData>
    <row r="1" spans="1:11" s="54" customFormat="1">
      <c r="A1" s="52" t="s">
        <v>238</v>
      </c>
      <c r="B1" s="52"/>
      <c r="C1" s="52"/>
      <c r="D1" s="52"/>
      <c r="E1" s="52"/>
      <c r="F1" s="52"/>
      <c r="G1" s="52"/>
      <c r="H1" s="52"/>
      <c r="I1" s="52"/>
      <c r="J1" s="52"/>
      <c r="K1" s="52"/>
    </row>
    <row r="2" spans="1:11" s="54" customFormat="1">
      <c r="A2" s="10" t="s">
        <v>350</v>
      </c>
      <c r="B2" s="10" t="s">
        <v>156</v>
      </c>
      <c r="C2" s="10" t="s">
        <v>157</v>
      </c>
      <c r="D2" s="10" t="s">
        <v>239</v>
      </c>
      <c r="E2" s="10" t="s">
        <v>159</v>
      </c>
      <c r="F2" s="10" t="s">
        <v>1684</v>
      </c>
      <c r="G2" s="10" t="s">
        <v>1685</v>
      </c>
      <c r="H2" s="10" t="s">
        <v>5371</v>
      </c>
      <c r="I2" s="10" t="s">
        <v>5372</v>
      </c>
      <c r="J2" s="10" t="s">
        <v>5373</v>
      </c>
      <c r="K2" s="10" t="s">
        <v>5389</v>
      </c>
    </row>
    <row r="3" spans="1:11" s="54" customFormat="1">
      <c r="A3" s="53">
        <v>1</v>
      </c>
      <c r="B3" s="53" t="s">
        <v>240</v>
      </c>
      <c r="C3" s="53">
        <v>8</v>
      </c>
      <c r="D3" s="53" t="s">
        <v>160</v>
      </c>
      <c r="E3" s="53" t="s">
        <v>177</v>
      </c>
      <c r="F3" s="53" t="s">
        <v>1686</v>
      </c>
      <c r="G3" s="53" t="s">
        <v>1687</v>
      </c>
      <c r="H3" s="53" t="s">
        <v>5384</v>
      </c>
      <c r="I3" s="53" t="s">
        <v>5386</v>
      </c>
      <c r="J3" s="53" t="s">
        <v>5396</v>
      </c>
      <c r="K3" s="53" t="s">
        <v>5398</v>
      </c>
    </row>
    <row r="4" spans="1:11" s="54" customFormat="1">
      <c r="A4" s="53">
        <v>2</v>
      </c>
      <c r="B4" s="53" t="s">
        <v>243</v>
      </c>
      <c r="C4" s="53">
        <v>2</v>
      </c>
      <c r="D4" s="53" t="s">
        <v>242</v>
      </c>
      <c r="E4" s="53"/>
      <c r="F4" s="53" t="s">
        <v>2627</v>
      </c>
      <c r="G4" s="53" t="s">
        <v>2628</v>
      </c>
      <c r="H4" s="53" t="s">
        <v>1291</v>
      </c>
      <c r="I4" s="53"/>
      <c r="J4" s="53" t="s">
        <v>1291</v>
      </c>
      <c r="K4" s="53" t="s">
        <v>5397</v>
      </c>
    </row>
    <row r="5" spans="1:11" s="54" customFormat="1">
      <c r="A5" s="53">
        <v>3</v>
      </c>
      <c r="B5" s="53" t="s">
        <v>429</v>
      </c>
      <c r="C5" s="53">
        <v>10</v>
      </c>
      <c r="D5" s="53" t="s">
        <v>242</v>
      </c>
      <c r="E5" s="53"/>
      <c r="F5" s="53" t="s">
        <v>3665</v>
      </c>
      <c r="G5" s="53" t="s">
        <v>3663</v>
      </c>
      <c r="H5" s="53" t="s">
        <v>5382</v>
      </c>
      <c r="I5" s="53"/>
      <c r="J5" s="53"/>
      <c r="K5" s="53"/>
    </row>
    <row r="6" spans="1:11" s="54" customFormat="1">
      <c r="A6" s="53">
        <v>4</v>
      </c>
      <c r="B6" s="53" t="s">
        <v>1109</v>
      </c>
      <c r="C6" s="53">
        <v>18</v>
      </c>
      <c r="D6" s="53" t="s">
        <v>242</v>
      </c>
      <c r="E6" s="53"/>
      <c r="F6" s="53" t="s">
        <v>3666</v>
      </c>
      <c r="G6" s="53" t="s">
        <v>3664</v>
      </c>
      <c r="H6" s="53"/>
      <c r="I6" s="53" t="s">
        <v>5387</v>
      </c>
      <c r="J6" s="53"/>
      <c r="K6" s="53"/>
    </row>
    <row r="7" spans="1:11" s="54" customFormat="1" ht="105">
      <c r="A7" s="53">
        <v>5</v>
      </c>
      <c r="B7" s="53" t="s">
        <v>1110</v>
      </c>
      <c r="C7" s="53">
        <v>14</v>
      </c>
      <c r="D7" s="53" t="s">
        <v>242</v>
      </c>
      <c r="E7" s="53"/>
      <c r="F7" s="53" t="s">
        <v>2625</v>
      </c>
      <c r="G7" s="53" t="s">
        <v>5381</v>
      </c>
      <c r="H7" s="53"/>
      <c r="I7" s="53"/>
      <c r="J7" s="53" t="s">
        <v>5388</v>
      </c>
      <c r="K7" s="53"/>
    </row>
    <row r="8" spans="1:11" s="54" customFormat="1" ht="105">
      <c r="A8" s="53">
        <v>6</v>
      </c>
      <c r="B8" s="53" t="s">
        <v>1111</v>
      </c>
      <c r="C8" s="53">
        <v>14</v>
      </c>
      <c r="D8" s="53" t="s">
        <v>242</v>
      </c>
      <c r="E8" s="53"/>
      <c r="F8" s="53" t="s">
        <v>2626</v>
      </c>
      <c r="G8" s="53" t="s">
        <v>5381</v>
      </c>
      <c r="H8" s="53"/>
      <c r="I8" s="53"/>
      <c r="J8" s="53"/>
      <c r="K8" s="53"/>
    </row>
    <row r="9" spans="1:11" s="54" customFormat="1">
      <c r="A9" s="53">
        <v>7</v>
      </c>
      <c r="B9" s="53" t="s">
        <v>1112</v>
      </c>
      <c r="C9" s="53">
        <v>3</v>
      </c>
      <c r="D9" s="53" t="s">
        <v>242</v>
      </c>
      <c r="E9" s="53"/>
      <c r="F9" s="53" t="s">
        <v>4976</v>
      </c>
      <c r="G9" s="53" t="s">
        <v>4977</v>
      </c>
      <c r="H9" s="53"/>
      <c r="I9" s="53" t="s">
        <v>1291</v>
      </c>
      <c r="J9" s="53" t="s">
        <v>1291</v>
      </c>
      <c r="K9" s="53"/>
    </row>
    <row r="10" spans="1:11" s="54" customFormat="1" ht="30">
      <c r="A10" s="53">
        <v>8</v>
      </c>
      <c r="B10" s="53" t="s">
        <v>1113</v>
      </c>
      <c r="C10" s="53">
        <v>16</v>
      </c>
      <c r="D10" s="53" t="s">
        <v>189</v>
      </c>
      <c r="E10" s="53" t="s">
        <v>1266</v>
      </c>
      <c r="F10" s="53"/>
      <c r="G10" s="53" t="s">
        <v>5561</v>
      </c>
      <c r="H10" s="53"/>
      <c r="I10" s="53"/>
      <c r="J10" s="53"/>
      <c r="K10" s="53"/>
    </row>
    <row r="11" spans="1:11" s="54" customFormat="1">
      <c r="A11" s="53">
        <v>9</v>
      </c>
      <c r="B11" s="53" t="s">
        <v>1005</v>
      </c>
      <c r="C11" s="53">
        <v>8</v>
      </c>
      <c r="D11" s="53" t="s">
        <v>160</v>
      </c>
      <c r="E11" s="53" t="s">
        <v>177</v>
      </c>
      <c r="F11" s="53" t="s">
        <v>2743</v>
      </c>
      <c r="G11" s="53" t="s">
        <v>2789</v>
      </c>
      <c r="H11" s="53"/>
      <c r="I11" s="53"/>
      <c r="J11" s="53"/>
      <c r="K11" s="53" t="s">
        <v>5390</v>
      </c>
    </row>
    <row r="12" spans="1:11" s="54" customFormat="1">
      <c r="A12" s="53">
        <v>10</v>
      </c>
      <c r="B12" s="53" t="s">
        <v>425</v>
      </c>
      <c r="C12" s="53">
        <v>8</v>
      </c>
      <c r="D12" s="53" t="s">
        <v>160</v>
      </c>
      <c r="E12" s="53" t="s">
        <v>177</v>
      </c>
      <c r="F12" s="53" t="s">
        <v>425</v>
      </c>
      <c r="G12" s="53" t="s">
        <v>5562</v>
      </c>
      <c r="H12" s="53"/>
      <c r="I12" s="53"/>
      <c r="J12" s="53"/>
      <c r="K12" s="53"/>
    </row>
    <row r="13" spans="1:11" s="54" customFormat="1" ht="30">
      <c r="A13" s="53">
        <v>11</v>
      </c>
      <c r="B13" s="53" t="s">
        <v>1114</v>
      </c>
      <c r="C13" s="53">
        <v>3</v>
      </c>
      <c r="D13" s="53" t="s">
        <v>242</v>
      </c>
      <c r="E13" s="53"/>
      <c r="F13" s="53" t="s">
        <v>2630</v>
      </c>
      <c r="G13" s="53" t="s">
        <v>3647</v>
      </c>
      <c r="H13" s="53"/>
      <c r="I13" s="53"/>
      <c r="J13" s="53"/>
      <c r="K13" s="53"/>
    </row>
    <row r="14" spans="1:11" s="54" customFormat="1">
      <c r="A14" s="53">
        <v>12</v>
      </c>
      <c r="B14" s="53" t="s">
        <v>1115</v>
      </c>
      <c r="C14" s="53">
        <v>16</v>
      </c>
      <c r="D14" s="53" t="s">
        <v>189</v>
      </c>
      <c r="E14" s="53" t="s">
        <v>1266</v>
      </c>
      <c r="F14" s="53" t="s">
        <v>2631</v>
      </c>
      <c r="G14" s="53" t="s">
        <v>3646</v>
      </c>
      <c r="H14" s="53"/>
      <c r="I14" s="53"/>
      <c r="J14" s="53"/>
      <c r="K14" s="53"/>
    </row>
    <row r="15" spans="1:11" s="54" customFormat="1" ht="30">
      <c r="A15" s="53">
        <v>13</v>
      </c>
      <c r="B15" s="53" t="s">
        <v>569</v>
      </c>
      <c r="C15" s="53">
        <v>12</v>
      </c>
      <c r="D15" s="53" t="s">
        <v>189</v>
      </c>
      <c r="E15" s="53" t="s">
        <v>5563</v>
      </c>
      <c r="F15" s="53" t="s">
        <v>2481</v>
      </c>
      <c r="G15" s="53" t="s">
        <v>3648</v>
      </c>
      <c r="H15" s="53"/>
      <c r="I15" s="53"/>
      <c r="J15" s="53"/>
      <c r="K15" s="53"/>
    </row>
    <row r="16" spans="1:11" s="54" customFormat="1">
      <c r="A16" s="53">
        <v>14</v>
      </c>
      <c r="B16" s="53" t="s">
        <v>1116</v>
      </c>
      <c r="C16" s="53">
        <v>16</v>
      </c>
      <c r="D16" s="53" t="s">
        <v>189</v>
      </c>
      <c r="E16" s="53" t="s">
        <v>1266</v>
      </c>
      <c r="F16" s="53" t="s">
        <v>2632</v>
      </c>
      <c r="G16" s="53" t="s">
        <v>5564</v>
      </c>
      <c r="H16" s="53"/>
      <c r="I16" s="53"/>
      <c r="J16" s="53"/>
      <c r="K16" s="53"/>
    </row>
    <row r="17" spans="1:12" s="54" customFormat="1" ht="60">
      <c r="A17" s="53">
        <v>15</v>
      </c>
      <c r="B17" s="53" t="s">
        <v>1117</v>
      </c>
      <c r="C17" s="53">
        <v>1</v>
      </c>
      <c r="D17" s="53" t="s">
        <v>242</v>
      </c>
      <c r="E17" s="53"/>
      <c r="F17" s="53" t="s">
        <v>2633</v>
      </c>
      <c r="G17" s="53" t="s">
        <v>5374</v>
      </c>
      <c r="H17" s="53"/>
      <c r="I17" s="53"/>
      <c r="J17" s="53"/>
      <c r="K17" s="53"/>
    </row>
    <row r="18" spans="1:12" s="54" customFormat="1" ht="30">
      <c r="A18" s="53">
        <v>16</v>
      </c>
      <c r="B18" s="53" t="s">
        <v>1118</v>
      </c>
      <c r="C18" s="53">
        <v>1</v>
      </c>
      <c r="D18" s="53" t="s">
        <v>242</v>
      </c>
      <c r="E18" s="53"/>
      <c r="F18" s="53" t="s">
        <v>2634</v>
      </c>
      <c r="G18" s="53" t="s">
        <v>2790</v>
      </c>
      <c r="H18" s="53"/>
      <c r="I18" s="53"/>
      <c r="J18" s="53"/>
      <c r="K18" s="53"/>
    </row>
    <row r="19" spans="1:12" s="54" customFormat="1">
      <c r="A19" s="53">
        <v>17</v>
      </c>
      <c r="B19" s="53" t="s">
        <v>1119</v>
      </c>
      <c r="C19" s="53">
        <v>1</v>
      </c>
      <c r="D19" s="53" t="s">
        <v>242</v>
      </c>
      <c r="E19" s="53"/>
      <c r="F19" s="53" t="s">
        <v>5565</v>
      </c>
      <c r="G19" s="53"/>
      <c r="H19" s="53"/>
      <c r="I19" s="53"/>
      <c r="J19" s="53"/>
      <c r="K19" s="53"/>
    </row>
    <row r="20" spans="1:12" s="54" customFormat="1" ht="30">
      <c r="A20" s="53">
        <v>18</v>
      </c>
      <c r="B20" s="53" t="s">
        <v>1120</v>
      </c>
      <c r="C20" s="53">
        <v>1</v>
      </c>
      <c r="D20" s="53" t="s">
        <v>242</v>
      </c>
      <c r="E20" s="53"/>
      <c r="F20" s="53" t="s">
        <v>2635</v>
      </c>
      <c r="G20" s="53" t="s">
        <v>2791</v>
      </c>
      <c r="H20" s="53"/>
      <c r="I20" s="53"/>
      <c r="J20" s="53"/>
      <c r="K20" s="53"/>
    </row>
    <row r="21" spans="1:12" s="54" customFormat="1" ht="30">
      <c r="A21" s="53">
        <v>19</v>
      </c>
      <c r="B21" s="53" t="s">
        <v>1121</v>
      </c>
      <c r="C21" s="53">
        <v>8</v>
      </c>
      <c r="D21" s="53" t="s">
        <v>160</v>
      </c>
      <c r="E21" s="53" t="s">
        <v>177</v>
      </c>
      <c r="F21" s="53" t="s">
        <v>2636</v>
      </c>
      <c r="G21" s="53" t="s">
        <v>2792</v>
      </c>
      <c r="H21" s="53"/>
      <c r="I21" s="53"/>
      <c r="J21" s="53"/>
      <c r="K21" s="53"/>
    </row>
    <row r="22" spans="1:12" s="54" customFormat="1" ht="30">
      <c r="A22" s="53">
        <v>20</v>
      </c>
      <c r="B22" s="53" t="s">
        <v>1122</v>
      </c>
      <c r="C22" s="53">
        <v>3</v>
      </c>
      <c r="D22" s="53" t="s">
        <v>242</v>
      </c>
      <c r="E22" s="53"/>
      <c r="F22" s="53" t="s">
        <v>1999</v>
      </c>
      <c r="G22" s="53" t="s">
        <v>2793</v>
      </c>
      <c r="H22" s="53"/>
      <c r="I22" s="53"/>
      <c r="J22" s="53"/>
      <c r="K22" s="53"/>
    </row>
    <row r="23" spans="1:12" s="54" customFormat="1" ht="30">
      <c r="A23" s="53">
        <v>21</v>
      </c>
      <c r="B23" s="53" t="s">
        <v>1123</v>
      </c>
      <c r="C23" s="53">
        <v>6</v>
      </c>
      <c r="D23" s="53" t="s">
        <v>242</v>
      </c>
      <c r="E23" s="53"/>
      <c r="F23" s="53" t="s">
        <v>2637</v>
      </c>
      <c r="G23" s="53" t="s">
        <v>2794</v>
      </c>
      <c r="H23" s="53"/>
      <c r="I23" s="53"/>
      <c r="J23" s="53"/>
      <c r="K23" s="53"/>
    </row>
    <row r="24" spans="1:12" s="54" customFormat="1" ht="30">
      <c r="A24" s="53">
        <v>22</v>
      </c>
      <c r="B24" s="53" t="s">
        <v>78</v>
      </c>
      <c r="C24" s="53">
        <v>4</v>
      </c>
      <c r="D24" s="53" t="s">
        <v>242</v>
      </c>
      <c r="E24" s="53"/>
      <c r="F24" s="53" t="s">
        <v>1707</v>
      </c>
      <c r="G24" s="53" t="s">
        <v>2795</v>
      </c>
      <c r="H24" s="53"/>
      <c r="I24" s="53"/>
      <c r="J24" s="53"/>
      <c r="K24" s="53"/>
    </row>
    <row r="25" spans="1:12" s="54" customFormat="1" ht="30">
      <c r="A25" s="53">
        <v>23</v>
      </c>
      <c r="B25" s="53" t="s">
        <v>1124</v>
      </c>
      <c r="C25" s="53">
        <v>2</v>
      </c>
      <c r="D25" s="53" t="s">
        <v>242</v>
      </c>
      <c r="E25" s="53"/>
      <c r="F25" s="53" t="s">
        <v>5539</v>
      </c>
      <c r="G25" s="53" t="s">
        <v>2796</v>
      </c>
      <c r="H25" s="53"/>
      <c r="I25" s="53"/>
      <c r="J25" s="53"/>
      <c r="K25" s="53"/>
    </row>
    <row r="26" spans="1:12" s="54" customFormat="1" ht="30">
      <c r="A26" s="53">
        <v>24</v>
      </c>
      <c r="B26" s="53" t="s">
        <v>1125</v>
      </c>
      <c r="C26" s="53">
        <v>12</v>
      </c>
      <c r="D26" s="53" t="s">
        <v>242</v>
      </c>
      <c r="E26" s="53"/>
      <c r="F26" s="53" t="s">
        <v>2638</v>
      </c>
      <c r="G26" s="53" t="s">
        <v>2797</v>
      </c>
      <c r="H26" s="53"/>
      <c r="I26" s="53"/>
      <c r="J26" s="53"/>
      <c r="K26" s="53"/>
    </row>
    <row r="27" spans="1:12" s="54" customFormat="1" ht="30">
      <c r="A27" s="53">
        <v>25</v>
      </c>
      <c r="B27" s="53" t="s">
        <v>1126</v>
      </c>
      <c r="C27" s="53">
        <v>62</v>
      </c>
      <c r="D27" s="53" t="s">
        <v>242</v>
      </c>
      <c r="E27" s="53"/>
      <c r="F27" s="53" t="s">
        <v>2639</v>
      </c>
      <c r="G27" s="53" t="s">
        <v>2798</v>
      </c>
      <c r="H27" s="53"/>
      <c r="I27" s="53"/>
      <c r="J27" s="53"/>
      <c r="K27" s="53"/>
    </row>
    <row r="28" spans="1:12" s="54" customFormat="1" ht="30">
      <c r="A28" s="53">
        <v>26</v>
      </c>
      <c r="B28" s="53" t="s">
        <v>1127</v>
      </c>
      <c r="C28" s="53">
        <v>5</v>
      </c>
      <c r="D28" s="53" t="s">
        <v>242</v>
      </c>
      <c r="E28" s="53"/>
      <c r="F28" s="53" t="s">
        <v>2640</v>
      </c>
      <c r="G28" s="53" t="s">
        <v>2799</v>
      </c>
      <c r="H28" s="53"/>
      <c r="I28" s="53"/>
      <c r="J28" s="53"/>
      <c r="K28" s="53"/>
    </row>
    <row r="29" spans="1:12" s="54" customFormat="1" ht="45">
      <c r="A29" s="53">
        <v>27</v>
      </c>
      <c r="B29" s="53" t="s">
        <v>1128</v>
      </c>
      <c r="C29" s="53">
        <v>1</v>
      </c>
      <c r="D29" s="53" t="s">
        <v>242</v>
      </c>
      <c r="E29" s="53"/>
      <c r="F29" s="53" t="s">
        <v>2641</v>
      </c>
      <c r="G29" s="53" t="s">
        <v>5375</v>
      </c>
      <c r="H29" s="53"/>
      <c r="I29" s="53"/>
      <c r="J29" s="53"/>
      <c r="K29" s="53"/>
    </row>
    <row r="30" spans="1:12" s="54" customFormat="1" ht="30">
      <c r="A30" s="53">
        <v>28</v>
      </c>
      <c r="B30" s="53" t="s">
        <v>1129</v>
      </c>
      <c r="C30" s="53">
        <v>12</v>
      </c>
      <c r="D30" s="53" t="s">
        <v>242</v>
      </c>
      <c r="E30" s="53"/>
      <c r="F30" s="53" t="s">
        <v>2642</v>
      </c>
      <c r="G30" s="53" t="s">
        <v>2801</v>
      </c>
      <c r="H30" s="53"/>
      <c r="I30" s="53"/>
      <c r="J30" s="53"/>
      <c r="K30" s="53"/>
    </row>
    <row r="31" spans="1:12" s="54" customFormat="1" ht="30">
      <c r="A31" s="59">
        <v>29</v>
      </c>
      <c r="B31" s="59" t="s">
        <v>1130</v>
      </c>
      <c r="C31" s="59">
        <v>12</v>
      </c>
      <c r="D31" s="59" t="s">
        <v>242</v>
      </c>
      <c r="E31" s="59"/>
      <c r="F31" s="59" t="s">
        <v>2643</v>
      </c>
      <c r="G31" s="59" t="s">
        <v>2802</v>
      </c>
      <c r="H31" s="59"/>
      <c r="I31" s="59" t="s">
        <v>1291</v>
      </c>
      <c r="J31" s="59"/>
      <c r="K31" s="59" t="s">
        <v>1291</v>
      </c>
      <c r="L31" s="31"/>
    </row>
    <row r="32" spans="1:12" s="54" customFormat="1" ht="30">
      <c r="A32" s="59">
        <v>30</v>
      </c>
      <c r="B32" s="59" t="s">
        <v>1131</v>
      </c>
      <c r="C32" s="59">
        <v>12</v>
      </c>
      <c r="D32" s="59" t="s">
        <v>242</v>
      </c>
      <c r="E32" s="59"/>
      <c r="F32" s="59" t="s">
        <v>2644</v>
      </c>
      <c r="G32" s="59" t="s">
        <v>2803</v>
      </c>
      <c r="H32" s="59"/>
      <c r="I32" s="59"/>
      <c r="J32" s="59"/>
      <c r="K32" s="59"/>
      <c r="L32" s="31"/>
    </row>
    <row r="33" spans="1:12" s="54" customFormat="1" ht="30">
      <c r="A33" s="59">
        <v>31</v>
      </c>
      <c r="B33" s="59" t="s">
        <v>1132</v>
      </c>
      <c r="C33" s="59">
        <v>3</v>
      </c>
      <c r="D33" s="59" t="s">
        <v>242</v>
      </c>
      <c r="E33" s="59"/>
      <c r="F33" s="59" t="s">
        <v>2645</v>
      </c>
      <c r="G33" s="59" t="s">
        <v>2804</v>
      </c>
      <c r="H33" s="59"/>
      <c r="I33" s="59"/>
      <c r="J33" s="59"/>
      <c r="K33" s="59"/>
      <c r="L33" s="31"/>
    </row>
    <row r="34" spans="1:12" s="54" customFormat="1" ht="30">
      <c r="A34" s="59">
        <v>32</v>
      </c>
      <c r="B34" s="59" t="s">
        <v>1133</v>
      </c>
      <c r="C34" s="59">
        <v>14</v>
      </c>
      <c r="D34" s="59" t="s">
        <v>189</v>
      </c>
      <c r="E34" s="59">
        <v>6</v>
      </c>
      <c r="F34" s="59" t="s">
        <v>2646</v>
      </c>
      <c r="G34" s="59" t="s">
        <v>2805</v>
      </c>
      <c r="H34" s="59"/>
      <c r="I34" s="59"/>
      <c r="J34" s="59"/>
      <c r="K34" s="59"/>
      <c r="L34" s="31" t="s">
        <v>7010</v>
      </c>
    </row>
    <row r="35" spans="1:12" s="54" customFormat="1" ht="30">
      <c r="A35" s="59">
        <v>33</v>
      </c>
      <c r="B35" s="59" t="s">
        <v>6735</v>
      </c>
      <c r="C35" s="59">
        <v>14</v>
      </c>
      <c r="D35" s="59" t="s">
        <v>189</v>
      </c>
      <c r="E35" s="59">
        <v>6</v>
      </c>
      <c r="F35" s="59" t="s">
        <v>2646</v>
      </c>
      <c r="G35" s="59" t="s">
        <v>6736</v>
      </c>
      <c r="H35" s="59"/>
      <c r="I35" s="59"/>
      <c r="J35" s="59"/>
      <c r="K35" s="59"/>
      <c r="L35" s="31" t="s">
        <v>6737</v>
      </c>
    </row>
    <row r="36" spans="1:12" s="54" customFormat="1" ht="30">
      <c r="A36" s="59">
        <v>34</v>
      </c>
      <c r="B36" s="59" t="s">
        <v>6738</v>
      </c>
      <c r="C36" s="59">
        <v>30</v>
      </c>
      <c r="D36" s="59" t="s">
        <v>242</v>
      </c>
      <c r="E36" s="59"/>
      <c r="F36" s="59" t="s">
        <v>6739</v>
      </c>
      <c r="G36" s="59" t="s">
        <v>6740</v>
      </c>
      <c r="H36" s="59"/>
      <c r="I36" s="59"/>
      <c r="J36" s="59"/>
      <c r="K36" s="59"/>
      <c r="L36" s="31" t="s">
        <v>6741</v>
      </c>
    </row>
    <row r="37" spans="1:12" s="54" customFormat="1" ht="30">
      <c r="A37" s="59">
        <v>35</v>
      </c>
      <c r="B37" s="59" t="s">
        <v>1134</v>
      </c>
      <c r="C37" s="59">
        <v>10</v>
      </c>
      <c r="D37" s="59" t="s">
        <v>242</v>
      </c>
      <c r="E37" s="59"/>
      <c r="F37" s="59" t="s">
        <v>2647</v>
      </c>
      <c r="G37" s="59" t="s">
        <v>2806</v>
      </c>
      <c r="H37" s="59"/>
      <c r="I37" s="59"/>
      <c r="J37" s="59"/>
      <c r="K37" s="59"/>
      <c r="L37" s="31"/>
    </row>
    <row r="38" spans="1:12" s="54" customFormat="1" ht="30">
      <c r="A38" s="59">
        <v>36</v>
      </c>
      <c r="B38" s="59" t="s">
        <v>1135</v>
      </c>
      <c r="C38" s="59">
        <v>30</v>
      </c>
      <c r="D38" s="59" t="s">
        <v>242</v>
      </c>
      <c r="E38" s="59"/>
      <c r="F38" s="59" t="s">
        <v>2648</v>
      </c>
      <c r="G38" s="59" t="s">
        <v>2807</v>
      </c>
      <c r="H38" s="59"/>
      <c r="I38" s="59"/>
      <c r="J38" s="59"/>
      <c r="K38" s="59"/>
      <c r="L38" s="31"/>
    </row>
    <row r="39" spans="1:12" s="54" customFormat="1" ht="30">
      <c r="A39" s="59">
        <v>37</v>
      </c>
      <c r="B39" s="59" t="s">
        <v>1136</v>
      </c>
      <c r="C39" s="59">
        <v>35</v>
      </c>
      <c r="D39" s="59" t="s">
        <v>242</v>
      </c>
      <c r="E39" s="59"/>
      <c r="F39" s="59" t="s">
        <v>2649</v>
      </c>
      <c r="G39" s="59" t="s">
        <v>2808</v>
      </c>
      <c r="H39" s="59"/>
      <c r="I39" s="59"/>
      <c r="J39" s="59"/>
      <c r="K39" s="59"/>
      <c r="L39" s="31"/>
    </row>
    <row r="40" spans="1:12" s="54" customFormat="1">
      <c r="A40" s="53">
        <v>38</v>
      </c>
      <c r="B40" s="53" t="s">
        <v>1137</v>
      </c>
      <c r="C40" s="53">
        <v>35</v>
      </c>
      <c r="D40" s="53" t="s">
        <v>242</v>
      </c>
      <c r="E40" s="53"/>
      <c r="F40" s="53" t="s">
        <v>2650</v>
      </c>
      <c r="G40" s="53" t="s">
        <v>2809</v>
      </c>
      <c r="H40" s="53"/>
      <c r="I40" s="53"/>
      <c r="J40" s="53"/>
      <c r="K40" s="53"/>
    </row>
    <row r="41" spans="1:12" s="54" customFormat="1" ht="30">
      <c r="A41" s="53">
        <v>39</v>
      </c>
      <c r="B41" s="53" t="s">
        <v>1138</v>
      </c>
      <c r="C41" s="53">
        <v>35</v>
      </c>
      <c r="D41" s="53" t="s">
        <v>242</v>
      </c>
      <c r="E41" s="53"/>
      <c r="F41" s="53" t="s">
        <v>2651</v>
      </c>
      <c r="G41" s="53" t="s">
        <v>2810</v>
      </c>
      <c r="H41" s="53"/>
      <c r="I41" s="53"/>
      <c r="J41" s="53"/>
      <c r="K41" s="53"/>
    </row>
    <row r="42" spans="1:12" s="54" customFormat="1" ht="30">
      <c r="A42" s="53">
        <v>40</v>
      </c>
      <c r="B42" s="53" t="s">
        <v>1139</v>
      </c>
      <c r="C42" s="53">
        <v>35</v>
      </c>
      <c r="D42" s="53" t="s">
        <v>242</v>
      </c>
      <c r="E42" s="53"/>
      <c r="F42" s="53" t="s">
        <v>2652</v>
      </c>
      <c r="G42" s="53" t="s">
        <v>2811</v>
      </c>
      <c r="H42" s="53"/>
      <c r="I42" s="53"/>
      <c r="J42" s="53"/>
      <c r="K42" s="53"/>
    </row>
    <row r="43" spans="1:12" s="54" customFormat="1" ht="30">
      <c r="A43" s="53">
        <v>41</v>
      </c>
      <c r="B43" s="53" t="s">
        <v>1140</v>
      </c>
      <c r="C43" s="53">
        <v>12</v>
      </c>
      <c r="D43" s="53" t="s">
        <v>242</v>
      </c>
      <c r="E43" s="53"/>
      <c r="F43" s="53" t="s">
        <v>2653</v>
      </c>
      <c r="G43" s="53" t="s">
        <v>2812</v>
      </c>
      <c r="H43" s="53"/>
      <c r="I43" s="53"/>
      <c r="J43" s="53"/>
      <c r="K43" s="53"/>
    </row>
    <row r="44" spans="1:12" s="54" customFormat="1" ht="30">
      <c r="A44" s="53">
        <v>42</v>
      </c>
      <c r="B44" s="53" t="s">
        <v>1141</v>
      </c>
      <c r="C44" s="53">
        <v>12</v>
      </c>
      <c r="D44" s="53" t="s">
        <v>242</v>
      </c>
      <c r="E44" s="53"/>
      <c r="F44" s="53" t="s">
        <v>2654</v>
      </c>
      <c r="G44" s="53" t="s">
        <v>2813</v>
      </c>
      <c r="H44" s="53"/>
      <c r="I44" s="53"/>
      <c r="J44" s="53"/>
      <c r="K44" s="53"/>
    </row>
    <row r="45" spans="1:12" s="54" customFormat="1" ht="30">
      <c r="A45" s="53">
        <v>43</v>
      </c>
      <c r="B45" s="53" t="s">
        <v>1142</v>
      </c>
      <c r="C45" s="53">
        <v>1</v>
      </c>
      <c r="D45" s="53" t="s">
        <v>242</v>
      </c>
      <c r="E45" s="53"/>
      <c r="F45" s="53" t="s">
        <v>2655</v>
      </c>
      <c r="G45" s="53" t="s">
        <v>5376</v>
      </c>
      <c r="H45" s="53"/>
      <c r="I45" s="53"/>
      <c r="J45" s="53"/>
      <c r="K45" s="53"/>
    </row>
    <row r="46" spans="1:12" s="54" customFormat="1" ht="30">
      <c r="A46" s="53">
        <v>44</v>
      </c>
      <c r="B46" s="53" t="s">
        <v>1143</v>
      </c>
      <c r="C46" s="53">
        <v>2</v>
      </c>
      <c r="D46" s="53" t="s">
        <v>242</v>
      </c>
      <c r="E46" s="53"/>
      <c r="F46" s="53" t="s">
        <v>2656</v>
      </c>
      <c r="G46" s="53" t="s">
        <v>2814</v>
      </c>
      <c r="H46" s="53"/>
      <c r="I46" s="53"/>
      <c r="J46" s="53"/>
      <c r="K46" s="53"/>
    </row>
    <row r="47" spans="1:12" s="54" customFormat="1" ht="30">
      <c r="A47" s="53">
        <v>45</v>
      </c>
      <c r="B47" s="53" t="s">
        <v>1144</v>
      </c>
      <c r="C47" s="53">
        <v>35</v>
      </c>
      <c r="D47" s="53" t="s">
        <v>242</v>
      </c>
      <c r="E47" s="53"/>
      <c r="F47" s="53" t="s">
        <v>2657</v>
      </c>
      <c r="G47" s="53" t="s">
        <v>2815</v>
      </c>
      <c r="H47" s="53"/>
      <c r="I47" s="53"/>
      <c r="J47" s="53"/>
      <c r="K47" s="53"/>
    </row>
    <row r="48" spans="1:12" s="54" customFormat="1" ht="30">
      <c r="A48" s="53">
        <v>46</v>
      </c>
      <c r="B48" s="53" t="s">
        <v>1145</v>
      </c>
      <c r="C48" s="53">
        <v>22</v>
      </c>
      <c r="D48" s="53" t="s">
        <v>242</v>
      </c>
      <c r="E48" s="53"/>
      <c r="F48" s="53" t="s">
        <v>2658</v>
      </c>
      <c r="G48" s="53" t="s">
        <v>2816</v>
      </c>
      <c r="H48" s="53"/>
      <c r="I48" s="53"/>
      <c r="J48" s="53"/>
      <c r="K48" s="53"/>
    </row>
    <row r="49" spans="1:12" s="54" customFormat="1" ht="30">
      <c r="A49" s="53">
        <v>47</v>
      </c>
      <c r="B49" s="53" t="s">
        <v>1146</v>
      </c>
      <c r="C49" s="53">
        <v>35</v>
      </c>
      <c r="D49" s="53" t="s">
        <v>242</v>
      </c>
      <c r="E49" s="53"/>
      <c r="F49" s="53" t="s">
        <v>2659</v>
      </c>
      <c r="G49" s="53" t="s">
        <v>2817</v>
      </c>
      <c r="H49" s="53"/>
      <c r="I49" s="53"/>
      <c r="J49" s="53"/>
      <c r="K49" s="53"/>
    </row>
    <row r="50" spans="1:12" s="54" customFormat="1" ht="30">
      <c r="A50" s="53">
        <v>48</v>
      </c>
      <c r="B50" s="53" t="s">
        <v>1147</v>
      </c>
      <c r="C50" s="53">
        <v>35</v>
      </c>
      <c r="D50" s="53" t="s">
        <v>242</v>
      </c>
      <c r="E50" s="53"/>
      <c r="F50" s="53" t="s">
        <v>2660</v>
      </c>
      <c r="G50" s="53" t="s">
        <v>2818</v>
      </c>
      <c r="H50" s="53"/>
      <c r="I50" s="53"/>
      <c r="J50" s="53"/>
      <c r="K50" s="53"/>
    </row>
    <row r="51" spans="1:12" s="54" customFormat="1" ht="30">
      <c r="A51" s="53">
        <v>49</v>
      </c>
      <c r="B51" s="53" t="s">
        <v>1148</v>
      </c>
      <c r="C51" s="53">
        <v>35</v>
      </c>
      <c r="D51" s="53" t="s">
        <v>242</v>
      </c>
      <c r="E51" s="53"/>
      <c r="F51" s="53" t="s">
        <v>2661</v>
      </c>
      <c r="G51" s="53" t="s">
        <v>2819</v>
      </c>
      <c r="H51" s="53"/>
      <c r="I51" s="53"/>
      <c r="J51" s="53"/>
      <c r="K51" s="53"/>
    </row>
    <row r="52" spans="1:12" s="54" customFormat="1" ht="30">
      <c r="A52" s="53">
        <v>50</v>
      </c>
      <c r="B52" s="53" t="s">
        <v>1149</v>
      </c>
      <c r="C52" s="53">
        <v>9</v>
      </c>
      <c r="D52" s="53" t="s">
        <v>242</v>
      </c>
      <c r="E52" s="53"/>
      <c r="F52" s="53" t="s">
        <v>2662</v>
      </c>
      <c r="G52" s="53" t="s">
        <v>2820</v>
      </c>
      <c r="H52" s="53"/>
      <c r="I52" s="53"/>
      <c r="J52" s="53"/>
      <c r="K52" s="53"/>
    </row>
    <row r="53" spans="1:12" s="54" customFormat="1" ht="30">
      <c r="A53" s="53">
        <v>51</v>
      </c>
      <c r="B53" s="53" t="s">
        <v>1150</v>
      </c>
      <c r="C53" s="53">
        <v>1</v>
      </c>
      <c r="D53" s="53" t="s">
        <v>242</v>
      </c>
      <c r="E53" s="53"/>
      <c r="F53" s="53" t="s">
        <v>2663</v>
      </c>
      <c r="G53" s="53" t="s">
        <v>2821</v>
      </c>
      <c r="H53" s="53"/>
      <c r="I53" s="53"/>
      <c r="J53" s="53"/>
      <c r="K53" s="53"/>
    </row>
    <row r="54" spans="1:12" s="54" customFormat="1" ht="30">
      <c r="A54" s="53">
        <v>52</v>
      </c>
      <c r="B54" s="53" t="s">
        <v>1151</v>
      </c>
      <c r="C54" s="53">
        <v>25</v>
      </c>
      <c r="D54" s="53" t="s">
        <v>242</v>
      </c>
      <c r="E54" s="53"/>
      <c r="F54" s="53" t="s">
        <v>2664</v>
      </c>
      <c r="G54" s="53" t="s">
        <v>2822</v>
      </c>
      <c r="H54" s="53"/>
      <c r="I54" s="53"/>
      <c r="J54" s="53"/>
      <c r="K54" s="53"/>
    </row>
    <row r="55" spans="1:12" s="54" customFormat="1" ht="30">
      <c r="A55" s="53">
        <v>53</v>
      </c>
      <c r="B55" s="53" t="s">
        <v>1152</v>
      </c>
      <c r="C55" s="53">
        <v>15</v>
      </c>
      <c r="D55" s="53" t="s">
        <v>242</v>
      </c>
      <c r="E55" s="53"/>
      <c r="F55" s="53" t="s">
        <v>2665</v>
      </c>
      <c r="G55" s="53" t="s">
        <v>2823</v>
      </c>
      <c r="H55" s="53"/>
      <c r="I55" s="53"/>
      <c r="J55" s="53"/>
      <c r="K55" s="53"/>
    </row>
    <row r="56" spans="1:12" s="54" customFormat="1" ht="30">
      <c r="A56" s="53">
        <v>54</v>
      </c>
      <c r="B56" s="53" t="s">
        <v>1153</v>
      </c>
      <c r="C56" s="53">
        <v>35</v>
      </c>
      <c r="D56" s="53" t="s">
        <v>242</v>
      </c>
      <c r="E56" s="53"/>
      <c r="F56" s="53" t="s">
        <v>2666</v>
      </c>
      <c r="G56" s="53" t="s">
        <v>2824</v>
      </c>
      <c r="H56" s="53"/>
      <c r="I56" s="53"/>
      <c r="J56" s="53"/>
      <c r="K56" s="53"/>
    </row>
    <row r="57" spans="1:12" s="54" customFormat="1" ht="30">
      <c r="A57" s="53">
        <v>55</v>
      </c>
      <c r="B57" s="53" t="s">
        <v>1154</v>
      </c>
      <c r="C57" s="53">
        <v>35</v>
      </c>
      <c r="D57" s="53" t="s">
        <v>242</v>
      </c>
      <c r="E57" s="53"/>
      <c r="F57" s="53" t="s">
        <v>2667</v>
      </c>
      <c r="G57" s="53" t="s">
        <v>2825</v>
      </c>
      <c r="H57" s="53"/>
      <c r="I57" s="53"/>
      <c r="J57" s="53"/>
      <c r="K57" s="53"/>
    </row>
    <row r="58" spans="1:12" s="54" customFormat="1" ht="30">
      <c r="A58" s="53">
        <v>56</v>
      </c>
      <c r="B58" s="53" t="s">
        <v>1155</v>
      </c>
      <c r="C58" s="53">
        <v>35</v>
      </c>
      <c r="D58" s="53" t="s">
        <v>242</v>
      </c>
      <c r="E58" s="53"/>
      <c r="F58" s="53" t="s">
        <v>2668</v>
      </c>
      <c r="G58" s="53" t="s">
        <v>2826</v>
      </c>
      <c r="H58" s="53"/>
      <c r="I58" s="53"/>
      <c r="J58" s="53"/>
      <c r="K58" s="53"/>
    </row>
    <row r="59" spans="1:12" s="54" customFormat="1" ht="30">
      <c r="A59" s="53">
        <v>57</v>
      </c>
      <c r="B59" s="53" t="s">
        <v>1156</v>
      </c>
      <c r="C59" s="53">
        <v>35</v>
      </c>
      <c r="D59" s="53" t="s">
        <v>242</v>
      </c>
      <c r="E59" s="53"/>
      <c r="F59" s="53" t="s">
        <v>2669</v>
      </c>
      <c r="G59" s="53" t="s">
        <v>2827</v>
      </c>
      <c r="H59" s="53"/>
      <c r="I59" s="53"/>
      <c r="J59" s="53"/>
      <c r="K59" s="53"/>
    </row>
    <row r="60" spans="1:12" s="54" customFormat="1">
      <c r="A60" s="53">
        <v>58</v>
      </c>
      <c r="B60" s="53" t="s">
        <v>1157</v>
      </c>
      <c r="C60" s="53">
        <v>35</v>
      </c>
      <c r="D60" s="53" t="s">
        <v>242</v>
      </c>
      <c r="E60" s="53"/>
      <c r="F60" s="53" t="s">
        <v>2670</v>
      </c>
      <c r="G60" s="53" t="s">
        <v>2828</v>
      </c>
      <c r="H60" s="53"/>
      <c r="I60" s="53"/>
      <c r="J60" s="53"/>
      <c r="K60" s="53"/>
    </row>
    <row r="61" spans="1:12" s="54" customFormat="1">
      <c r="A61" s="53">
        <v>59</v>
      </c>
      <c r="B61" s="53" t="s">
        <v>1158</v>
      </c>
      <c r="C61" s="53">
        <v>35</v>
      </c>
      <c r="D61" s="53" t="s">
        <v>242</v>
      </c>
      <c r="E61" s="53"/>
      <c r="F61" s="53" t="s">
        <v>2671</v>
      </c>
      <c r="G61" s="53" t="s">
        <v>2829</v>
      </c>
      <c r="H61" s="53"/>
      <c r="I61" s="53"/>
      <c r="J61" s="53"/>
      <c r="K61" s="53"/>
    </row>
    <row r="62" spans="1:12" s="54" customFormat="1" ht="30">
      <c r="A62" s="59">
        <v>60</v>
      </c>
      <c r="B62" s="59" t="s">
        <v>1159</v>
      </c>
      <c r="C62" s="59">
        <v>2</v>
      </c>
      <c r="D62" s="59" t="s">
        <v>242</v>
      </c>
      <c r="E62" s="59"/>
      <c r="F62" s="59" t="s">
        <v>2672</v>
      </c>
      <c r="G62" s="59" t="s">
        <v>2830</v>
      </c>
      <c r="H62" s="59"/>
      <c r="I62" s="59"/>
      <c r="J62" s="59"/>
      <c r="K62" s="59"/>
      <c r="L62" s="31"/>
    </row>
    <row r="63" spans="1:12" s="54" customFormat="1">
      <c r="A63" s="59">
        <v>61</v>
      </c>
      <c r="B63" s="59" t="s">
        <v>6742</v>
      </c>
      <c r="C63" s="59">
        <v>11</v>
      </c>
      <c r="D63" s="59" t="s">
        <v>242</v>
      </c>
      <c r="E63" s="59"/>
      <c r="F63" s="59" t="s">
        <v>6743</v>
      </c>
      <c r="G63" s="59" t="s">
        <v>6744</v>
      </c>
      <c r="H63" s="59"/>
      <c r="I63" s="59"/>
      <c r="J63" s="59"/>
      <c r="K63" s="59"/>
      <c r="L63" s="31" t="s">
        <v>6741</v>
      </c>
    </row>
    <row r="64" spans="1:12" s="54" customFormat="1" ht="30">
      <c r="A64" s="59">
        <v>62</v>
      </c>
      <c r="B64" s="59" t="s">
        <v>1182</v>
      </c>
      <c r="C64" s="59">
        <v>12</v>
      </c>
      <c r="D64" s="59" t="s">
        <v>189</v>
      </c>
      <c r="E64" s="59" t="s">
        <v>5576</v>
      </c>
      <c r="F64" s="59" t="s">
        <v>1688</v>
      </c>
      <c r="G64" s="59" t="s">
        <v>1689</v>
      </c>
      <c r="H64" s="59"/>
      <c r="I64" s="59"/>
      <c r="J64" s="59"/>
      <c r="K64" s="59"/>
      <c r="L64" s="31"/>
    </row>
    <row r="65" spans="1:12" s="54" customFormat="1" ht="30">
      <c r="A65" s="59">
        <v>63</v>
      </c>
      <c r="B65" s="59" t="s">
        <v>1183</v>
      </c>
      <c r="C65" s="59">
        <v>30</v>
      </c>
      <c r="D65" s="59" t="s">
        <v>242</v>
      </c>
      <c r="E65" s="59" t="s">
        <v>5576</v>
      </c>
      <c r="F65" s="59" t="s">
        <v>1690</v>
      </c>
      <c r="G65" s="59" t="s">
        <v>1691</v>
      </c>
      <c r="H65" s="59"/>
      <c r="I65" s="59"/>
      <c r="J65" s="59"/>
      <c r="K65" s="59"/>
      <c r="L65" s="31"/>
    </row>
    <row r="66" spans="1:12" s="54" customFormat="1">
      <c r="A66" s="31"/>
      <c r="B66" s="31"/>
      <c r="C66" s="31"/>
      <c r="D66" s="31"/>
      <c r="E66" s="31"/>
      <c r="F66" s="31"/>
      <c r="G66" s="31"/>
      <c r="H66" s="31"/>
      <c r="I66" s="31"/>
      <c r="J66" s="31"/>
      <c r="K66" s="31"/>
      <c r="L66" s="31"/>
    </row>
    <row r="67" spans="1:12" s="54" customFormat="1">
      <c r="A67" s="31"/>
      <c r="B67" s="31"/>
      <c r="C67" s="31"/>
      <c r="D67" s="31"/>
      <c r="E67" s="31"/>
      <c r="F67" s="31"/>
      <c r="G67" s="31"/>
      <c r="H67" s="31"/>
      <c r="I67" s="31"/>
      <c r="J67" s="31"/>
      <c r="K67" s="31"/>
      <c r="L67" s="31"/>
    </row>
    <row r="68" spans="1:12" s="54" customFormat="1">
      <c r="A68" s="31"/>
      <c r="B68" s="59" t="s">
        <v>1108</v>
      </c>
      <c r="C68" s="59">
        <v>1</v>
      </c>
      <c r="D68" s="59" t="s">
        <v>242</v>
      </c>
      <c r="E68" s="59"/>
      <c r="F68" s="59" t="s">
        <v>4645</v>
      </c>
      <c r="G68" s="59"/>
      <c r="H68" s="31"/>
      <c r="I68" s="31"/>
      <c r="J68" s="31"/>
      <c r="K68" s="31"/>
      <c r="L68" s="31" t="s">
        <v>6745</v>
      </c>
    </row>
    <row r="69" spans="1:12" s="54" customFormat="1">
      <c r="A69" s="31"/>
      <c r="B69" s="31"/>
      <c r="C69" s="31"/>
      <c r="D69" s="31"/>
      <c r="E69" s="31"/>
      <c r="F69" s="31"/>
      <c r="G69" s="31"/>
      <c r="H69" s="31"/>
      <c r="I69" s="31"/>
      <c r="J69" s="31"/>
      <c r="K69" s="31"/>
      <c r="L69" s="31"/>
    </row>
    <row r="70" spans="1:12" s="54" customFormat="1"/>
    <row r="71" spans="1:12" s="54" customFormat="1"/>
    <row r="72" spans="1:12" s="54" customFormat="1"/>
    <row r="73" spans="1:12" s="54" customFormat="1"/>
    <row r="74" spans="1:12" s="54" customFormat="1"/>
    <row r="75" spans="1:12" s="54" customFormat="1"/>
    <row r="76" spans="1:12" s="54" customFormat="1"/>
    <row r="77" spans="1:12" s="54" customFormat="1"/>
    <row r="78" spans="1:12" s="54" customFormat="1"/>
    <row r="79" spans="1:12" s="54" customFormat="1"/>
    <row r="80" spans="1:12" s="54" customFormat="1"/>
    <row r="81" s="54" customFormat="1"/>
    <row r="82" s="54" customFormat="1"/>
    <row r="83" s="54" customFormat="1"/>
    <row r="84" s="54" customFormat="1"/>
    <row r="85" s="54" customFormat="1"/>
    <row r="86" s="54" customFormat="1"/>
    <row r="87" s="54" customFormat="1"/>
    <row r="88" s="54" customFormat="1"/>
    <row r="89" s="54" customFormat="1"/>
    <row r="90" s="54" customFormat="1"/>
    <row r="91" s="54" customFormat="1"/>
    <row r="92" s="54" customFormat="1"/>
    <row r="93" s="54" customFormat="1"/>
    <row r="94" s="54" customFormat="1"/>
    <row r="95" s="54" customFormat="1"/>
    <row r="96" s="54" customFormat="1"/>
    <row r="97" s="54" customFormat="1"/>
    <row r="98" s="54" customFormat="1"/>
    <row r="99" s="54" customFormat="1"/>
    <row r="100" s="54" customFormat="1"/>
    <row r="101" s="54" customFormat="1"/>
    <row r="102" s="54" customFormat="1"/>
    <row r="103" s="54" customFormat="1"/>
    <row r="104" s="54" customFormat="1"/>
    <row r="105" s="54" customFormat="1"/>
    <row r="106" s="54" customFormat="1"/>
    <row r="107" s="54" customFormat="1"/>
    <row r="108" s="54" customFormat="1"/>
    <row r="109" s="54" customFormat="1"/>
    <row r="110" s="54" customFormat="1"/>
    <row r="111" s="54" customFormat="1"/>
    <row r="112" s="54" customFormat="1"/>
    <row r="113" s="54" customFormat="1"/>
    <row r="114" s="54" customFormat="1"/>
    <row r="115" s="54" customFormat="1"/>
    <row r="116" s="54" customFormat="1"/>
    <row r="117" s="54" customFormat="1"/>
    <row r="118" s="54" customFormat="1"/>
    <row r="119" s="54" customFormat="1"/>
    <row r="120" s="54" customFormat="1"/>
    <row r="121" s="54" customFormat="1"/>
    <row r="122" s="54" customFormat="1"/>
    <row r="123" s="54" customFormat="1"/>
    <row r="124" s="54" customFormat="1"/>
    <row r="125" s="54" customFormat="1"/>
    <row r="126" s="54" customFormat="1"/>
    <row r="127" s="54" customFormat="1"/>
    <row r="128" s="54" customFormat="1"/>
    <row r="129" s="54" customFormat="1"/>
    <row r="130" s="54" customFormat="1"/>
    <row r="131" s="54" customFormat="1"/>
    <row r="132" s="54" customFormat="1"/>
    <row r="133" s="54" customFormat="1"/>
    <row r="134" s="54" customFormat="1"/>
    <row r="135" s="54" customFormat="1"/>
    <row r="136" s="54" customFormat="1"/>
    <row r="137" s="54" customFormat="1"/>
    <row r="138" s="54" customFormat="1"/>
    <row r="139" s="54" customFormat="1"/>
    <row r="140" s="54" customFormat="1"/>
    <row r="141" s="54" customFormat="1"/>
    <row r="142" s="54" customFormat="1"/>
    <row r="143" s="54" customFormat="1"/>
    <row r="144" s="54" customFormat="1"/>
    <row r="145" s="54" customFormat="1"/>
    <row r="146" s="54" customFormat="1"/>
    <row r="147" s="54" customFormat="1"/>
    <row r="148" s="54" customFormat="1"/>
    <row r="149" s="54" customFormat="1"/>
    <row r="150" s="54" customFormat="1"/>
    <row r="151" s="54" customFormat="1"/>
    <row r="152" s="54" customFormat="1"/>
    <row r="153" s="54" customFormat="1"/>
    <row r="154" s="54" customFormat="1"/>
    <row r="155" s="54" customFormat="1"/>
    <row r="156" s="54" customFormat="1"/>
    <row r="157" s="54" customFormat="1"/>
    <row r="158" s="54" customFormat="1"/>
    <row r="159" s="54" customFormat="1"/>
    <row r="160" s="54" customFormat="1"/>
    <row r="161" s="54" customFormat="1"/>
    <row r="162" s="54" customFormat="1"/>
    <row r="163" s="54" customFormat="1"/>
    <row r="164" s="54" customFormat="1"/>
    <row r="165" s="54" customFormat="1"/>
    <row r="166" s="54" customFormat="1"/>
    <row r="167" s="54" customFormat="1"/>
    <row r="168" s="54" customFormat="1"/>
    <row r="169" s="54" customFormat="1"/>
    <row r="170" s="54" customFormat="1"/>
    <row r="171" s="54" customFormat="1"/>
    <row r="172" s="54" customFormat="1"/>
    <row r="173" s="54" customFormat="1"/>
    <row r="174" s="54" customFormat="1"/>
    <row r="175" s="54" customFormat="1"/>
    <row r="176" s="54" customFormat="1"/>
    <row r="177" s="54" customFormat="1"/>
    <row r="178" s="54" customFormat="1"/>
    <row r="179" s="54" customFormat="1"/>
    <row r="180" s="54" customFormat="1"/>
    <row r="181" s="54" customFormat="1"/>
    <row r="182" s="54" customFormat="1"/>
    <row r="183" s="54" customFormat="1"/>
    <row r="184" s="54" customFormat="1"/>
    <row r="185" s="54" customFormat="1"/>
    <row r="186" s="54" customFormat="1"/>
    <row r="187" s="54" customFormat="1"/>
    <row r="188" s="54" customFormat="1"/>
    <row r="189" s="54" customFormat="1"/>
    <row r="190" s="54" customFormat="1"/>
    <row r="191" s="54" customFormat="1"/>
    <row r="192" s="54" customFormat="1"/>
    <row r="193" s="54" customFormat="1"/>
    <row r="194" s="54" customFormat="1"/>
    <row r="195" s="54" customFormat="1"/>
    <row r="196" s="54" customFormat="1"/>
    <row r="197" s="54" customFormat="1"/>
    <row r="198" s="54" customFormat="1"/>
    <row r="199" s="54" customFormat="1"/>
    <row r="200" s="54" customFormat="1"/>
    <row r="201" s="54" customFormat="1"/>
    <row r="202" s="54" customFormat="1"/>
    <row r="203" s="54" customFormat="1"/>
    <row r="204" s="54" customFormat="1"/>
    <row r="205" s="54" customFormat="1"/>
    <row r="206" s="54" customFormat="1"/>
    <row r="207" s="54" customFormat="1"/>
    <row r="208" s="54" customFormat="1"/>
    <row r="209" s="54" customFormat="1"/>
    <row r="210" s="54" customFormat="1"/>
    <row r="211" s="54" customFormat="1"/>
    <row r="212" s="54" customFormat="1"/>
    <row r="213" s="54" customFormat="1"/>
    <row r="214" s="54" customFormat="1"/>
    <row r="215" s="54" customFormat="1"/>
    <row r="216" s="54" customFormat="1"/>
    <row r="217" s="54" customFormat="1"/>
    <row r="218" s="54" customFormat="1"/>
    <row r="219" s="54" customFormat="1"/>
    <row r="220" s="54" customFormat="1"/>
    <row r="221" s="54" customFormat="1"/>
    <row r="222" s="54" customFormat="1"/>
    <row r="223" s="54" customFormat="1"/>
    <row r="224" s="54" customFormat="1"/>
    <row r="225" s="54" customFormat="1"/>
    <row r="226" s="54" customFormat="1"/>
    <row r="227" s="54" customFormat="1"/>
    <row r="228" s="54" customFormat="1"/>
    <row r="229" s="54" customFormat="1"/>
    <row r="230" s="54" customFormat="1"/>
    <row r="231" s="54" customFormat="1"/>
    <row r="232" s="54" customFormat="1"/>
    <row r="233" s="54" customFormat="1"/>
    <row r="234" s="54" customFormat="1"/>
    <row r="235" s="54" customFormat="1"/>
    <row r="236" s="54" customFormat="1"/>
    <row r="237" s="54" customFormat="1"/>
    <row r="238" s="54" customFormat="1"/>
    <row r="239" s="54" customFormat="1"/>
    <row r="240" s="54" customFormat="1"/>
    <row r="241" s="54" customFormat="1"/>
    <row r="242" s="54" customFormat="1"/>
    <row r="243" s="54" customFormat="1"/>
    <row r="244" s="54" customFormat="1"/>
    <row r="245" s="54" customFormat="1"/>
    <row r="246" s="54" customFormat="1"/>
    <row r="247" s="54" customFormat="1"/>
    <row r="248" s="54" customFormat="1"/>
    <row r="249" s="54" customFormat="1"/>
    <row r="250" s="54" customFormat="1"/>
    <row r="251" s="54" customFormat="1"/>
    <row r="252" s="54" customForma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4553C-F849-474C-BF03-404E06633736}">
  <sheetPr codeName="Sheet46"/>
  <dimension ref="A1:XFC251"/>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5.140625" style="2" bestFit="1" customWidth="1"/>
    <col min="9" max="9" width="7.28515625" style="2" customWidth="1"/>
    <col min="10" max="16382" width="32.140625" style="2"/>
    <col min="16383" max="16383" width="1.7109375" style="2" customWidth="1"/>
    <col min="16384" max="16384" width="17.7109375" style="1" customWidth="1"/>
  </cols>
  <sheetData>
    <row r="1" spans="1:9" s="1" customFormat="1">
      <c r="A1" s="3" t="s">
        <v>238</v>
      </c>
      <c r="B1" s="3"/>
      <c r="C1" s="3"/>
      <c r="D1" s="3"/>
      <c r="E1" s="3"/>
      <c r="F1" s="3"/>
      <c r="G1" s="3"/>
      <c r="H1" s="3"/>
      <c r="I1" s="3"/>
    </row>
    <row r="2" spans="1:9" s="1" customFormat="1">
      <c r="A2" s="10" t="s">
        <v>350</v>
      </c>
      <c r="B2" s="10" t="s">
        <v>156</v>
      </c>
      <c r="C2" s="10" t="s">
        <v>157</v>
      </c>
      <c r="D2" s="10" t="s">
        <v>239</v>
      </c>
      <c r="E2" s="10" t="s">
        <v>159</v>
      </c>
      <c r="F2" s="10" t="s">
        <v>1684</v>
      </c>
      <c r="G2" s="10" t="s">
        <v>1685</v>
      </c>
      <c r="H2" s="10" t="s">
        <v>5371</v>
      </c>
      <c r="I2" s="10" t="s">
        <v>5372</v>
      </c>
    </row>
    <row r="3" spans="1:9" s="1" customFormat="1">
      <c r="A3" s="11">
        <v>1</v>
      </c>
      <c r="B3" s="11" t="s">
        <v>240</v>
      </c>
      <c r="C3" s="11">
        <v>8</v>
      </c>
      <c r="D3" s="11" t="s">
        <v>160</v>
      </c>
      <c r="E3" s="11" t="s">
        <v>177</v>
      </c>
      <c r="F3" s="11" t="s">
        <v>1686</v>
      </c>
      <c r="G3" s="11" t="s">
        <v>1687</v>
      </c>
      <c r="H3" s="11" t="s">
        <v>5382</v>
      </c>
      <c r="I3" s="11" t="s">
        <v>5386</v>
      </c>
    </row>
    <row r="4" spans="1:9" s="1" customFormat="1">
      <c r="A4" s="11">
        <v>2</v>
      </c>
      <c r="B4" s="11" t="s">
        <v>78</v>
      </c>
      <c r="C4" s="11">
        <v>4</v>
      </c>
      <c r="D4" s="11" t="s">
        <v>242</v>
      </c>
      <c r="E4" s="11"/>
      <c r="F4" s="11" t="s">
        <v>1720</v>
      </c>
      <c r="G4" s="11" t="s">
        <v>5568</v>
      </c>
      <c r="H4" s="11"/>
      <c r="I4" s="11"/>
    </row>
    <row r="5" spans="1:9" s="1" customFormat="1" ht="30">
      <c r="A5" s="11">
        <v>3</v>
      </c>
      <c r="B5" s="11" t="s">
        <v>623</v>
      </c>
      <c r="C5" s="11">
        <v>3</v>
      </c>
      <c r="D5" s="11" t="s">
        <v>242</v>
      </c>
      <c r="E5" s="11"/>
      <c r="F5" s="11" t="s">
        <v>1980</v>
      </c>
      <c r="G5" s="11" t="s">
        <v>2831</v>
      </c>
      <c r="H5" s="11" t="s">
        <v>5384</v>
      </c>
      <c r="I5" s="11"/>
    </row>
    <row r="6" spans="1:9" s="1" customFormat="1">
      <c r="A6" s="11">
        <v>4</v>
      </c>
      <c r="B6" s="11" t="s">
        <v>697</v>
      </c>
      <c r="C6" s="11">
        <v>8</v>
      </c>
      <c r="D6" s="11" t="s">
        <v>242</v>
      </c>
      <c r="E6" s="11"/>
      <c r="F6" s="11" t="s">
        <v>5567</v>
      </c>
      <c r="G6" s="11" t="s">
        <v>5566</v>
      </c>
      <c r="H6" s="11" t="s">
        <v>5385</v>
      </c>
      <c r="I6" s="11" t="s">
        <v>5387</v>
      </c>
    </row>
    <row r="7" spans="1:9" s="1" customFormat="1">
      <c r="A7" s="11">
        <v>5</v>
      </c>
      <c r="B7" s="11" t="s">
        <v>698</v>
      </c>
      <c r="C7" s="11">
        <v>8</v>
      </c>
      <c r="D7" s="11" t="s">
        <v>160</v>
      </c>
      <c r="E7" s="11" t="s">
        <v>177</v>
      </c>
      <c r="F7" s="11" t="s">
        <v>2612</v>
      </c>
      <c r="G7" s="11" t="s">
        <v>2832</v>
      </c>
      <c r="H7" s="11" t="s">
        <v>5402</v>
      </c>
      <c r="I7" s="11"/>
    </row>
    <row r="8" spans="1:9" s="1" customFormat="1" ht="150">
      <c r="A8" s="11">
        <v>6</v>
      </c>
      <c r="B8" s="11" t="s">
        <v>199</v>
      </c>
      <c r="C8" s="11">
        <v>1</v>
      </c>
      <c r="D8" s="11" t="s">
        <v>242</v>
      </c>
      <c r="E8" s="11"/>
      <c r="F8" s="11" t="s">
        <v>2613</v>
      </c>
      <c r="G8" s="11" t="s">
        <v>2833</v>
      </c>
      <c r="H8" s="11" t="s">
        <v>1291</v>
      </c>
      <c r="I8" s="11"/>
    </row>
    <row r="9" spans="1:9" s="1" customFormat="1" ht="30">
      <c r="A9" s="11">
        <v>7</v>
      </c>
      <c r="B9" s="11" t="s">
        <v>603</v>
      </c>
      <c r="C9" s="11">
        <v>2</v>
      </c>
      <c r="D9" s="11" t="s">
        <v>242</v>
      </c>
      <c r="E9" s="11"/>
      <c r="F9" s="11" t="s">
        <v>2614</v>
      </c>
      <c r="G9" s="11" t="s">
        <v>2834</v>
      </c>
      <c r="H9" s="11"/>
      <c r="I9" s="11"/>
    </row>
    <row r="10" spans="1:9" s="1" customFormat="1" ht="30">
      <c r="A10" s="11">
        <v>8</v>
      </c>
      <c r="B10" s="11" t="s">
        <v>699</v>
      </c>
      <c r="C10" s="11">
        <v>8</v>
      </c>
      <c r="D10" s="11" t="s">
        <v>160</v>
      </c>
      <c r="E10" s="11" t="s">
        <v>177</v>
      </c>
      <c r="F10" s="11" t="s">
        <v>2615</v>
      </c>
      <c r="G10" s="11" t="s">
        <v>2835</v>
      </c>
      <c r="H10" s="11"/>
      <c r="I10" s="11"/>
    </row>
    <row r="11" spans="1:9" s="1" customFormat="1" ht="30">
      <c r="A11" s="11">
        <v>9</v>
      </c>
      <c r="B11" s="11" t="s">
        <v>700</v>
      </c>
      <c r="C11" s="11">
        <v>8</v>
      </c>
      <c r="D11" s="11" t="s">
        <v>160</v>
      </c>
      <c r="E11" s="11" t="s">
        <v>177</v>
      </c>
      <c r="F11" s="11" t="s">
        <v>2616</v>
      </c>
      <c r="G11" s="11" t="s">
        <v>5599</v>
      </c>
      <c r="H11" s="11"/>
      <c r="I11" s="11"/>
    </row>
    <row r="12" spans="1:9" s="1" customFormat="1" ht="30">
      <c r="A12" s="11">
        <v>10</v>
      </c>
      <c r="B12" s="11" t="s">
        <v>275</v>
      </c>
      <c r="C12" s="11">
        <v>8</v>
      </c>
      <c r="D12" s="11" t="s">
        <v>160</v>
      </c>
      <c r="E12" s="11" t="s">
        <v>177</v>
      </c>
      <c r="F12" s="11" t="s">
        <v>2617</v>
      </c>
      <c r="G12" s="11" t="s">
        <v>2836</v>
      </c>
      <c r="H12" s="11"/>
      <c r="I12" s="11"/>
    </row>
    <row r="13" spans="1:9" s="1" customFormat="1" ht="30">
      <c r="A13" s="11">
        <v>11</v>
      </c>
      <c r="B13" s="11" t="s">
        <v>701</v>
      </c>
      <c r="C13" s="11">
        <v>8</v>
      </c>
      <c r="D13" s="11" t="s">
        <v>160</v>
      </c>
      <c r="E13" s="11" t="s">
        <v>177</v>
      </c>
      <c r="F13" s="11" t="s">
        <v>2618</v>
      </c>
      <c r="G13" s="11" t="s">
        <v>2837</v>
      </c>
      <c r="H13" s="11"/>
      <c r="I13" s="11"/>
    </row>
    <row r="14" spans="1:9" s="1" customFormat="1" ht="30">
      <c r="A14" s="11">
        <v>12</v>
      </c>
      <c r="B14" s="11" t="s">
        <v>702</v>
      </c>
      <c r="C14" s="11">
        <v>16</v>
      </c>
      <c r="D14" s="11" t="s">
        <v>189</v>
      </c>
      <c r="E14" s="11" t="s">
        <v>1266</v>
      </c>
      <c r="F14" s="11" t="s">
        <v>2619</v>
      </c>
      <c r="G14" s="11" t="s">
        <v>2838</v>
      </c>
      <c r="H14" s="11"/>
      <c r="I14" s="11"/>
    </row>
    <row r="15" spans="1:9" s="1" customFormat="1" ht="30">
      <c r="A15" s="11">
        <v>13</v>
      </c>
      <c r="B15" s="11" t="s">
        <v>703</v>
      </c>
      <c r="C15" s="11">
        <v>9</v>
      </c>
      <c r="D15" s="11" t="s">
        <v>189</v>
      </c>
      <c r="E15" s="11" t="s">
        <v>2623</v>
      </c>
      <c r="F15" s="11" t="s">
        <v>2620</v>
      </c>
      <c r="G15" s="11" t="s">
        <v>2839</v>
      </c>
      <c r="H15" s="11"/>
      <c r="I15" s="11"/>
    </row>
    <row r="16" spans="1:9" s="1" customFormat="1" ht="30">
      <c r="A16" s="11">
        <v>14</v>
      </c>
      <c r="B16" s="11" t="s">
        <v>704</v>
      </c>
      <c r="C16" s="11">
        <v>16</v>
      </c>
      <c r="D16" s="11" t="s">
        <v>189</v>
      </c>
      <c r="E16" s="11" t="s">
        <v>1266</v>
      </c>
      <c r="F16" s="11" t="s">
        <v>2621</v>
      </c>
      <c r="G16" s="11" t="s">
        <v>2840</v>
      </c>
      <c r="H16" s="11"/>
      <c r="I16" s="11"/>
    </row>
    <row r="17" spans="1:9" s="1" customFormat="1" ht="60">
      <c r="A17" s="11">
        <v>15</v>
      </c>
      <c r="B17" s="11" t="s">
        <v>705</v>
      </c>
      <c r="C17" s="11">
        <v>1</v>
      </c>
      <c r="D17" s="11" t="s">
        <v>242</v>
      </c>
      <c r="E17" s="11"/>
      <c r="F17" s="11" t="s">
        <v>2622</v>
      </c>
      <c r="G17" s="11" t="s">
        <v>2841</v>
      </c>
      <c r="H17" s="11"/>
      <c r="I17" s="11"/>
    </row>
    <row r="18" spans="1:9" s="1" customFormat="1" ht="75">
      <c r="A18" s="11">
        <v>16</v>
      </c>
      <c r="B18" s="11" t="s">
        <v>191</v>
      </c>
      <c r="C18" s="11">
        <v>16</v>
      </c>
      <c r="D18" s="11" t="s">
        <v>189</v>
      </c>
      <c r="E18" s="11" t="s">
        <v>1266</v>
      </c>
      <c r="F18" s="11" t="s">
        <v>2610</v>
      </c>
      <c r="G18" s="11" t="s">
        <v>2611</v>
      </c>
      <c r="H18" s="11"/>
      <c r="I18" s="11"/>
    </row>
    <row r="19" spans="1:9" s="1" customFormat="1" ht="30">
      <c r="A19" s="11">
        <v>17</v>
      </c>
      <c r="B19" s="11" t="s">
        <v>707</v>
      </c>
      <c r="C19" s="11">
        <v>16</v>
      </c>
      <c r="D19" s="11" t="s">
        <v>189</v>
      </c>
      <c r="E19" s="11" t="s">
        <v>1266</v>
      </c>
      <c r="F19" s="11" t="s">
        <v>2624</v>
      </c>
      <c r="G19" s="11" t="s">
        <v>5569</v>
      </c>
      <c r="H19" s="11"/>
      <c r="I19" s="11"/>
    </row>
    <row r="20" spans="1:9" s="1" customFormat="1">
      <c r="A20" s="11">
        <v>18</v>
      </c>
      <c r="B20" s="11" t="s">
        <v>1182</v>
      </c>
      <c r="C20" s="11">
        <v>12</v>
      </c>
      <c r="D20" s="11" t="s">
        <v>189</v>
      </c>
      <c r="E20" s="11" t="s">
        <v>5576</v>
      </c>
      <c r="F20" s="11" t="s">
        <v>1688</v>
      </c>
      <c r="G20" s="11" t="s">
        <v>1689</v>
      </c>
      <c r="H20" s="11"/>
      <c r="I20" s="11"/>
    </row>
    <row r="21" spans="1:9" s="1" customFormat="1" ht="30">
      <c r="A21" s="11">
        <v>19</v>
      </c>
      <c r="B21" s="11" t="s">
        <v>1183</v>
      </c>
      <c r="C21" s="11">
        <v>30</v>
      </c>
      <c r="D21" s="11" t="s">
        <v>242</v>
      </c>
      <c r="E21" s="11" t="s">
        <v>5576</v>
      </c>
      <c r="F21" s="11" t="s">
        <v>1690</v>
      </c>
      <c r="G21" s="11" t="s">
        <v>1691</v>
      </c>
      <c r="H21" s="11"/>
      <c r="I21" s="11"/>
    </row>
    <row r="22" spans="1:9" s="1" customFormat="1"/>
    <row r="23" spans="1:9" s="1" customFormat="1"/>
    <row r="24" spans="1:9" s="1" customFormat="1"/>
    <row r="25" spans="1:9" s="1" customFormat="1"/>
    <row r="26" spans="1:9" s="1" customFormat="1"/>
    <row r="27" spans="1:9" s="1" customFormat="1"/>
    <row r="28" spans="1:9" s="1" customFormat="1"/>
    <row r="29" spans="1:9" s="1" customFormat="1"/>
    <row r="30" spans="1:9" s="1" customFormat="1"/>
    <row r="31" spans="1:9" s="1" customFormat="1"/>
    <row r="32" spans="1:9"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sheetData>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BF0FC-06D0-4C2A-BBD8-35D3C961BA23}">
  <sheetPr codeName="Sheet48"/>
  <dimension ref="A1:XFC250"/>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5.140625" style="2" bestFit="1" customWidth="1"/>
    <col min="9" max="9" width="7" style="2" customWidth="1"/>
    <col min="10" max="16382" width="32.140625" style="2"/>
    <col min="16383" max="16383" width="1.7109375" style="2" customWidth="1"/>
    <col min="16384" max="16384" width="17.7109375" style="1" customWidth="1"/>
  </cols>
  <sheetData>
    <row r="1" spans="1:9" s="1" customFormat="1">
      <c r="A1" s="3" t="s">
        <v>238</v>
      </c>
      <c r="B1" s="3"/>
      <c r="C1" s="3"/>
      <c r="D1" s="3"/>
      <c r="E1" s="3"/>
      <c r="F1" s="3"/>
      <c r="G1" s="3"/>
      <c r="H1" s="3"/>
      <c r="I1" s="3"/>
    </row>
    <row r="2" spans="1:9" s="1" customFormat="1">
      <c r="A2" s="10" t="s">
        <v>350</v>
      </c>
      <c r="B2" s="10" t="s">
        <v>156</v>
      </c>
      <c r="C2" s="10" t="s">
        <v>157</v>
      </c>
      <c r="D2" s="10" t="s">
        <v>239</v>
      </c>
      <c r="E2" s="10" t="s">
        <v>159</v>
      </c>
      <c r="F2" s="10" t="s">
        <v>1684</v>
      </c>
      <c r="G2" s="10" t="s">
        <v>1685</v>
      </c>
      <c r="H2" s="10" t="s">
        <v>5371</v>
      </c>
      <c r="I2" s="10" t="s">
        <v>5372</v>
      </c>
    </row>
    <row r="3" spans="1:9" s="1" customFormat="1">
      <c r="A3" s="11">
        <v>1</v>
      </c>
      <c r="B3" s="11" t="s">
        <v>240</v>
      </c>
      <c r="C3" s="11">
        <v>8</v>
      </c>
      <c r="D3" s="11" t="s">
        <v>160</v>
      </c>
      <c r="E3" s="11" t="s">
        <v>177</v>
      </c>
      <c r="F3" s="11" t="s">
        <v>1686</v>
      </c>
      <c r="G3" s="11" t="s">
        <v>1687</v>
      </c>
      <c r="H3" s="11" t="s">
        <v>5382</v>
      </c>
      <c r="I3" s="11"/>
    </row>
    <row r="4" spans="1:9" s="1" customFormat="1" ht="30">
      <c r="A4" s="11">
        <v>2</v>
      </c>
      <c r="B4" s="11" t="s">
        <v>241</v>
      </c>
      <c r="C4" s="11">
        <v>14</v>
      </c>
      <c r="D4" s="11" t="s">
        <v>242</v>
      </c>
      <c r="E4" s="11"/>
      <c r="F4" s="11" t="s">
        <v>2389</v>
      </c>
      <c r="G4" s="11" t="s">
        <v>2390</v>
      </c>
      <c r="H4" s="11" t="s">
        <v>5384</v>
      </c>
      <c r="I4" s="11" t="s">
        <v>5387</v>
      </c>
    </row>
    <row r="5" spans="1:9" s="1" customFormat="1">
      <c r="A5" s="11">
        <v>3</v>
      </c>
      <c r="B5" s="11" t="s">
        <v>450</v>
      </c>
      <c r="C5" s="11">
        <v>6</v>
      </c>
      <c r="D5" s="11" t="s">
        <v>242</v>
      </c>
      <c r="E5" s="11"/>
      <c r="F5" s="11" t="s">
        <v>2391</v>
      </c>
      <c r="G5" s="11" t="s">
        <v>2392</v>
      </c>
      <c r="H5" s="11" t="s">
        <v>1291</v>
      </c>
      <c r="I5" s="11" t="s">
        <v>5386</v>
      </c>
    </row>
    <row r="6" spans="1:9" s="1" customFormat="1" ht="105">
      <c r="A6" s="11">
        <v>4</v>
      </c>
      <c r="B6" s="11" t="s">
        <v>451</v>
      </c>
      <c r="C6" s="11">
        <v>1</v>
      </c>
      <c r="D6" s="11" t="s">
        <v>242</v>
      </c>
      <c r="E6" s="11"/>
      <c r="F6" s="11" t="s">
        <v>2393</v>
      </c>
      <c r="G6" s="11" t="s">
        <v>2394</v>
      </c>
      <c r="H6" s="11"/>
      <c r="I6" s="11"/>
    </row>
    <row r="7" spans="1:9" s="1" customFormat="1" ht="180">
      <c r="A7" s="11">
        <v>5</v>
      </c>
      <c r="B7" s="11" t="s">
        <v>452</v>
      </c>
      <c r="C7" s="11">
        <v>1</v>
      </c>
      <c r="D7" s="11" t="s">
        <v>242</v>
      </c>
      <c r="E7" s="11"/>
      <c r="F7" s="11" t="s">
        <v>2395</v>
      </c>
      <c r="G7" s="11" t="s">
        <v>2396</v>
      </c>
      <c r="H7" s="11"/>
      <c r="I7" s="11"/>
    </row>
    <row r="8" spans="1:9" s="1" customFormat="1" ht="30">
      <c r="A8" s="11">
        <v>6</v>
      </c>
      <c r="B8" s="11" t="s">
        <v>453</v>
      </c>
      <c r="C8" s="11">
        <v>8</v>
      </c>
      <c r="D8" s="11" t="s">
        <v>160</v>
      </c>
      <c r="E8" s="11" t="s">
        <v>177</v>
      </c>
      <c r="F8" s="11" t="s">
        <v>2397</v>
      </c>
      <c r="G8" s="11" t="s">
        <v>2398</v>
      </c>
      <c r="H8" s="11"/>
      <c r="I8" s="11"/>
    </row>
    <row r="9" spans="1:9" s="1" customFormat="1" ht="45">
      <c r="A9" s="11">
        <v>7</v>
      </c>
      <c r="B9" s="11" t="s">
        <v>454</v>
      </c>
      <c r="C9" s="11">
        <v>8</v>
      </c>
      <c r="D9" s="11" t="s">
        <v>160</v>
      </c>
      <c r="E9" s="11" t="s">
        <v>177</v>
      </c>
      <c r="F9" s="11" t="s">
        <v>2399</v>
      </c>
      <c r="G9" s="11" t="s">
        <v>2400</v>
      </c>
      <c r="H9" s="11"/>
      <c r="I9" s="11"/>
    </row>
    <row r="10" spans="1:9" s="1" customFormat="1" ht="45">
      <c r="A10" s="11">
        <v>8</v>
      </c>
      <c r="B10" s="11" t="s">
        <v>455</v>
      </c>
      <c r="C10" s="11">
        <v>3</v>
      </c>
      <c r="D10" s="11" t="s">
        <v>189</v>
      </c>
      <c r="E10" s="11"/>
      <c r="F10" s="11" t="s">
        <v>2401</v>
      </c>
      <c r="G10" s="11" t="s">
        <v>2842</v>
      </c>
      <c r="H10" s="11"/>
      <c r="I10" s="11"/>
    </row>
    <row r="11" spans="1:9" s="1" customFormat="1" ht="30">
      <c r="A11" s="11">
        <v>9</v>
      </c>
      <c r="B11" s="11" t="s">
        <v>456</v>
      </c>
      <c r="C11" s="11">
        <v>3</v>
      </c>
      <c r="D11" s="11" t="s">
        <v>189</v>
      </c>
      <c r="E11" s="11"/>
      <c r="F11" s="11" t="s">
        <v>2402</v>
      </c>
      <c r="G11" s="11" t="s">
        <v>2403</v>
      </c>
      <c r="H11" s="11"/>
      <c r="I11" s="11"/>
    </row>
    <row r="12" spans="1:9" s="1" customFormat="1" ht="45">
      <c r="A12" s="11">
        <v>10</v>
      </c>
      <c r="B12" s="11" t="s">
        <v>457</v>
      </c>
      <c r="C12" s="11" t="s">
        <v>1290</v>
      </c>
      <c r="D12" s="11" t="s">
        <v>189</v>
      </c>
      <c r="E12" s="11" t="s">
        <v>1266</v>
      </c>
      <c r="F12" s="11" t="s">
        <v>2404</v>
      </c>
      <c r="G12" s="11" t="s">
        <v>2405</v>
      </c>
      <c r="H12" s="11"/>
      <c r="I12" s="11"/>
    </row>
    <row r="13" spans="1:9" s="1" customFormat="1" ht="60">
      <c r="A13" s="11">
        <v>11</v>
      </c>
      <c r="B13" s="11" t="s">
        <v>458</v>
      </c>
      <c r="C13" s="11" t="s">
        <v>1290</v>
      </c>
      <c r="D13" s="11" t="s">
        <v>189</v>
      </c>
      <c r="E13" s="11" t="s">
        <v>1266</v>
      </c>
      <c r="F13" s="11" t="s">
        <v>2406</v>
      </c>
      <c r="G13" s="11" t="s">
        <v>2407</v>
      </c>
      <c r="H13" s="11"/>
      <c r="I13" s="11"/>
    </row>
    <row r="14" spans="1:9" s="1" customFormat="1">
      <c r="A14" s="11">
        <v>12</v>
      </c>
      <c r="B14" s="11" t="s">
        <v>459</v>
      </c>
      <c r="C14" s="11" t="s">
        <v>1290</v>
      </c>
      <c r="D14" s="11" t="s">
        <v>189</v>
      </c>
      <c r="E14" s="11" t="s">
        <v>1266</v>
      </c>
      <c r="F14" s="11" t="s">
        <v>2408</v>
      </c>
      <c r="G14" s="11" t="s">
        <v>2409</v>
      </c>
      <c r="H14" s="11"/>
      <c r="I14" s="11"/>
    </row>
    <row r="15" spans="1:9" s="1" customFormat="1" ht="90">
      <c r="A15" s="11">
        <v>13</v>
      </c>
      <c r="B15" s="11" t="s">
        <v>460</v>
      </c>
      <c r="C15" s="11">
        <v>1</v>
      </c>
      <c r="D15" s="11" t="s">
        <v>242</v>
      </c>
      <c r="E15" s="11"/>
      <c r="F15" s="11"/>
      <c r="G15" s="11" t="s">
        <v>2410</v>
      </c>
      <c r="H15" s="11"/>
      <c r="I15" s="11"/>
    </row>
    <row r="16" spans="1:9" s="1" customFormat="1" ht="30">
      <c r="A16" s="11">
        <v>14</v>
      </c>
      <c r="B16" s="11" t="s">
        <v>461</v>
      </c>
      <c r="C16" s="11">
        <v>8</v>
      </c>
      <c r="D16" s="11" t="s">
        <v>160</v>
      </c>
      <c r="E16" s="11" t="s">
        <v>177</v>
      </c>
      <c r="F16" s="11" t="s">
        <v>2411</v>
      </c>
      <c r="G16" s="11" t="s">
        <v>2412</v>
      </c>
      <c r="H16" s="11"/>
      <c r="I16" s="11"/>
    </row>
    <row r="17" spans="1:9" s="1" customFormat="1" ht="105">
      <c r="A17" s="11">
        <v>15</v>
      </c>
      <c r="B17" s="11" t="s">
        <v>462</v>
      </c>
      <c r="C17" s="11">
        <v>1</v>
      </c>
      <c r="D17" s="11" t="s">
        <v>242</v>
      </c>
      <c r="E17" s="11"/>
      <c r="F17" s="11" t="s">
        <v>2413</v>
      </c>
      <c r="G17" s="11" t="s">
        <v>2414</v>
      </c>
      <c r="H17" s="11"/>
      <c r="I17" s="11"/>
    </row>
    <row r="18" spans="1:9" s="1" customFormat="1" ht="30">
      <c r="A18" s="11">
        <v>16</v>
      </c>
      <c r="B18" s="11" t="s">
        <v>430</v>
      </c>
      <c r="C18" s="11">
        <v>25</v>
      </c>
      <c r="D18" s="11" t="s">
        <v>242</v>
      </c>
      <c r="E18" s="11"/>
      <c r="F18" s="11" t="s">
        <v>2415</v>
      </c>
      <c r="G18" s="11" t="s">
        <v>2416</v>
      </c>
      <c r="H18" s="11"/>
      <c r="I18" s="11"/>
    </row>
    <row r="19" spans="1:9" s="1" customFormat="1" ht="30">
      <c r="A19" s="11">
        <v>17</v>
      </c>
      <c r="B19" s="11" t="s">
        <v>438</v>
      </c>
      <c r="C19" s="11">
        <v>25</v>
      </c>
      <c r="D19" s="11" t="s">
        <v>242</v>
      </c>
      <c r="E19" s="11"/>
      <c r="F19" s="11" t="s">
        <v>2417</v>
      </c>
      <c r="G19" s="11" t="s">
        <v>2418</v>
      </c>
      <c r="H19" s="11"/>
      <c r="I19" s="11"/>
    </row>
    <row r="20" spans="1:9" s="1" customFormat="1" ht="30">
      <c r="A20" s="11">
        <v>18</v>
      </c>
      <c r="B20" s="11" t="s">
        <v>439</v>
      </c>
      <c r="C20" s="11">
        <v>25</v>
      </c>
      <c r="D20" s="11" t="s">
        <v>242</v>
      </c>
      <c r="E20" s="11"/>
      <c r="F20" s="11" t="s">
        <v>2419</v>
      </c>
      <c r="G20" s="11" t="s">
        <v>2420</v>
      </c>
      <c r="H20" s="11"/>
      <c r="I20" s="11"/>
    </row>
    <row r="21" spans="1:9" s="1" customFormat="1" ht="45">
      <c r="A21" s="11">
        <v>19</v>
      </c>
      <c r="B21" s="11" t="s">
        <v>268</v>
      </c>
      <c r="C21" s="11">
        <v>14</v>
      </c>
      <c r="D21" s="11" t="s">
        <v>242</v>
      </c>
      <c r="E21" s="11"/>
      <c r="F21" s="11" t="s">
        <v>2421</v>
      </c>
      <c r="G21" s="11" t="s">
        <v>2422</v>
      </c>
      <c r="H21" s="11"/>
      <c r="I21" s="11"/>
    </row>
    <row r="22" spans="1:9" s="1" customFormat="1">
      <c r="A22" s="11">
        <v>20</v>
      </c>
      <c r="B22" s="11" t="s">
        <v>463</v>
      </c>
      <c r="C22" s="11">
        <v>30</v>
      </c>
      <c r="D22" s="11" t="s">
        <v>242</v>
      </c>
      <c r="E22" s="11"/>
      <c r="F22" s="11" t="s">
        <v>2423</v>
      </c>
      <c r="G22" s="11"/>
      <c r="H22" s="11"/>
      <c r="I22" s="11"/>
    </row>
    <row r="23" spans="1:9" s="1" customFormat="1">
      <c r="A23" s="11">
        <v>21</v>
      </c>
      <c r="B23" s="11" t="s">
        <v>464</v>
      </c>
      <c r="C23" s="11">
        <v>30</v>
      </c>
      <c r="D23" s="11" t="s">
        <v>242</v>
      </c>
      <c r="E23" s="11"/>
      <c r="F23" s="11" t="s">
        <v>2424</v>
      </c>
      <c r="G23" s="11"/>
      <c r="H23" s="11"/>
      <c r="I23" s="11"/>
    </row>
    <row r="24" spans="1:9" s="1" customFormat="1">
      <c r="A24" s="11">
        <v>22</v>
      </c>
      <c r="B24" s="11" t="s">
        <v>465</v>
      </c>
      <c r="C24" s="11">
        <v>30</v>
      </c>
      <c r="D24" s="11" t="s">
        <v>242</v>
      </c>
      <c r="E24" s="11"/>
      <c r="F24" s="11" t="s">
        <v>1731</v>
      </c>
      <c r="G24" s="11" t="s">
        <v>1732</v>
      </c>
      <c r="H24" s="11"/>
      <c r="I24" s="11"/>
    </row>
    <row r="25" spans="1:9" s="1" customFormat="1">
      <c r="A25" s="11">
        <v>23</v>
      </c>
      <c r="B25" s="11" t="s">
        <v>466</v>
      </c>
      <c r="C25" s="11">
        <v>30</v>
      </c>
      <c r="D25" s="11" t="s">
        <v>242</v>
      </c>
      <c r="E25" s="11"/>
      <c r="F25" s="11" t="s">
        <v>1733</v>
      </c>
      <c r="G25" s="11" t="s">
        <v>1734</v>
      </c>
      <c r="H25" s="11"/>
      <c r="I25" s="11"/>
    </row>
    <row r="26" spans="1:9" s="1" customFormat="1">
      <c r="A26" s="11">
        <v>24</v>
      </c>
      <c r="B26" s="11" t="s">
        <v>467</v>
      </c>
      <c r="C26" s="11">
        <v>20</v>
      </c>
      <c r="D26" s="11" t="s">
        <v>242</v>
      </c>
      <c r="E26" s="11"/>
      <c r="F26" s="11" t="s">
        <v>2425</v>
      </c>
      <c r="G26" s="11" t="s">
        <v>2426</v>
      </c>
      <c r="H26" s="11"/>
      <c r="I26" s="11"/>
    </row>
    <row r="27" spans="1:9" s="1" customFormat="1">
      <c r="A27" s="11">
        <v>25</v>
      </c>
      <c r="B27" s="11" t="s">
        <v>468</v>
      </c>
      <c r="C27" s="11">
        <v>20</v>
      </c>
      <c r="D27" s="11" t="s">
        <v>242</v>
      </c>
      <c r="E27" s="11"/>
      <c r="F27" s="11" t="s">
        <v>2427</v>
      </c>
      <c r="G27" s="11" t="s">
        <v>2428</v>
      </c>
      <c r="H27" s="11"/>
      <c r="I27" s="11"/>
    </row>
    <row r="28" spans="1:9" s="1" customFormat="1">
      <c r="A28" s="11">
        <v>26</v>
      </c>
      <c r="B28" s="11" t="s">
        <v>469</v>
      </c>
      <c r="C28" s="11">
        <v>10</v>
      </c>
      <c r="D28" s="11" t="s">
        <v>242</v>
      </c>
      <c r="E28" s="11"/>
      <c r="F28" s="11" t="s">
        <v>2429</v>
      </c>
      <c r="G28" s="11" t="s">
        <v>2430</v>
      </c>
      <c r="H28" s="11"/>
      <c r="I28" s="11"/>
    </row>
    <row r="29" spans="1:9" s="1" customFormat="1">
      <c r="A29" s="11">
        <v>27</v>
      </c>
      <c r="B29" s="11" t="s">
        <v>470</v>
      </c>
      <c r="C29" s="11">
        <v>40</v>
      </c>
      <c r="D29" s="11" t="s">
        <v>242</v>
      </c>
      <c r="E29" s="11"/>
      <c r="F29" s="11" t="s">
        <v>2431</v>
      </c>
      <c r="G29" s="11"/>
      <c r="H29" s="11"/>
      <c r="I29" s="11"/>
    </row>
    <row r="30" spans="1:9" s="1" customFormat="1" ht="45">
      <c r="A30" s="11">
        <v>28</v>
      </c>
      <c r="B30" s="11" t="s">
        <v>471</v>
      </c>
      <c r="C30" s="11">
        <v>10</v>
      </c>
      <c r="D30" s="11" t="s">
        <v>242</v>
      </c>
      <c r="E30" s="11"/>
      <c r="F30" s="11" t="s">
        <v>2432</v>
      </c>
      <c r="G30" s="11" t="s">
        <v>2433</v>
      </c>
      <c r="H30" s="11"/>
      <c r="I30" s="11"/>
    </row>
    <row r="31" spans="1:9" s="1" customFormat="1" ht="45">
      <c r="A31" s="11">
        <v>29</v>
      </c>
      <c r="B31" s="11" t="s">
        <v>472</v>
      </c>
      <c r="C31" s="11">
        <v>1</v>
      </c>
      <c r="D31" s="11" t="s">
        <v>242</v>
      </c>
      <c r="E31" s="11"/>
      <c r="F31" s="11" t="s">
        <v>2434</v>
      </c>
      <c r="G31" s="11" t="s">
        <v>2435</v>
      </c>
      <c r="H31" s="11"/>
      <c r="I31" s="11"/>
    </row>
    <row r="32" spans="1:9" s="1" customFormat="1" ht="45">
      <c r="A32" s="11">
        <v>30</v>
      </c>
      <c r="B32" s="11" t="s">
        <v>473</v>
      </c>
      <c r="C32" s="11">
        <v>1</v>
      </c>
      <c r="D32" s="11" t="s">
        <v>242</v>
      </c>
      <c r="E32" s="11"/>
      <c r="F32" s="11" t="s">
        <v>2436</v>
      </c>
      <c r="G32" s="11" t="s">
        <v>2437</v>
      </c>
      <c r="H32" s="11"/>
      <c r="I32" s="11"/>
    </row>
    <row r="33" spans="1:9" s="1" customFormat="1" ht="75">
      <c r="A33" s="11">
        <v>31</v>
      </c>
      <c r="B33" s="11" t="s">
        <v>474</v>
      </c>
      <c r="C33" s="11">
        <v>1</v>
      </c>
      <c r="D33" s="11" t="s">
        <v>242</v>
      </c>
      <c r="E33" s="11"/>
      <c r="F33" s="11" t="s">
        <v>2438</v>
      </c>
      <c r="G33" s="11" t="s">
        <v>2439</v>
      </c>
      <c r="H33" s="11" t="s">
        <v>5364</v>
      </c>
      <c r="I33" s="11"/>
    </row>
    <row r="34" spans="1:9" s="1" customFormat="1" ht="120">
      <c r="A34" s="11">
        <v>32</v>
      </c>
      <c r="B34" s="11" t="s">
        <v>475</v>
      </c>
      <c r="C34" s="11">
        <v>1</v>
      </c>
      <c r="D34" s="11" t="s">
        <v>242</v>
      </c>
      <c r="E34" s="11"/>
      <c r="F34" s="11" t="s">
        <v>2440</v>
      </c>
      <c r="G34" s="11" t="s">
        <v>2441</v>
      </c>
      <c r="H34" s="11"/>
      <c r="I34" s="11"/>
    </row>
    <row r="35" spans="1:9" s="1" customFormat="1" ht="45">
      <c r="A35" s="11">
        <v>33</v>
      </c>
      <c r="B35" s="11" t="s">
        <v>476</v>
      </c>
      <c r="C35" s="11">
        <v>1</v>
      </c>
      <c r="D35" s="11" t="s">
        <v>242</v>
      </c>
      <c r="E35" s="11"/>
      <c r="F35" s="11" t="s">
        <v>2442</v>
      </c>
      <c r="G35" s="11" t="s">
        <v>2443</v>
      </c>
      <c r="H35" s="11"/>
      <c r="I35" s="11"/>
    </row>
    <row r="36" spans="1:9" s="1" customFormat="1" ht="150">
      <c r="A36" s="11">
        <v>34</v>
      </c>
      <c r="B36" s="11" t="s">
        <v>477</v>
      </c>
      <c r="C36" s="11">
        <v>4</v>
      </c>
      <c r="D36" s="11" t="s">
        <v>242</v>
      </c>
      <c r="E36" s="11"/>
      <c r="F36" s="11" t="s">
        <v>2444</v>
      </c>
      <c r="G36" s="11" t="s">
        <v>2445</v>
      </c>
      <c r="H36" s="11"/>
      <c r="I36" s="11"/>
    </row>
    <row r="37" spans="1:9" s="1" customFormat="1">
      <c r="A37" s="11">
        <v>35</v>
      </c>
      <c r="B37" s="11" t="s">
        <v>478</v>
      </c>
      <c r="C37" s="11" t="s">
        <v>1290</v>
      </c>
      <c r="D37" s="11" t="s">
        <v>189</v>
      </c>
      <c r="E37" s="11" t="s">
        <v>1266</v>
      </c>
      <c r="F37" s="11" t="s">
        <v>2446</v>
      </c>
      <c r="G37" s="11"/>
      <c r="H37" s="11"/>
      <c r="I37" s="11"/>
    </row>
    <row r="38" spans="1:9" s="1" customFormat="1" ht="30">
      <c r="A38" s="11">
        <v>36</v>
      </c>
      <c r="B38" s="11" t="s">
        <v>479</v>
      </c>
      <c r="C38" s="11">
        <v>20</v>
      </c>
      <c r="D38" s="11" t="s">
        <v>242</v>
      </c>
      <c r="E38" s="11"/>
      <c r="F38" s="11" t="s">
        <v>2447</v>
      </c>
      <c r="G38" s="11" t="s">
        <v>2448</v>
      </c>
      <c r="H38" s="11"/>
      <c r="I38" s="11"/>
    </row>
    <row r="39" spans="1:9" s="1" customFormat="1" ht="30">
      <c r="A39" s="11">
        <v>37</v>
      </c>
      <c r="B39" s="11" t="s">
        <v>480</v>
      </c>
      <c r="C39" s="11">
        <v>20</v>
      </c>
      <c r="D39" s="11" t="s">
        <v>242</v>
      </c>
      <c r="E39" s="11"/>
      <c r="F39" s="11" t="s">
        <v>2449</v>
      </c>
      <c r="G39" s="11" t="s">
        <v>2450</v>
      </c>
      <c r="H39" s="11"/>
      <c r="I39" s="11"/>
    </row>
    <row r="40" spans="1:9" s="1" customFormat="1" ht="30">
      <c r="A40" s="11">
        <v>38</v>
      </c>
      <c r="B40" s="11" t="s">
        <v>481</v>
      </c>
      <c r="C40" s="11">
        <v>20</v>
      </c>
      <c r="D40" s="11" t="s">
        <v>242</v>
      </c>
      <c r="E40" s="11"/>
      <c r="F40" s="11" t="s">
        <v>2451</v>
      </c>
      <c r="G40" s="11" t="s">
        <v>2452</v>
      </c>
      <c r="H40" s="11"/>
      <c r="I40" s="11"/>
    </row>
    <row r="41" spans="1:9" s="1" customFormat="1" ht="30">
      <c r="A41" s="11">
        <v>39</v>
      </c>
      <c r="B41" s="11" t="s">
        <v>482</v>
      </c>
      <c r="C41" s="11">
        <v>20</v>
      </c>
      <c r="D41" s="11" t="s">
        <v>242</v>
      </c>
      <c r="E41" s="11"/>
      <c r="F41" s="11" t="s">
        <v>2453</v>
      </c>
      <c r="G41" s="11" t="s">
        <v>2454</v>
      </c>
      <c r="H41" s="11"/>
      <c r="I41" s="11"/>
    </row>
    <row r="42" spans="1:9" s="1" customFormat="1" ht="45">
      <c r="A42" s="11">
        <v>40</v>
      </c>
      <c r="B42" s="11" t="s">
        <v>483</v>
      </c>
      <c r="C42" s="11">
        <v>1</v>
      </c>
      <c r="D42" s="11" t="s">
        <v>242</v>
      </c>
      <c r="E42" s="11"/>
      <c r="F42" s="11" t="s">
        <v>2455</v>
      </c>
      <c r="G42" s="11" t="s">
        <v>2456</v>
      </c>
      <c r="H42" s="11"/>
      <c r="I42" s="11"/>
    </row>
    <row r="43" spans="1:9" s="1" customFormat="1">
      <c r="A43" s="11">
        <v>41</v>
      </c>
      <c r="B43" s="11" t="s">
        <v>484</v>
      </c>
      <c r="C43" s="11">
        <v>8</v>
      </c>
      <c r="D43" s="11" t="s">
        <v>160</v>
      </c>
      <c r="E43" s="11" t="s">
        <v>177</v>
      </c>
      <c r="F43" s="11" t="s">
        <v>2457</v>
      </c>
      <c r="G43" s="11"/>
      <c r="H43" s="11"/>
      <c r="I43" s="11"/>
    </row>
    <row r="44" spans="1:9" s="1" customFormat="1" ht="75">
      <c r="A44" s="11">
        <v>42</v>
      </c>
      <c r="B44" s="11" t="s">
        <v>485</v>
      </c>
      <c r="C44" s="11">
        <v>1</v>
      </c>
      <c r="D44" s="11" t="s">
        <v>242</v>
      </c>
      <c r="E44" s="11"/>
      <c r="F44" s="11" t="s">
        <v>2458</v>
      </c>
      <c r="G44" s="11" t="s">
        <v>2459</v>
      </c>
      <c r="H44" s="11"/>
      <c r="I44" s="11"/>
    </row>
    <row r="45" spans="1:9" s="1" customFormat="1" ht="30">
      <c r="A45" s="11">
        <v>43</v>
      </c>
      <c r="B45" s="11" t="s">
        <v>486</v>
      </c>
      <c r="C45" s="11" t="s">
        <v>1290</v>
      </c>
      <c r="D45" s="11" t="s">
        <v>189</v>
      </c>
      <c r="E45" s="11" t="s">
        <v>1266</v>
      </c>
      <c r="F45" s="11" t="s">
        <v>2460</v>
      </c>
      <c r="G45" s="11" t="s">
        <v>2461</v>
      </c>
      <c r="H45" s="11"/>
      <c r="I45" s="11"/>
    </row>
    <row r="46" spans="1:9" s="1" customFormat="1" ht="105">
      <c r="A46" s="11">
        <v>44</v>
      </c>
      <c r="B46" s="11" t="s">
        <v>487</v>
      </c>
      <c r="C46" s="11">
        <v>1</v>
      </c>
      <c r="D46" s="11" t="s">
        <v>242</v>
      </c>
      <c r="E46" s="11"/>
      <c r="F46" s="11" t="s">
        <v>2462</v>
      </c>
      <c r="G46" s="11" t="s">
        <v>2463</v>
      </c>
      <c r="H46" s="11"/>
      <c r="I46" s="11"/>
    </row>
    <row r="47" spans="1:9" s="1" customFormat="1" ht="60">
      <c r="A47" s="11">
        <v>45</v>
      </c>
      <c r="B47" s="11" t="s">
        <v>78</v>
      </c>
      <c r="C47" s="11">
        <v>4</v>
      </c>
      <c r="D47" s="11" t="s">
        <v>242</v>
      </c>
      <c r="E47" s="11"/>
      <c r="F47" s="11" t="s">
        <v>2464</v>
      </c>
      <c r="G47" s="11" t="s">
        <v>2843</v>
      </c>
      <c r="H47" s="11"/>
      <c r="I47" s="11"/>
    </row>
    <row r="48" spans="1:9" s="1" customFormat="1">
      <c r="A48" s="11">
        <v>46</v>
      </c>
      <c r="B48" s="11" t="s">
        <v>488</v>
      </c>
      <c r="C48" s="11">
        <v>25</v>
      </c>
      <c r="D48" s="11" t="s">
        <v>242</v>
      </c>
      <c r="E48" s="11"/>
      <c r="F48" s="11" t="s">
        <v>2465</v>
      </c>
      <c r="G48" s="11" t="s">
        <v>2466</v>
      </c>
      <c r="H48" s="11"/>
      <c r="I48" s="11"/>
    </row>
    <row r="49" spans="1:9" s="1" customFormat="1">
      <c r="A49" s="11">
        <v>47</v>
      </c>
      <c r="B49" s="11" t="s">
        <v>1182</v>
      </c>
      <c r="C49" s="11">
        <v>12</v>
      </c>
      <c r="D49" s="11" t="s">
        <v>189</v>
      </c>
      <c r="E49" s="11" t="s">
        <v>5576</v>
      </c>
      <c r="F49" s="11" t="s">
        <v>1688</v>
      </c>
      <c r="G49" s="11" t="s">
        <v>1689</v>
      </c>
      <c r="H49" s="11"/>
      <c r="I49" s="11"/>
    </row>
    <row r="50" spans="1:9" s="1" customFormat="1" ht="30">
      <c r="A50" s="11">
        <v>48</v>
      </c>
      <c r="B50" s="11" t="s">
        <v>1183</v>
      </c>
      <c r="C50" s="11">
        <v>30</v>
      </c>
      <c r="D50" s="11" t="s">
        <v>242</v>
      </c>
      <c r="E50" s="11" t="s">
        <v>5576</v>
      </c>
      <c r="F50" s="11" t="s">
        <v>1690</v>
      </c>
      <c r="G50" s="11" t="s">
        <v>1691</v>
      </c>
      <c r="H50" s="11"/>
      <c r="I50" s="11"/>
    </row>
    <row r="51" spans="1:9" s="1" customFormat="1"/>
    <row r="52" spans="1:9" s="1" customFormat="1"/>
    <row r="53" spans="1:9" s="1" customFormat="1"/>
    <row r="54" spans="1:9" s="1" customFormat="1"/>
    <row r="55" spans="1:9" s="1" customFormat="1"/>
    <row r="56" spans="1:9" s="1" customFormat="1"/>
    <row r="57" spans="1:9" s="1" customFormat="1"/>
    <row r="58" spans="1:9" s="1" customFormat="1"/>
    <row r="59" spans="1:9" s="1" customFormat="1"/>
    <row r="60" spans="1:9" s="1" customFormat="1"/>
    <row r="61" spans="1:9" s="1" customFormat="1"/>
    <row r="62" spans="1:9" s="1" customFormat="1"/>
    <row r="63" spans="1:9" s="1" customFormat="1"/>
    <row r="64" spans="1:9"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080D1-90F8-457A-A054-226A5EB11EA7}">
  <sheetPr codeName="Sheet27"/>
  <dimension ref="A1:XFB252"/>
  <sheetViews>
    <sheetView topLeftCell="A16" workbookViewId="0">
      <selection activeCell="C22" sqref="C22"/>
    </sheetView>
  </sheetViews>
  <sheetFormatPr defaultColWidth="32.140625" defaultRowHeight="15"/>
  <cols>
    <col min="1" max="1" width="7.140625" style="44" bestFit="1" customWidth="1"/>
    <col min="2" max="2" width="28.140625" style="44" bestFit="1" customWidth="1"/>
    <col min="3" max="3" width="4.5703125" style="44" bestFit="1" customWidth="1"/>
    <col min="4" max="4" width="9" style="44" bestFit="1" customWidth="1"/>
    <col min="5" max="5" width="24.42578125" style="44" bestFit="1" customWidth="1"/>
    <col min="6" max="6" width="48.140625" style="44" bestFit="1" customWidth="1"/>
    <col min="7" max="7" width="57.42578125" style="44" customWidth="1"/>
    <col min="8" max="8" width="5.5703125" style="2" customWidth="1"/>
    <col min="9" max="9" width="5.7109375" style="2" customWidth="1"/>
    <col min="10" max="16381" width="32.140625" style="2"/>
    <col min="16382" max="16382" width="1.7109375" style="2" customWidth="1"/>
    <col min="16383" max="16384" width="17.7109375" style="44" customWidth="1"/>
  </cols>
  <sheetData>
    <row r="1" spans="1:10" s="44" customFormat="1">
      <c r="A1" s="43" t="s">
        <v>238</v>
      </c>
      <c r="B1" s="43"/>
      <c r="C1" s="43"/>
      <c r="D1" s="43"/>
      <c r="E1" s="43"/>
      <c r="F1" s="43"/>
      <c r="G1" s="43"/>
      <c r="H1" s="43"/>
      <c r="I1" s="43"/>
    </row>
    <row r="2" spans="1:10" s="44" customFormat="1">
      <c r="A2" s="10" t="s">
        <v>350</v>
      </c>
      <c r="B2" s="10" t="s">
        <v>156</v>
      </c>
      <c r="C2" s="10" t="s">
        <v>157</v>
      </c>
      <c r="D2" s="10" t="s">
        <v>239</v>
      </c>
      <c r="E2" s="10" t="s">
        <v>159</v>
      </c>
      <c r="F2" s="10" t="s">
        <v>1684</v>
      </c>
      <c r="G2" s="10" t="s">
        <v>1685</v>
      </c>
      <c r="H2" s="10" t="s">
        <v>5367</v>
      </c>
      <c r="I2" s="10" t="s">
        <v>5366</v>
      </c>
    </row>
    <row r="3" spans="1:10" s="44" customFormat="1">
      <c r="A3" s="42">
        <v>1</v>
      </c>
      <c r="B3" s="42" t="s">
        <v>724</v>
      </c>
      <c r="C3" s="42">
        <v>8</v>
      </c>
      <c r="D3" s="42" t="s">
        <v>160</v>
      </c>
      <c r="E3" s="42" t="s">
        <v>177</v>
      </c>
      <c r="F3" s="42" t="s">
        <v>1686</v>
      </c>
      <c r="G3" s="42" t="s">
        <v>1687</v>
      </c>
      <c r="H3" s="42" t="s">
        <v>5384</v>
      </c>
      <c r="I3" s="42" t="s">
        <v>5387</v>
      </c>
    </row>
    <row r="4" spans="1:10" s="44" customFormat="1" ht="60">
      <c r="A4" s="59">
        <v>2</v>
      </c>
      <c r="B4" s="59" t="s">
        <v>5577</v>
      </c>
      <c r="C4" s="59">
        <v>2</v>
      </c>
      <c r="D4" s="59" t="s">
        <v>242</v>
      </c>
      <c r="E4" s="59"/>
      <c r="F4" s="59" t="s">
        <v>5578</v>
      </c>
      <c r="G4" s="59" t="s">
        <v>5579</v>
      </c>
      <c r="H4" s="59"/>
      <c r="I4" s="59" t="s">
        <v>5386</v>
      </c>
      <c r="J4" s="31"/>
    </row>
    <row r="5" spans="1:10" s="44" customFormat="1" ht="30">
      <c r="A5" s="59">
        <v>3</v>
      </c>
      <c r="B5" s="59" t="s">
        <v>6060</v>
      </c>
      <c r="C5" s="59">
        <v>8</v>
      </c>
      <c r="D5" s="59" t="s">
        <v>160</v>
      </c>
      <c r="E5" s="59" t="s">
        <v>177</v>
      </c>
      <c r="F5" s="59" t="s">
        <v>6061</v>
      </c>
      <c r="G5" s="59" t="s">
        <v>6062</v>
      </c>
      <c r="H5" s="59"/>
      <c r="I5" s="59" t="s">
        <v>5395</v>
      </c>
      <c r="J5" s="31" t="s">
        <v>6063</v>
      </c>
    </row>
    <row r="6" spans="1:10" s="44" customFormat="1" ht="30">
      <c r="A6" s="59">
        <v>4</v>
      </c>
      <c r="B6" s="59" t="s">
        <v>725</v>
      </c>
      <c r="C6" s="59">
        <v>4</v>
      </c>
      <c r="D6" s="59" t="s">
        <v>242</v>
      </c>
      <c r="E6" s="59"/>
      <c r="F6" s="59" t="s">
        <v>2598</v>
      </c>
      <c r="G6" s="59" t="s">
        <v>2844</v>
      </c>
      <c r="H6" s="59" t="s">
        <v>1291</v>
      </c>
      <c r="I6" s="59" t="s">
        <v>5452</v>
      </c>
      <c r="J6" s="31"/>
    </row>
    <row r="7" spans="1:10" s="44" customFormat="1" ht="30">
      <c r="A7" s="59">
        <v>5</v>
      </c>
      <c r="B7" s="59" t="s">
        <v>726</v>
      </c>
      <c r="C7" s="59">
        <v>2</v>
      </c>
      <c r="D7" s="59" t="s">
        <v>242</v>
      </c>
      <c r="E7" s="59"/>
      <c r="F7" s="59" t="s">
        <v>2599</v>
      </c>
      <c r="G7" s="59" t="s">
        <v>2845</v>
      </c>
      <c r="H7" s="59" t="s">
        <v>1291</v>
      </c>
      <c r="I7" s="59" t="s">
        <v>1291</v>
      </c>
      <c r="J7" s="31"/>
    </row>
    <row r="8" spans="1:10" s="44" customFormat="1" ht="30">
      <c r="A8" s="59">
        <v>6</v>
      </c>
      <c r="B8" s="59" t="s">
        <v>727</v>
      </c>
      <c r="C8" s="59">
        <v>1</v>
      </c>
      <c r="D8" s="59" t="s">
        <v>242</v>
      </c>
      <c r="E8" s="59"/>
      <c r="F8" s="59" t="s">
        <v>2600</v>
      </c>
      <c r="G8" s="59" t="s">
        <v>2846</v>
      </c>
      <c r="H8" s="59"/>
      <c r="I8" s="59"/>
      <c r="J8" s="31"/>
    </row>
    <row r="9" spans="1:10" s="44" customFormat="1" ht="30">
      <c r="A9" s="59">
        <v>7</v>
      </c>
      <c r="B9" s="59" t="s">
        <v>79</v>
      </c>
      <c r="C9" s="59">
        <v>4</v>
      </c>
      <c r="D9" s="59" t="s">
        <v>242</v>
      </c>
      <c r="E9" s="59"/>
      <c r="F9" s="59" t="s">
        <v>1715</v>
      </c>
      <c r="G9" s="59" t="s">
        <v>2847</v>
      </c>
      <c r="H9" s="59"/>
      <c r="I9" s="59" t="s">
        <v>1291</v>
      </c>
      <c r="J9" s="31"/>
    </row>
    <row r="10" spans="1:10" s="44" customFormat="1" ht="30">
      <c r="A10" s="59">
        <v>8</v>
      </c>
      <c r="B10" s="59" t="s">
        <v>241</v>
      </c>
      <c r="C10" s="59">
        <v>16</v>
      </c>
      <c r="D10" s="59" t="s">
        <v>242</v>
      </c>
      <c r="E10" s="59"/>
      <c r="F10" s="59" t="s">
        <v>1711</v>
      </c>
      <c r="G10" s="59" t="s">
        <v>2848</v>
      </c>
      <c r="H10" s="59" t="s">
        <v>5382</v>
      </c>
      <c r="I10" s="59"/>
      <c r="J10" s="31"/>
    </row>
    <row r="11" spans="1:10" s="44" customFormat="1" ht="30">
      <c r="A11" s="59">
        <v>9</v>
      </c>
      <c r="B11" s="59" t="s">
        <v>728</v>
      </c>
      <c r="C11" s="59">
        <v>10</v>
      </c>
      <c r="D11" s="59" t="s">
        <v>189</v>
      </c>
      <c r="E11" s="59" t="s">
        <v>6064</v>
      </c>
      <c r="F11" s="59" t="s">
        <v>2601</v>
      </c>
      <c r="G11" s="59" t="s">
        <v>2849</v>
      </c>
      <c r="H11" s="59"/>
      <c r="I11" s="59"/>
      <c r="J11" s="31" t="s">
        <v>6065</v>
      </c>
    </row>
    <row r="12" spans="1:10" s="44" customFormat="1" ht="30">
      <c r="A12" s="59">
        <v>10</v>
      </c>
      <c r="B12" s="59" t="s">
        <v>729</v>
      </c>
      <c r="C12" s="59">
        <v>10</v>
      </c>
      <c r="D12" s="59" t="s">
        <v>189</v>
      </c>
      <c r="E12" s="59" t="s">
        <v>6064</v>
      </c>
      <c r="F12" s="59" t="s">
        <v>2602</v>
      </c>
      <c r="G12" s="59" t="s">
        <v>2850</v>
      </c>
      <c r="H12" s="59"/>
      <c r="I12" s="59"/>
      <c r="J12" s="31" t="s">
        <v>6065</v>
      </c>
    </row>
    <row r="13" spans="1:10" s="44" customFormat="1" ht="30">
      <c r="A13" s="59">
        <v>11</v>
      </c>
      <c r="B13" s="59" t="s">
        <v>730</v>
      </c>
      <c r="C13" s="59">
        <v>10</v>
      </c>
      <c r="D13" s="59" t="s">
        <v>189</v>
      </c>
      <c r="E13" s="59" t="s">
        <v>6064</v>
      </c>
      <c r="F13" s="59" t="s">
        <v>2603</v>
      </c>
      <c r="G13" s="59" t="s">
        <v>2851</v>
      </c>
      <c r="H13" s="59"/>
      <c r="I13" s="59"/>
      <c r="J13" s="31" t="s">
        <v>6065</v>
      </c>
    </row>
    <row r="14" spans="1:10" s="44" customFormat="1">
      <c r="A14" s="59">
        <v>12</v>
      </c>
      <c r="B14" s="59" t="s">
        <v>731</v>
      </c>
      <c r="C14" s="59">
        <v>2</v>
      </c>
      <c r="D14" s="59" t="s">
        <v>242</v>
      </c>
      <c r="E14" s="59"/>
      <c r="F14" s="59" t="s">
        <v>2604</v>
      </c>
      <c r="G14" s="59" t="s">
        <v>2852</v>
      </c>
      <c r="H14" s="59"/>
      <c r="I14" s="59"/>
      <c r="J14" s="31"/>
    </row>
    <row r="15" spans="1:10" s="44" customFormat="1" ht="45">
      <c r="A15" s="59">
        <v>13</v>
      </c>
      <c r="B15" s="59" t="s">
        <v>732</v>
      </c>
      <c r="C15" s="59">
        <v>1</v>
      </c>
      <c r="D15" s="59" t="s">
        <v>242</v>
      </c>
      <c r="E15" s="59"/>
      <c r="F15" s="59" t="s">
        <v>2605</v>
      </c>
      <c r="G15" s="59" t="s">
        <v>2853</v>
      </c>
      <c r="H15" s="59"/>
      <c r="I15" s="59"/>
      <c r="J15" s="31"/>
    </row>
    <row r="16" spans="1:10" s="44" customFormat="1" ht="30">
      <c r="A16" s="59">
        <v>14</v>
      </c>
      <c r="B16" s="59" t="s">
        <v>488</v>
      </c>
      <c r="C16" s="59">
        <v>50</v>
      </c>
      <c r="D16" s="59" t="s">
        <v>242</v>
      </c>
      <c r="E16" s="59"/>
      <c r="F16" s="59" t="s">
        <v>2606</v>
      </c>
      <c r="G16" s="59" t="s">
        <v>2854</v>
      </c>
      <c r="H16" s="59"/>
      <c r="I16" s="59"/>
      <c r="J16" s="31"/>
    </row>
    <row r="17" spans="1:9" s="44" customFormat="1" ht="30">
      <c r="A17" s="42">
        <v>15</v>
      </c>
      <c r="B17" s="42" t="s">
        <v>422</v>
      </c>
      <c r="C17" s="42">
        <v>14</v>
      </c>
      <c r="D17" s="42" t="s">
        <v>242</v>
      </c>
      <c r="E17" s="42"/>
      <c r="F17" s="42" t="s">
        <v>1933</v>
      </c>
      <c r="G17" s="42" t="s">
        <v>2855</v>
      </c>
      <c r="H17" s="42"/>
      <c r="I17" s="42"/>
    </row>
    <row r="18" spans="1:9" s="44" customFormat="1" ht="30">
      <c r="A18" s="42">
        <v>16</v>
      </c>
      <c r="B18" s="42" t="s">
        <v>428</v>
      </c>
      <c r="C18" s="42">
        <v>14</v>
      </c>
      <c r="D18" s="42" t="s">
        <v>189</v>
      </c>
      <c r="E18" s="42"/>
      <c r="F18" s="42" t="s">
        <v>2607</v>
      </c>
      <c r="G18" s="42" t="s">
        <v>2856</v>
      </c>
      <c r="H18" s="42"/>
      <c r="I18" s="42"/>
    </row>
    <row r="19" spans="1:9" s="44" customFormat="1" ht="30">
      <c r="A19" s="42">
        <v>17</v>
      </c>
      <c r="B19" s="42" t="s">
        <v>733</v>
      </c>
      <c r="C19" s="42">
        <v>10</v>
      </c>
      <c r="D19" s="42" t="s">
        <v>242</v>
      </c>
      <c r="E19" s="42"/>
      <c r="F19" s="42" t="s">
        <v>2608</v>
      </c>
      <c r="G19" s="42" t="s">
        <v>2857</v>
      </c>
      <c r="H19" s="42"/>
      <c r="I19" s="42"/>
    </row>
    <row r="20" spans="1:9" s="44" customFormat="1" ht="30">
      <c r="A20" s="42">
        <v>18</v>
      </c>
      <c r="B20" s="42" t="s">
        <v>734</v>
      </c>
      <c r="C20" s="42">
        <v>8</v>
      </c>
      <c r="D20" s="42" t="s">
        <v>160</v>
      </c>
      <c r="E20" s="42" t="s">
        <v>177</v>
      </c>
      <c r="F20" s="42" t="s">
        <v>2609</v>
      </c>
      <c r="G20" s="42" t="s">
        <v>2858</v>
      </c>
      <c r="H20" s="42"/>
      <c r="I20" s="42"/>
    </row>
    <row r="21" spans="1:9" s="44" customFormat="1">
      <c r="A21" s="42">
        <v>19</v>
      </c>
      <c r="B21" s="42" t="s">
        <v>1182</v>
      </c>
      <c r="C21" s="42">
        <v>12</v>
      </c>
      <c r="D21" s="42" t="s">
        <v>189</v>
      </c>
      <c r="E21" s="42" t="s">
        <v>5576</v>
      </c>
      <c r="F21" s="42" t="s">
        <v>1688</v>
      </c>
      <c r="G21" s="42" t="s">
        <v>1689</v>
      </c>
      <c r="H21" s="42"/>
      <c r="I21" s="42"/>
    </row>
    <row r="22" spans="1:9" s="44" customFormat="1" ht="30">
      <c r="A22" s="42">
        <v>20</v>
      </c>
      <c r="B22" s="42" t="s">
        <v>1183</v>
      </c>
      <c r="C22" s="42">
        <v>30</v>
      </c>
      <c r="D22" s="42" t="s">
        <v>242</v>
      </c>
      <c r="E22" s="42" t="s">
        <v>5576</v>
      </c>
      <c r="F22" s="42" t="s">
        <v>1690</v>
      </c>
      <c r="G22" s="42" t="s">
        <v>1691</v>
      </c>
      <c r="H22" s="42"/>
      <c r="I22" s="42"/>
    </row>
    <row r="23" spans="1:9" s="44" customFormat="1"/>
    <row r="24" spans="1:9" s="44" customFormat="1"/>
    <row r="25" spans="1:9" s="44" customFormat="1"/>
    <row r="26" spans="1:9" s="44" customFormat="1"/>
    <row r="27" spans="1:9" s="44" customFormat="1"/>
    <row r="28" spans="1:9" s="44" customFormat="1"/>
    <row r="29" spans="1:9" s="44" customFormat="1"/>
    <row r="30" spans="1:9" s="44" customFormat="1"/>
    <row r="31" spans="1:9" s="44" customFormat="1"/>
    <row r="32" spans="1:9" s="44" customFormat="1"/>
    <row r="33" s="44" customFormat="1"/>
    <row r="34" s="44" customFormat="1"/>
    <row r="35" s="44" customFormat="1"/>
    <row r="36" s="44" customFormat="1"/>
    <row r="37" s="44" customFormat="1"/>
    <row r="38" s="44" customFormat="1"/>
    <row r="39" s="44" customFormat="1"/>
    <row r="40" s="44" customFormat="1"/>
    <row r="41" s="44" customFormat="1"/>
    <row r="42" s="44" customFormat="1"/>
    <row r="43" s="44" customFormat="1"/>
    <row r="44" s="44" customFormat="1"/>
    <row r="45" s="44" customFormat="1"/>
    <row r="46" s="44" customFormat="1"/>
    <row r="47" s="44" customFormat="1"/>
    <row r="48" s="44" customFormat="1"/>
    <row r="49" s="44" customFormat="1"/>
    <row r="50" s="44" customFormat="1"/>
    <row r="51" s="44" customFormat="1"/>
    <row r="52" s="44" customFormat="1"/>
    <row r="53" s="44" customFormat="1"/>
    <row r="54" s="44" customFormat="1"/>
    <row r="55" s="44" customFormat="1"/>
    <row r="56" s="44" customFormat="1"/>
    <row r="57" s="44" customFormat="1"/>
    <row r="58" s="44" customFormat="1"/>
    <row r="59" s="44" customFormat="1"/>
    <row r="60" s="44" customFormat="1"/>
    <row r="61" s="44" customFormat="1"/>
    <row r="62" s="44" customFormat="1"/>
    <row r="63" s="44" customFormat="1"/>
    <row r="64" s="44" customFormat="1"/>
    <row r="65" s="44" customFormat="1"/>
    <row r="66" s="44" customFormat="1"/>
    <row r="67" s="44" customFormat="1"/>
    <row r="68" s="44" customFormat="1"/>
    <row r="69" s="44" customFormat="1"/>
    <row r="70" s="44" customFormat="1"/>
    <row r="71" s="44" customFormat="1"/>
    <row r="72" s="44" customFormat="1"/>
    <row r="73" s="44" customFormat="1"/>
    <row r="74" s="44" customFormat="1"/>
    <row r="75" s="44" customFormat="1"/>
    <row r="76" s="44" customFormat="1"/>
    <row r="77" s="44" customFormat="1"/>
    <row r="78" s="44" customFormat="1"/>
    <row r="79" s="44" customFormat="1"/>
    <row r="80" s="44" customFormat="1"/>
    <row r="81" s="44" customFormat="1"/>
    <row r="82" s="44" customFormat="1"/>
    <row r="83" s="44" customFormat="1"/>
    <row r="84" s="44" customFormat="1"/>
    <row r="85" s="44" customFormat="1"/>
    <row r="86" s="44" customFormat="1"/>
    <row r="87" s="44" customFormat="1"/>
    <row r="88" s="44" customFormat="1"/>
    <row r="89" s="44" customFormat="1"/>
    <row r="90" s="44" customFormat="1"/>
    <row r="91" s="44" customFormat="1"/>
    <row r="92" s="44" customFormat="1"/>
    <row r="93" s="44" customFormat="1"/>
    <row r="94" s="44" customFormat="1"/>
    <row r="95" s="44" customFormat="1"/>
    <row r="96" s="44" customFormat="1"/>
    <row r="97" s="44" customFormat="1"/>
    <row r="98" s="44" customFormat="1"/>
    <row r="99" s="44" customFormat="1"/>
    <row r="100" s="44" customFormat="1"/>
    <row r="101" s="44" customFormat="1"/>
    <row r="102" s="44" customFormat="1"/>
    <row r="103" s="44" customFormat="1"/>
    <row r="104" s="44" customFormat="1"/>
    <row r="105" s="44" customFormat="1"/>
    <row r="106" s="44" customFormat="1"/>
    <row r="107" s="44" customFormat="1"/>
    <row r="108" s="44" customFormat="1"/>
    <row r="109" s="44" customFormat="1"/>
    <row r="110" s="44" customFormat="1"/>
    <row r="111" s="44" customFormat="1"/>
    <row r="112" s="44" customFormat="1"/>
    <row r="113" s="44" customFormat="1"/>
    <row r="114" s="44" customFormat="1"/>
    <row r="115" s="44" customFormat="1"/>
    <row r="116" s="44" customFormat="1"/>
    <row r="117" s="44" customFormat="1"/>
    <row r="118" s="44" customFormat="1"/>
    <row r="119" s="44" customFormat="1"/>
    <row r="120" s="44" customFormat="1"/>
    <row r="121" s="44" customFormat="1"/>
    <row r="122" s="44" customFormat="1"/>
    <row r="123" s="44" customFormat="1"/>
    <row r="124" s="44" customFormat="1"/>
    <row r="125" s="44" customFormat="1"/>
    <row r="126" s="44" customFormat="1"/>
    <row r="127" s="44" customFormat="1"/>
    <row r="128" s="44" customFormat="1"/>
    <row r="129" s="44" customFormat="1"/>
    <row r="130" s="44" customFormat="1"/>
    <row r="131" s="44" customFormat="1"/>
    <row r="132" s="44" customFormat="1"/>
    <row r="133" s="44" customFormat="1"/>
    <row r="134" s="44" customFormat="1"/>
    <row r="135" s="44" customFormat="1"/>
    <row r="136" s="44" customFormat="1"/>
    <row r="137" s="44" customFormat="1"/>
    <row r="138" s="44" customFormat="1"/>
    <row r="139" s="44" customFormat="1"/>
    <row r="140" s="44" customFormat="1"/>
    <row r="141" s="44" customFormat="1"/>
    <row r="142" s="44" customFormat="1"/>
    <row r="143" s="44" customFormat="1"/>
    <row r="144" s="44" customFormat="1"/>
    <row r="145" s="44" customFormat="1"/>
    <row r="146" s="44" customFormat="1"/>
    <row r="147" s="44" customFormat="1"/>
    <row r="148" s="44" customFormat="1"/>
    <row r="149" s="44" customFormat="1"/>
    <row r="150" s="44" customFormat="1"/>
    <row r="151" s="44" customFormat="1"/>
    <row r="152" s="44" customFormat="1"/>
    <row r="153" s="44" customFormat="1"/>
    <row r="154" s="44" customFormat="1"/>
    <row r="155" s="44" customFormat="1"/>
    <row r="156" s="44" customFormat="1"/>
    <row r="157" s="44" customFormat="1"/>
    <row r="158" s="44" customFormat="1"/>
    <row r="159" s="44" customFormat="1"/>
    <row r="160" s="44" customFormat="1"/>
    <row r="161" s="44" customFormat="1"/>
    <row r="162" s="44" customFormat="1"/>
    <row r="163" s="44" customFormat="1"/>
    <row r="164" s="44" customFormat="1"/>
    <row r="165" s="44" customFormat="1"/>
    <row r="166" s="44" customFormat="1"/>
    <row r="167" s="44" customFormat="1"/>
    <row r="168" s="44" customFormat="1"/>
    <row r="169" s="44" customFormat="1"/>
    <row r="170" s="44" customFormat="1"/>
    <row r="171" s="44" customFormat="1"/>
    <row r="172" s="44" customFormat="1"/>
    <row r="173" s="44" customFormat="1"/>
    <row r="174" s="44" customFormat="1"/>
    <row r="175" s="44" customFormat="1"/>
    <row r="176" s="44" customFormat="1"/>
    <row r="177" s="44" customFormat="1"/>
    <row r="178" s="44" customFormat="1"/>
    <row r="179" s="44" customFormat="1"/>
    <row r="180" s="44" customFormat="1"/>
    <row r="181" s="44" customFormat="1"/>
    <row r="182" s="44" customFormat="1"/>
    <row r="183" s="44" customFormat="1"/>
    <row r="184" s="44" customFormat="1"/>
    <row r="185" s="44" customFormat="1"/>
    <row r="186" s="44" customFormat="1"/>
    <row r="187" s="44" customFormat="1"/>
    <row r="188" s="44" customFormat="1"/>
    <row r="189" s="44" customFormat="1"/>
    <row r="190" s="44" customFormat="1"/>
    <row r="191" s="44" customFormat="1"/>
    <row r="192" s="44" customFormat="1"/>
    <row r="193" s="44" customFormat="1"/>
    <row r="194" s="44" customFormat="1"/>
    <row r="195" s="44" customFormat="1"/>
    <row r="196" s="44" customFormat="1"/>
    <row r="197" s="44" customFormat="1"/>
    <row r="198" s="44" customFormat="1"/>
    <row r="199" s="44" customFormat="1"/>
    <row r="200" s="44" customFormat="1"/>
    <row r="201" s="44" customFormat="1"/>
    <row r="202" s="44" customFormat="1"/>
    <row r="203" s="44" customFormat="1"/>
    <row r="204" s="44" customFormat="1"/>
    <row r="205" s="44" customFormat="1"/>
    <row r="206" s="44" customFormat="1"/>
    <row r="207" s="44" customFormat="1"/>
    <row r="208" s="44" customFormat="1"/>
    <row r="209" s="44" customFormat="1"/>
    <row r="210" s="44" customFormat="1"/>
    <row r="211" s="44" customFormat="1"/>
    <row r="212" s="44" customFormat="1"/>
    <row r="213" s="44" customFormat="1"/>
    <row r="214" s="44" customFormat="1"/>
    <row r="215" s="44" customFormat="1"/>
    <row r="216" s="44" customFormat="1"/>
    <row r="217" s="44" customFormat="1"/>
    <row r="218" s="44" customFormat="1"/>
    <row r="219" s="44" customFormat="1"/>
    <row r="220" s="44" customFormat="1"/>
    <row r="221" s="44" customFormat="1"/>
    <row r="222" s="44" customFormat="1"/>
    <row r="223" s="44" customFormat="1"/>
    <row r="224" s="44" customFormat="1"/>
    <row r="225" s="44" customFormat="1"/>
    <row r="226" s="44" customFormat="1"/>
    <row r="227" s="44" customFormat="1"/>
    <row r="228" s="44" customFormat="1"/>
    <row r="229" s="44" customFormat="1"/>
    <row r="230" s="44" customFormat="1"/>
    <row r="231" s="44" customFormat="1"/>
    <row r="232" s="44" customFormat="1"/>
    <row r="233" s="44" customFormat="1"/>
    <row r="234" s="44" customFormat="1"/>
    <row r="235" s="44" customFormat="1"/>
    <row r="236" s="44" customFormat="1"/>
    <row r="237" s="44" customFormat="1"/>
    <row r="238" s="44" customFormat="1"/>
    <row r="239" s="44" customFormat="1"/>
    <row r="240" s="44" customFormat="1"/>
    <row r="241" s="44" customFormat="1"/>
    <row r="242" s="44" customFormat="1"/>
    <row r="243" s="44" customFormat="1"/>
    <row r="244" s="44" customFormat="1"/>
    <row r="245" s="44" customFormat="1"/>
    <row r="246" s="44" customFormat="1"/>
    <row r="247" s="44" customFormat="1"/>
    <row r="248" s="44" customFormat="1"/>
    <row r="249" s="44" customFormat="1"/>
    <row r="250" s="44" customFormat="1"/>
    <row r="251" s="44" customFormat="1"/>
    <row r="252" s="44" customForma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B5010-FAB8-4D50-85F0-24F7571BDDB6}">
  <sheetPr codeName="Sheet61"/>
  <dimension ref="A1:XFB305"/>
  <sheetViews>
    <sheetView workbookViewId="0">
      <selection activeCell="C22" sqref="C22"/>
    </sheetView>
  </sheetViews>
  <sheetFormatPr defaultColWidth="32.140625" defaultRowHeight="15"/>
  <cols>
    <col min="1" max="1" width="7.140625" style="31" bestFit="1" customWidth="1"/>
    <col min="2" max="2" width="28.140625" style="31" bestFit="1" customWidth="1"/>
    <col min="3" max="3" width="4.5703125" style="31" bestFit="1" customWidth="1"/>
    <col min="4" max="4" width="9" style="31" bestFit="1" customWidth="1"/>
    <col min="5" max="5" width="24.42578125" style="31" bestFit="1" customWidth="1"/>
    <col min="6" max="6" width="48.140625" style="31" bestFit="1" customWidth="1"/>
    <col min="7" max="7" width="48.140625" style="31" customWidth="1"/>
    <col min="8" max="8" width="5.28515625" style="31" bestFit="1" customWidth="1"/>
    <col min="9" max="9" width="5.5703125" style="60" customWidth="1"/>
    <col min="10" max="16381" width="32.140625" style="60"/>
    <col min="16382" max="16382" width="1.7109375" style="60" customWidth="1"/>
    <col min="16383" max="16384" width="17.7109375" style="31" customWidth="1"/>
  </cols>
  <sheetData>
    <row r="1" spans="1:9" s="31" customFormat="1">
      <c r="A1" s="58" t="s">
        <v>238</v>
      </c>
      <c r="B1" s="58"/>
      <c r="C1" s="58"/>
      <c r="D1" s="58"/>
      <c r="E1" s="58"/>
      <c r="F1" s="58"/>
      <c r="G1" s="58"/>
      <c r="H1" s="58"/>
      <c r="I1" s="58"/>
    </row>
    <row r="2" spans="1:9" s="31" customFormat="1">
      <c r="A2" s="10" t="s">
        <v>350</v>
      </c>
      <c r="B2" s="10" t="s">
        <v>156</v>
      </c>
      <c r="C2" s="10" t="s">
        <v>157</v>
      </c>
      <c r="D2" s="10" t="s">
        <v>239</v>
      </c>
      <c r="E2" s="10" t="s">
        <v>159</v>
      </c>
      <c r="F2" s="10" t="s">
        <v>1684</v>
      </c>
      <c r="G2" s="10" t="s">
        <v>1685</v>
      </c>
      <c r="H2" s="10" t="s">
        <v>5367</v>
      </c>
      <c r="I2" s="10" t="s">
        <v>5366</v>
      </c>
    </row>
    <row r="3" spans="1:9" s="31" customFormat="1">
      <c r="A3" s="59">
        <v>1</v>
      </c>
      <c r="B3" s="59" t="s">
        <v>724</v>
      </c>
      <c r="C3" s="59">
        <v>8</v>
      </c>
      <c r="D3" s="59" t="s">
        <v>160</v>
      </c>
      <c r="E3" s="59" t="s">
        <v>177</v>
      </c>
      <c r="F3" s="59" t="s">
        <v>1686</v>
      </c>
      <c r="G3" s="59" t="s">
        <v>1687</v>
      </c>
      <c r="H3" s="59" t="s">
        <v>5384</v>
      </c>
      <c r="I3" s="59" t="s">
        <v>5387</v>
      </c>
    </row>
    <row r="4" spans="1:9" s="31" customFormat="1" ht="16.5">
      <c r="A4" s="59">
        <v>2</v>
      </c>
      <c r="B4" s="59" t="s">
        <v>726</v>
      </c>
      <c r="C4" s="63">
        <v>2</v>
      </c>
      <c r="D4" s="59" t="s">
        <v>242</v>
      </c>
      <c r="E4" s="59"/>
      <c r="F4" s="59" t="s">
        <v>6854</v>
      </c>
      <c r="G4" s="59" t="s">
        <v>6855</v>
      </c>
      <c r="H4" s="59"/>
      <c r="I4" s="59" t="s">
        <v>5382</v>
      </c>
    </row>
    <row r="5" spans="1:9" s="31" customFormat="1" ht="16.5">
      <c r="A5" s="59">
        <v>3</v>
      </c>
      <c r="B5" s="59" t="s">
        <v>727</v>
      </c>
      <c r="C5" s="63">
        <v>1</v>
      </c>
      <c r="D5" s="59" t="s">
        <v>242</v>
      </c>
      <c r="E5" s="59"/>
      <c r="F5" s="59" t="s">
        <v>6856</v>
      </c>
      <c r="G5" s="59" t="s">
        <v>6857</v>
      </c>
      <c r="H5" s="59"/>
      <c r="I5" s="59"/>
    </row>
    <row r="6" spans="1:9" s="31" customFormat="1" ht="16.5">
      <c r="A6" s="59">
        <v>4</v>
      </c>
      <c r="B6" s="59" t="s">
        <v>6787</v>
      </c>
      <c r="C6" s="63">
        <v>30</v>
      </c>
      <c r="D6" s="59" t="s">
        <v>242</v>
      </c>
      <c r="E6" s="59"/>
      <c r="F6" s="59" t="s">
        <v>6858</v>
      </c>
      <c r="G6" s="59" t="s">
        <v>6859</v>
      </c>
      <c r="H6" s="59"/>
      <c r="I6" s="59" t="s">
        <v>1291</v>
      </c>
    </row>
    <row r="7" spans="1:9" s="31" customFormat="1" ht="16.5">
      <c r="A7" s="59">
        <v>5</v>
      </c>
      <c r="B7" s="59" t="s">
        <v>6788</v>
      </c>
      <c r="C7" s="63">
        <v>30</v>
      </c>
      <c r="D7" s="59" t="s">
        <v>242</v>
      </c>
      <c r="E7" s="59"/>
      <c r="F7" s="59" t="s">
        <v>6860</v>
      </c>
      <c r="G7" s="59" t="s">
        <v>6861</v>
      </c>
      <c r="H7" s="59"/>
      <c r="I7" s="59" t="s">
        <v>1291</v>
      </c>
    </row>
    <row r="8" spans="1:9" s="31" customFormat="1" ht="16.5">
      <c r="A8" s="59">
        <v>6</v>
      </c>
      <c r="B8" s="59" t="s">
        <v>6789</v>
      </c>
      <c r="C8" s="63">
        <v>14</v>
      </c>
      <c r="D8" s="59" t="s">
        <v>242</v>
      </c>
      <c r="E8" s="59"/>
      <c r="F8" s="59" t="s">
        <v>6862</v>
      </c>
      <c r="G8" s="59" t="s">
        <v>6863</v>
      </c>
      <c r="H8" s="59"/>
      <c r="I8" s="59"/>
    </row>
    <row r="9" spans="1:9" s="31" customFormat="1" ht="16.5">
      <c r="A9" s="59">
        <v>7</v>
      </c>
      <c r="B9" s="59" t="s">
        <v>6790</v>
      </c>
      <c r="C9" s="63">
        <v>4</v>
      </c>
      <c r="D9" s="59" t="s">
        <v>242</v>
      </c>
      <c r="E9" s="59"/>
      <c r="F9" s="59" t="s">
        <v>6864</v>
      </c>
      <c r="G9" s="59" t="s">
        <v>6865</v>
      </c>
      <c r="H9" s="59"/>
      <c r="I9" s="59"/>
    </row>
    <row r="10" spans="1:9" s="31" customFormat="1" ht="16.5">
      <c r="A10" s="59">
        <v>8</v>
      </c>
      <c r="B10" s="59" t="s">
        <v>6791</v>
      </c>
      <c r="C10" s="63">
        <v>30</v>
      </c>
      <c r="D10" s="59" t="s">
        <v>242</v>
      </c>
      <c r="E10" s="59"/>
      <c r="F10" s="59" t="s">
        <v>6866</v>
      </c>
      <c r="G10" s="59" t="s">
        <v>6867</v>
      </c>
      <c r="H10" s="59"/>
      <c r="I10" s="59"/>
    </row>
    <row r="11" spans="1:9" s="31" customFormat="1" ht="16.5">
      <c r="A11" s="59">
        <v>9</v>
      </c>
      <c r="B11" s="59" t="s">
        <v>6792</v>
      </c>
      <c r="C11" s="63">
        <v>30</v>
      </c>
      <c r="D11" s="59" t="s">
        <v>242</v>
      </c>
      <c r="E11" s="59"/>
      <c r="F11" s="59" t="s">
        <v>6868</v>
      </c>
      <c r="G11" s="59" t="s">
        <v>6869</v>
      </c>
      <c r="H11" s="59"/>
    </row>
    <row r="12" spans="1:9" s="31" customFormat="1" ht="30">
      <c r="A12" s="59">
        <v>10</v>
      </c>
      <c r="B12" s="59" t="s">
        <v>6793</v>
      </c>
      <c r="C12" s="63">
        <v>2</v>
      </c>
      <c r="D12" s="59" t="s">
        <v>242</v>
      </c>
      <c r="E12" s="59"/>
      <c r="F12" s="59" t="s">
        <v>6870</v>
      </c>
      <c r="G12" s="59" t="s">
        <v>6871</v>
      </c>
      <c r="H12" s="59"/>
      <c r="I12" s="59"/>
    </row>
    <row r="13" spans="1:9" s="31" customFormat="1" ht="16.5">
      <c r="A13" s="59">
        <v>11</v>
      </c>
      <c r="B13" s="59" t="s">
        <v>6794</v>
      </c>
      <c r="C13" s="63">
        <v>1</v>
      </c>
      <c r="D13" s="59" t="s">
        <v>242</v>
      </c>
      <c r="E13" s="59"/>
      <c r="F13" s="59" t="s">
        <v>6872</v>
      </c>
      <c r="G13" s="59" t="s">
        <v>6873</v>
      </c>
      <c r="H13" s="59"/>
      <c r="I13" s="59"/>
    </row>
    <row r="14" spans="1:9" s="31" customFormat="1" ht="16.5">
      <c r="A14" s="59">
        <v>12</v>
      </c>
      <c r="B14" s="59" t="s">
        <v>728</v>
      </c>
      <c r="C14" s="63">
        <v>14</v>
      </c>
      <c r="D14" s="59" t="s">
        <v>242</v>
      </c>
      <c r="E14" s="59"/>
      <c r="F14" s="59" t="s">
        <v>6874</v>
      </c>
      <c r="G14" s="59" t="s">
        <v>6875</v>
      </c>
      <c r="H14" s="59"/>
      <c r="I14" s="59"/>
    </row>
    <row r="15" spans="1:9" s="31" customFormat="1" ht="16.5">
      <c r="A15" s="59">
        <v>13</v>
      </c>
      <c r="B15" s="59" t="s">
        <v>6795</v>
      </c>
      <c r="C15" s="63">
        <v>14</v>
      </c>
      <c r="D15" s="59" t="s">
        <v>242</v>
      </c>
      <c r="E15" s="59"/>
      <c r="F15" s="59" t="s">
        <v>6876</v>
      </c>
      <c r="G15" s="59" t="s">
        <v>6877</v>
      </c>
      <c r="H15" s="59"/>
      <c r="I15" s="59"/>
    </row>
    <row r="16" spans="1:9" s="31" customFormat="1" ht="16.5">
      <c r="A16" s="59">
        <v>14</v>
      </c>
      <c r="B16" s="59" t="s">
        <v>6796</v>
      </c>
      <c r="C16" s="63">
        <v>14</v>
      </c>
      <c r="D16" s="59" t="s">
        <v>242</v>
      </c>
      <c r="E16" s="59"/>
      <c r="F16" s="59" t="s">
        <v>6878</v>
      </c>
      <c r="G16" s="59" t="s">
        <v>6879</v>
      </c>
      <c r="H16" s="59"/>
      <c r="I16" s="59"/>
    </row>
    <row r="17" spans="1:9" s="31" customFormat="1" ht="16.5">
      <c r="A17" s="59">
        <v>15</v>
      </c>
      <c r="B17" s="59" t="s">
        <v>6797</v>
      </c>
      <c r="C17" s="63">
        <v>14</v>
      </c>
      <c r="D17" s="59" t="s">
        <v>242</v>
      </c>
      <c r="E17" s="59"/>
      <c r="F17" s="59" t="s">
        <v>6880</v>
      </c>
      <c r="G17" s="59" t="s">
        <v>6881</v>
      </c>
      <c r="H17" s="59"/>
      <c r="I17" s="59"/>
    </row>
    <row r="18" spans="1:9" s="31" customFormat="1" ht="16.5">
      <c r="A18" s="59">
        <v>16</v>
      </c>
      <c r="B18" s="59" t="s">
        <v>6798</v>
      </c>
      <c r="C18" s="63">
        <v>14</v>
      </c>
      <c r="D18" s="59" t="s">
        <v>242</v>
      </c>
      <c r="E18" s="59"/>
      <c r="F18" s="59" t="s">
        <v>6882</v>
      </c>
      <c r="G18" s="59" t="s">
        <v>6883</v>
      </c>
      <c r="H18" s="59"/>
      <c r="I18" s="59"/>
    </row>
    <row r="19" spans="1:9" s="31" customFormat="1" ht="16.5">
      <c r="A19" s="59">
        <v>17</v>
      </c>
      <c r="B19" s="59" t="s">
        <v>6799</v>
      </c>
      <c r="C19" s="63">
        <v>14</v>
      </c>
      <c r="D19" s="59" t="s">
        <v>242</v>
      </c>
      <c r="E19" s="59"/>
      <c r="F19" s="59" t="s">
        <v>6884</v>
      </c>
      <c r="G19" s="59" t="s">
        <v>6885</v>
      </c>
      <c r="H19" s="59"/>
      <c r="I19" s="59"/>
    </row>
    <row r="20" spans="1:9" s="31" customFormat="1" ht="16.5">
      <c r="A20" s="59">
        <v>18</v>
      </c>
      <c r="B20" s="59" t="s">
        <v>6800</v>
      </c>
      <c r="C20" s="63">
        <v>14</v>
      </c>
      <c r="D20" s="59" t="s">
        <v>242</v>
      </c>
      <c r="E20" s="59"/>
      <c r="F20" s="59" t="s">
        <v>6886</v>
      </c>
      <c r="G20" s="59" t="s">
        <v>6887</v>
      </c>
      <c r="H20" s="59"/>
      <c r="I20" s="59"/>
    </row>
    <row r="21" spans="1:9" s="31" customFormat="1" ht="16.5">
      <c r="A21" s="59">
        <v>19</v>
      </c>
      <c r="B21" s="59" t="s">
        <v>6801</v>
      </c>
      <c r="C21" s="63">
        <v>14</v>
      </c>
      <c r="D21" s="59" t="s">
        <v>242</v>
      </c>
      <c r="E21" s="59"/>
      <c r="F21" s="59" t="s">
        <v>6888</v>
      </c>
      <c r="G21" s="59" t="s">
        <v>6889</v>
      </c>
      <c r="H21" s="59"/>
      <c r="I21" s="59"/>
    </row>
    <row r="22" spans="1:9" s="31" customFormat="1" ht="16.5">
      <c r="A22" s="59">
        <v>20</v>
      </c>
      <c r="B22" s="59" t="s">
        <v>6802</v>
      </c>
      <c r="C22" s="63">
        <v>14</v>
      </c>
      <c r="D22" s="59" t="s">
        <v>242</v>
      </c>
      <c r="E22" s="59"/>
      <c r="F22" s="59" t="s">
        <v>6890</v>
      </c>
      <c r="G22" s="59" t="s">
        <v>6891</v>
      </c>
      <c r="H22" s="59"/>
      <c r="I22" s="59"/>
    </row>
    <row r="23" spans="1:9" s="31" customFormat="1" ht="16.5">
      <c r="A23" s="59">
        <v>21</v>
      </c>
      <c r="B23" s="59" t="s">
        <v>6803</v>
      </c>
      <c r="C23" s="63">
        <v>14</v>
      </c>
      <c r="D23" s="59" t="s">
        <v>242</v>
      </c>
      <c r="E23" s="59"/>
      <c r="F23" s="59" t="s">
        <v>6892</v>
      </c>
      <c r="G23" s="59" t="s">
        <v>6893</v>
      </c>
      <c r="H23" s="59"/>
      <c r="I23" s="59"/>
    </row>
    <row r="24" spans="1:9" s="31" customFormat="1" ht="16.5">
      <c r="A24" s="59">
        <v>22</v>
      </c>
      <c r="B24" s="59" t="s">
        <v>6804</v>
      </c>
      <c r="C24" s="63">
        <v>14</v>
      </c>
      <c r="D24" s="59" t="s">
        <v>242</v>
      </c>
      <c r="E24" s="59"/>
      <c r="F24" s="59" t="s">
        <v>6894</v>
      </c>
      <c r="G24" s="59" t="s">
        <v>6895</v>
      </c>
      <c r="H24" s="59"/>
      <c r="I24" s="59"/>
    </row>
    <row r="25" spans="1:9" s="31" customFormat="1" ht="16.5">
      <c r="A25" s="59">
        <v>23</v>
      </c>
      <c r="B25" s="59" t="s">
        <v>6805</v>
      </c>
      <c r="C25" s="63">
        <v>14</v>
      </c>
      <c r="D25" s="59" t="s">
        <v>242</v>
      </c>
      <c r="E25" s="59"/>
      <c r="F25" s="59" t="s">
        <v>6896</v>
      </c>
      <c r="G25" s="59" t="s">
        <v>6897</v>
      </c>
      <c r="H25" s="59"/>
      <c r="I25" s="59"/>
    </row>
    <row r="26" spans="1:9" s="31" customFormat="1" ht="16.5">
      <c r="A26" s="59">
        <v>24</v>
      </c>
      <c r="B26" s="59" t="s">
        <v>6806</v>
      </c>
      <c r="C26" s="63">
        <v>14</v>
      </c>
      <c r="D26" s="59" t="s">
        <v>242</v>
      </c>
      <c r="E26" s="59"/>
      <c r="F26" s="59" t="s">
        <v>6898</v>
      </c>
      <c r="G26" s="59" t="s">
        <v>6899</v>
      </c>
      <c r="H26" s="59"/>
      <c r="I26" s="59"/>
    </row>
    <row r="27" spans="1:9" s="31" customFormat="1" ht="16.5">
      <c r="A27" s="59">
        <v>25</v>
      </c>
      <c r="B27" s="59" t="s">
        <v>6807</v>
      </c>
      <c r="C27" s="63">
        <v>14</v>
      </c>
      <c r="D27" s="59" t="s">
        <v>242</v>
      </c>
      <c r="E27" s="59"/>
      <c r="F27" s="59" t="s">
        <v>6900</v>
      </c>
      <c r="G27" s="59" t="s">
        <v>6901</v>
      </c>
      <c r="H27" s="59"/>
      <c r="I27" s="59"/>
    </row>
    <row r="28" spans="1:9" s="31" customFormat="1" ht="16.5">
      <c r="A28" s="59">
        <v>26</v>
      </c>
      <c r="B28" s="59" t="s">
        <v>6808</v>
      </c>
      <c r="C28" s="63">
        <v>14</v>
      </c>
      <c r="D28" s="59" t="s">
        <v>242</v>
      </c>
      <c r="E28" s="59"/>
      <c r="F28" s="59" t="s">
        <v>6902</v>
      </c>
      <c r="G28" s="59" t="s">
        <v>6903</v>
      </c>
      <c r="H28" s="59"/>
      <c r="I28" s="59"/>
    </row>
    <row r="29" spans="1:9" s="31" customFormat="1" ht="16.5">
      <c r="A29" s="59">
        <v>27</v>
      </c>
      <c r="B29" s="59" t="s">
        <v>6809</v>
      </c>
      <c r="C29" s="63">
        <v>1</v>
      </c>
      <c r="D29" s="59" t="s">
        <v>242</v>
      </c>
      <c r="E29" s="59"/>
      <c r="F29" s="59" t="s">
        <v>6904</v>
      </c>
      <c r="G29" s="59" t="s">
        <v>6905</v>
      </c>
      <c r="H29" s="59"/>
      <c r="I29" s="59"/>
    </row>
    <row r="30" spans="1:9" s="31" customFormat="1" ht="16.5">
      <c r="A30" s="59">
        <v>28</v>
      </c>
      <c r="B30" s="59" t="s">
        <v>6810</v>
      </c>
      <c r="C30" s="63">
        <v>14</v>
      </c>
      <c r="D30" s="59" t="s">
        <v>242</v>
      </c>
      <c r="E30" s="59"/>
      <c r="F30" s="59" t="s">
        <v>6906</v>
      </c>
      <c r="G30" s="59" t="s">
        <v>6907</v>
      </c>
      <c r="H30" s="59"/>
      <c r="I30" s="59"/>
    </row>
    <row r="31" spans="1:9" s="31" customFormat="1" ht="16.5">
      <c r="A31" s="59">
        <v>29</v>
      </c>
      <c r="B31" s="59" t="s">
        <v>6811</v>
      </c>
      <c r="C31" s="63">
        <v>14</v>
      </c>
      <c r="D31" s="59" t="s">
        <v>242</v>
      </c>
      <c r="E31" s="59"/>
      <c r="F31" s="59" t="s">
        <v>6908</v>
      </c>
      <c r="G31" s="59" t="s">
        <v>6909</v>
      </c>
      <c r="H31" s="59"/>
      <c r="I31" s="59"/>
    </row>
    <row r="32" spans="1:9" s="31" customFormat="1" ht="16.5">
      <c r="A32" s="59">
        <v>30</v>
      </c>
      <c r="B32" s="59" t="s">
        <v>6812</v>
      </c>
      <c r="C32" s="63">
        <v>10</v>
      </c>
      <c r="D32" s="59" t="s">
        <v>242</v>
      </c>
      <c r="E32" s="59"/>
      <c r="F32" s="59" t="s">
        <v>6910</v>
      </c>
      <c r="G32" s="59" t="s">
        <v>6911</v>
      </c>
      <c r="H32" s="59"/>
      <c r="I32" s="59"/>
    </row>
    <row r="33" spans="1:9" s="31" customFormat="1" ht="16.5">
      <c r="A33" s="59">
        <v>31</v>
      </c>
      <c r="B33" s="59" t="s">
        <v>6813</v>
      </c>
      <c r="C33" s="63">
        <v>1</v>
      </c>
      <c r="D33" s="59" t="s">
        <v>242</v>
      </c>
      <c r="E33" s="59"/>
      <c r="F33" s="59" t="s">
        <v>6912</v>
      </c>
      <c r="G33" s="59" t="s">
        <v>6913</v>
      </c>
      <c r="H33" s="59"/>
      <c r="I33" s="59"/>
    </row>
    <row r="34" spans="1:9" s="31" customFormat="1" ht="16.5">
      <c r="A34" s="59">
        <v>32</v>
      </c>
      <c r="B34" s="59" t="s">
        <v>6814</v>
      </c>
      <c r="C34" s="63">
        <v>14</v>
      </c>
      <c r="D34" s="59" t="s">
        <v>242</v>
      </c>
      <c r="E34" s="59"/>
      <c r="F34" s="59" t="s">
        <v>6914</v>
      </c>
      <c r="G34" s="59" t="s">
        <v>6915</v>
      </c>
      <c r="H34" s="59"/>
      <c r="I34" s="59"/>
    </row>
    <row r="35" spans="1:9" s="31" customFormat="1" ht="16.5">
      <c r="A35" s="59">
        <v>33</v>
      </c>
      <c r="B35" s="59" t="s">
        <v>6815</v>
      </c>
      <c r="C35" s="63">
        <v>3</v>
      </c>
      <c r="D35" s="59" t="s">
        <v>242</v>
      </c>
      <c r="E35" s="59"/>
      <c r="F35" s="59" t="s">
        <v>6916</v>
      </c>
      <c r="G35" s="59" t="s">
        <v>6917</v>
      </c>
      <c r="H35" s="59"/>
      <c r="I35" s="59"/>
    </row>
    <row r="36" spans="1:9" s="31" customFormat="1" ht="16.5">
      <c r="A36" s="59">
        <v>34</v>
      </c>
      <c r="B36" s="59" t="s">
        <v>6816</v>
      </c>
      <c r="C36" s="63">
        <v>1</v>
      </c>
      <c r="D36" s="59" t="s">
        <v>242</v>
      </c>
      <c r="E36" s="59"/>
      <c r="F36" s="59" t="s">
        <v>6918</v>
      </c>
      <c r="G36" s="59" t="s">
        <v>6919</v>
      </c>
      <c r="H36" s="59"/>
      <c r="I36" s="59"/>
    </row>
    <row r="37" spans="1:9" s="31" customFormat="1" ht="16.5">
      <c r="A37" s="59">
        <v>35</v>
      </c>
      <c r="B37" s="59" t="s">
        <v>6817</v>
      </c>
      <c r="C37" s="63">
        <v>1</v>
      </c>
      <c r="D37" s="59" t="s">
        <v>242</v>
      </c>
      <c r="E37" s="59"/>
      <c r="F37" s="59" t="s">
        <v>6920</v>
      </c>
      <c r="G37" s="59" t="s">
        <v>6921</v>
      </c>
      <c r="H37" s="59"/>
      <c r="I37" s="59"/>
    </row>
    <row r="38" spans="1:9" s="31" customFormat="1" ht="16.5">
      <c r="A38" s="59">
        <v>36</v>
      </c>
      <c r="B38" s="59" t="s">
        <v>6818</v>
      </c>
      <c r="C38" s="63">
        <v>1</v>
      </c>
      <c r="D38" s="59" t="s">
        <v>242</v>
      </c>
      <c r="E38" s="59"/>
      <c r="F38" s="59" t="s">
        <v>6922</v>
      </c>
      <c r="G38" s="59" t="s">
        <v>6923</v>
      </c>
      <c r="H38" s="59"/>
      <c r="I38" s="59"/>
    </row>
    <row r="39" spans="1:9" s="31" customFormat="1" ht="16.5">
      <c r="A39" s="59">
        <v>37</v>
      </c>
      <c r="B39" s="59" t="s">
        <v>6819</v>
      </c>
      <c r="C39" s="63">
        <v>1</v>
      </c>
      <c r="D39" s="59" t="s">
        <v>242</v>
      </c>
      <c r="E39" s="59"/>
      <c r="F39" s="59" t="s">
        <v>6924</v>
      </c>
      <c r="G39" s="59" t="s">
        <v>6925</v>
      </c>
      <c r="H39" s="59"/>
      <c r="I39" s="59"/>
    </row>
    <row r="40" spans="1:9" s="31" customFormat="1" ht="16.5">
      <c r="A40" s="59">
        <v>38</v>
      </c>
      <c r="B40" s="59" t="s">
        <v>6820</v>
      </c>
      <c r="C40" s="63">
        <v>1</v>
      </c>
      <c r="D40" s="59" t="s">
        <v>242</v>
      </c>
      <c r="E40" s="59"/>
      <c r="F40" s="59" t="s">
        <v>6926</v>
      </c>
      <c r="G40" s="59" t="s">
        <v>6927</v>
      </c>
      <c r="H40" s="59"/>
      <c r="I40" s="59"/>
    </row>
    <row r="41" spans="1:9" s="31" customFormat="1" ht="16.5">
      <c r="A41" s="59">
        <v>39</v>
      </c>
      <c r="B41" s="59" t="s">
        <v>6821</v>
      </c>
      <c r="C41" s="63">
        <v>1</v>
      </c>
      <c r="D41" s="59" t="s">
        <v>242</v>
      </c>
      <c r="E41" s="59"/>
      <c r="F41" s="59" t="s">
        <v>6928</v>
      </c>
      <c r="G41" s="59" t="s">
        <v>6929</v>
      </c>
      <c r="H41" s="59"/>
      <c r="I41" s="59"/>
    </row>
    <row r="42" spans="1:9" s="31" customFormat="1" ht="16.5">
      <c r="A42" s="59">
        <v>40</v>
      </c>
      <c r="B42" s="59" t="s">
        <v>6822</v>
      </c>
      <c r="C42" s="63">
        <v>15</v>
      </c>
      <c r="D42" s="59" t="s">
        <v>242</v>
      </c>
      <c r="E42" s="59"/>
      <c r="F42" s="59" t="s">
        <v>6930</v>
      </c>
      <c r="G42" s="59" t="s">
        <v>6931</v>
      </c>
      <c r="H42" s="59"/>
      <c r="I42" s="59"/>
    </row>
    <row r="43" spans="1:9" s="31" customFormat="1" ht="16.5">
      <c r="A43" s="59">
        <v>41</v>
      </c>
      <c r="B43" s="59" t="s">
        <v>6823</v>
      </c>
      <c r="C43" s="63">
        <v>1</v>
      </c>
      <c r="D43" s="59" t="s">
        <v>242</v>
      </c>
      <c r="E43" s="59"/>
      <c r="F43" s="59" t="s">
        <v>6932</v>
      </c>
      <c r="G43" s="59" t="s">
        <v>6933</v>
      </c>
      <c r="H43" s="59"/>
      <c r="I43" s="59"/>
    </row>
    <row r="44" spans="1:9" s="31" customFormat="1" ht="16.5">
      <c r="A44" s="59">
        <v>42</v>
      </c>
      <c r="B44" s="59" t="s">
        <v>6824</v>
      </c>
      <c r="C44" s="63">
        <v>2</v>
      </c>
      <c r="D44" s="59" t="s">
        <v>242</v>
      </c>
      <c r="E44" s="59"/>
      <c r="F44" s="59" t="s">
        <v>6934</v>
      </c>
      <c r="G44" s="59" t="s">
        <v>6935</v>
      </c>
      <c r="H44" s="59"/>
      <c r="I44" s="59"/>
    </row>
    <row r="45" spans="1:9" s="31" customFormat="1" ht="16.5">
      <c r="A45" s="59">
        <v>43</v>
      </c>
      <c r="B45" s="59" t="s">
        <v>6825</v>
      </c>
      <c r="C45" s="63">
        <v>4</v>
      </c>
      <c r="D45" s="59" t="s">
        <v>242</v>
      </c>
      <c r="E45" s="59"/>
      <c r="F45" s="59" t="s">
        <v>6936</v>
      </c>
      <c r="G45" s="59" t="s">
        <v>6937</v>
      </c>
      <c r="H45" s="59"/>
      <c r="I45" s="59"/>
    </row>
    <row r="46" spans="1:9" s="31" customFormat="1" ht="16.5">
      <c r="A46" s="59">
        <v>44</v>
      </c>
      <c r="B46" s="59" t="s">
        <v>6826</v>
      </c>
      <c r="C46" s="63">
        <v>14</v>
      </c>
      <c r="D46" s="59" t="s">
        <v>242</v>
      </c>
      <c r="E46" s="59"/>
      <c r="F46" s="59" t="s">
        <v>6938</v>
      </c>
      <c r="G46" s="59" t="s">
        <v>6939</v>
      </c>
      <c r="H46" s="59"/>
      <c r="I46" s="59"/>
    </row>
    <row r="47" spans="1:9" s="31" customFormat="1" ht="30">
      <c r="A47" s="59">
        <v>45</v>
      </c>
      <c r="B47" s="59" t="s">
        <v>6827</v>
      </c>
      <c r="C47" s="63">
        <v>1</v>
      </c>
      <c r="D47" s="59" t="s">
        <v>242</v>
      </c>
      <c r="E47" s="59"/>
      <c r="F47" s="59" t="s">
        <v>6940</v>
      </c>
      <c r="G47" s="59" t="s">
        <v>6941</v>
      </c>
      <c r="H47" s="59"/>
      <c r="I47" s="59"/>
    </row>
    <row r="48" spans="1:9" s="31" customFormat="1" ht="16.5">
      <c r="A48" s="59">
        <v>46</v>
      </c>
      <c r="B48" s="59" t="s">
        <v>6828</v>
      </c>
      <c r="C48" s="63">
        <v>1</v>
      </c>
      <c r="D48" s="59" t="s">
        <v>242</v>
      </c>
      <c r="E48" s="59"/>
      <c r="F48" s="59" t="s">
        <v>6942</v>
      </c>
      <c r="G48" s="59" t="s">
        <v>6943</v>
      </c>
      <c r="H48" s="59"/>
      <c r="I48" s="59"/>
    </row>
    <row r="49" spans="1:9" s="31" customFormat="1" ht="16.5">
      <c r="A49" s="59">
        <v>47</v>
      </c>
      <c r="B49" s="59" t="s">
        <v>6829</v>
      </c>
      <c r="C49" s="63">
        <v>14</v>
      </c>
      <c r="D49" s="59" t="s">
        <v>242</v>
      </c>
      <c r="E49" s="59"/>
      <c r="F49" s="59" t="s">
        <v>6944</v>
      </c>
      <c r="G49" s="59" t="s">
        <v>6945</v>
      </c>
      <c r="H49" s="59"/>
      <c r="I49" s="59"/>
    </row>
    <row r="50" spans="1:9" s="31" customFormat="1" ht="16.5">
      <c r="A50" s="59">
        <v>48</v>
      </c>
      <c r="B50" s="59" t="s">
        <v>6830</v>
      </c>
      <c r="C50" s="63">
        <v>14</v>
      </c>
      <c r="D50" s="59" t="s">
        <v>242</v>
      </c>
      <c r="E50" s="59"/>
      <c r="F50" s="59" t="s">
        <v>6946</v>
      </c>
      <c r="G50" s="59" t="s">
        <v>6947</v>
      </c>
      <c r="H50" s="59"/>
      <c r="I50" s="59"/>
    </row>
    <row r="51" spans="1:9" s="31" customFormat="1" ht="16.5">
      <c r="A51" s="59">
        <v>49</v>
      </c>
      <c r="B51" s="59" t="s">
        <v>6831</v>
      </c>
      <c r="C51" s="63">
        <v>14</v>
      </c>
      <c r="D51" s="59" t="s">
        <v>242</v>
      </c>
      <c r="E51" s="59"/>
      <c r="F51" s="59" t="s">
        <v>6948</v>
      </c>
      <c r="G51" s="59" t="s">
        <v>6949</v>
      </c>
      <c r="H51" s="59"/>
      <c r="I51" s="59"/>
    </row>
    <row r="52" spans="1:9" s="31" customFormat="1" ht="16.5">
      <c r="A52" s="59">
        <v>50</v>
      </c>
      <c r="B52" s="59" t="s">
        <v>6832</v>
      </c>
      <c r="C52" s="63">
        <v>14</v>
      </c>
      <c r="D52" s="59" t="s">
        <v>242</v>
      </c>
      <c r="E52" s="59"/>
      <c r="F52" s="59" t="s">
        <v>6950</v>
      </c>
      <c r="G52" s="59" t="s">
        <v>6951</v>
      </c>
      <c r="H52" s="59"/>
      <c r="I52" s="59"/>
    </row>
    <row r="53" spans="1:9" s="31" customFormat="1" ht="16.5">
      <c r="A53" s="59">
        <v>51</v>
      </c>
      <c r="B53" s="59" t="s">
        <v>6833</v>
      </c>
      <c r="C53" s="63">
        <v>14</v>
      </c>
      <c r="D53" s="59" t="s">
        <v>242</v>
      </c>
      <c r="E53" s="59"/>
      <c r="F53" s="59" t="s">
        <v>6952</v>
      </c>
      <c r="G53" s="59" t="s">
        <v>6953</v>
      </c>
      <c r="H53" s="59"/>
      <c r="I53" s="59"/>
    </row>
    <row r="54" spans="1:9" s="31" customFormat="1" ht="16.5">
      <c r="A54" s="59">
        <v>52</v>
      </c>
      <c r="B54" s="59" t="s">
        <v>6834</v>
      </c>
      <c r="C54" s="63">
        <v>14</v>
      </c>
      <c r="D54" s="59" t="s">
        <v>242</v>
      </c>
      <c r="E54" s="59"/>
      <c r="F54" s="59" t="s">
        <v>6954</v>
      </c>
      <c r="G54" s="59" t="s">
        <v>6955</v>
      </c>
      <c r="H54" s="59"/>
      <c r="I54" s="59"/>
    </row>
    <row r="55" spans="1:9" s="31" customFormat="1" ht="16.5">
      <c r="A55" s="59">
        <v>53</v>
      </c>
      <c r="B55" s="59" t="s">
        <v>6835</v>
      </c>
      <c r="C55" s="63">
        <v>14</v>
      </c>
      <c r="D55" s="59" t="s">
        <v>242</v>
      </c>
      <c r="E55" s="59"/>
      <c r="F55" s="59" t="s">
        <v>6956</v>
      </c>
      <c r="G55" s="59" t="s">
        <v>6957</v>
      </c>
      <c r="H55" s="59"/>
      <c r="I55" s="59"/>
    </row>
    <row r="56" spans="1:9" s="31" customFormat="1" ht="16.5">
      <c r="A56" s="59">
        <v>54</v>
      </c>
      <c r="B56" s="59" t="s">
        <v>6836</v>
      </c>
      <c r="C56" s="63">
        <v>14</v>
      </c>
      <c r="D56" s="59" t="s">
        <v>242</v>
      </c>
      <c r="E56" s="59"/>
      <c r="F56" s="59" t="s">
        <v>6958</v>
      </c>
      <c r="G56" s="59" t="s">
        <v>6959</v>
      </c>
      <c r="H56" s="59"/>
      <c r="I56" s="59"/>
    </row>
    <row r="57" spans="1:9" s="31" customFormat="1" ht="16.5">
      <c r="A57" s="59">
        <v>55</v>
      </c>
      <c r="B57" s="59" t="s">
        <v>6837</v>
      </c>
      <c r="C57" s="63">
        <v>14</v>
      </c>
      <c r="D57" s="59" t="s">
        <v>242</v>
      </c>
      <c r="E57" s="59"/>
      <c r="F57" s="59" t="s">
        <v>6960</v>
      </c>
      <c r="G57" s="59" t="s">
        <v>6961</v>
      </c>
      <c r="H57" s="59"/>
      <c r="I57" s="59"/>
    </row>
    <row r="58" spans="1:9" s="31" customFormat="1" ht="16.5">
      <c r="A58" s="59">
        <v>56</v>
      </c>
      <c r="B58" s="59" t="s">
        <v>6838</v>
      </c>
      <c r="C58" s="63">
        <v>14</v>
      </c>
      <c r="D58" s="59" t="s">
        <v>242</v>
      </c>
      <c r="E58" s="59"/>
      <c r="F58" s="59" t="s">
        <v>6962</v>
      </c>
      <c r="G58" s="59" t="s">
        <v>6963</v>
      </c>
      <c r="H58" s="59"/>
      <c r="I58" s="59"/>
    </row>
    <row r="59" spans="1:9" s="31" customFormat="1" ht="16.5">
      <c r="A59" s="59">
        <v>57</v>
      </c>
      <c r="B59" s="59" t="s">
        <v>6839</v>
      </c>
      <c r="C59" s="63">
        <v>14</v>
      </c>
      <c r="D59" s="59" t="s">
        <v>242</v>
      </c>
      <c r="E59" s="59"/>
      <c r="F59" s="59" t="s">
        <v>6964</v>
      </c>
      <c r="G59" s="59" t="s">
        <v>6965</v>
      </c>
      <c r="H59" s="59"/>
      <c r="I59" s="59"/>
    </row>
    <row r="60" spans="1:9" s="31" customFormat="1" ht="16.5">
      <c r="A60" s="59">
        <v>58</v>
      </c>
      <c r="B60" s="59" t="s">
        <v>6840</v>
      </c>
      <c r="C60" s="63">
        <v>14</v>
      </c>
      <c r="D60" s="59" t="s">
        <v>242</v>
      </c>
      <c r="E60" s="59"/>
      <c r="F60" s="59" t="s">
        <v>6966</v>
      </c>
      <c r="G60" s="59" t="s">
        <v>6967</v>
      </c>
      <c r="H60" s="59"/>
      <c r="I60" s="59"/>
    </row>
    <row r="61" spans="1:9" s="31" customFormat="1" ht="16.5">
      <c r="A61" s="59">
        <v>59</v>
      </c>
      <c r="B61" s="59" t="s">
        <v>6841</v>
      </c>
      <c r="C61" s="63">
        <v>14</v>
      </c>
      <c r="D61" s="59" t="s">
        <v>242</v>
      </c>
      <c r="E61" s="59"/>
      <c r="F61" s="59" t="s">
        <v>6968</v>
      </c>
      <c r="G61" s="59" t="s">
        <v>6969</v>
      </c>
      <c r="H61" s="59"/>
      <c r="I61" s="59"/>
    </row>
    <row r="62" spans="1:9" s="31" customFormat="1" ht="16.5">
      <c r="A62" s="59">
        <v>60</v>
      </c>
      <c r="B62" s="59" t="s">
        <v>6842</v>
      </c>
      <c r="C62" s="63">
        <v>14</v>
      </c>
      <c r="D62" s="59" t="s">
        <v>242</v>
      </c>
      <c r="E62" s="59"/>
      <c r="F62" s="59" t="s">
        <v>6970</v>
      </c>
      <c r="G62" s="59" t="s">
        <v>6971</v>
      </c>
      <c r="H62" s="59"/>
      <c r="I62" s="59"/>
    </row>
    <row r="63" spans="1:9" s="31" customFormat="1" ht="16.5">
      <c r="A63" s="59">
        <v>61</v>
      </c>
      <c r="B63" s="59" t="s">
        <v>6843</v>
      </c>
      <c r="C63" s="63">
        <v>14</v>
      </c>
      <c r="D63" s="59" t="s">
        <v>242</v>
      </c>
      <c r="E63" s="59"/>
      <c r="F63" s="59" t="s">
        <v>6972</v>
      </c>
      <c r="G63" s="59" t="s">
        <v>6973</v>
      </c>
      <c r="H63" s="59"/>
      <c r="I63" s="59"/>
    </row>
    <row r="64" spans="1:9" s="31" customFormat="1" ht="16.5">
      <c r="A64" s="59">
        <v>62</v>
      </c>
      <c r="B64" s="59" t="s">
        <v>6844</v>
      </c>
      <c r="C64" s="63">
        <v>14</v>
      </c>
      <c r="D64" s="59" t="s">
        <v>242</v>
      </c>
      <c r="E64" s="59"/>
      <c r="F64" s="59" t="s">
        <v>6974</v>
      </c>
      <c r="G64" s="59" t="s">
        <v>6975</v>
      </c>
      <c r="H64" s="59"/>
      <c r="I64" s="59"/>
    </row>
    <row r="65" spans="1:9" s="31" customFormat="1" ht="16.5">
      <c r="A65" s="59">
        <v>63</v>
      </c>
      <c r="B65" s="59" t="s">
        <v>6845</v>
      </c>
      <c r="C65" s="63">
        <v>14</v>
      </c>
      <c r="D65" s="59" t="s">
        <v>242</v>
      </c>
      <c r="E65" s="59"/>
      <c r="F65" s="59" t="s">
        <v>6976</v>
      </c>
      <c r="G65" s="59" t="s">
        <v>6977</v>
      </c>
      <c r="H65" s="59"/>
      <c r="I65" s="59"/>
    </row>
    <row r="66" spans="1:9" s="31" customFormat="1" ht="16.5">
      <c r="A66" s="59">
        <v>64</v>
      </c>
      <c r="B66" s="59" t="s">
        <v>6846</v>
      </c>
      <c r="C66" s="63">
        <v>14</v>
      </c>
      <c r="D66" s="59" t="s">
        <v>242</v>
      </c>
      <c r="E66" s="59"/>
      <c r="F66" s="59" t="s">
        <v>6978</v>
      </c>
      <c r="G66" s="59" t="s">
        <v>6979</v>
      </c>
      <c r="H66" s="59"/>
      <c r="I66" s="59"/>
    </row>
    <row r="67" spans="1:9" s="31" customFormat="1" ht="16.5">
      <c r="A67" s="59">
        <v>65</v>
      </c>
      <c r="B67" s="59" t="s">
        <v>6847</v>
      </c>
      <c r="C67" s="63">
        <v>14</v>
      </c>
      <c r="D67" s="59" t="s">
        <v>242</v>
      </c>
      <c r="E67" s="59"/>
      <c r="F67" s="59" t="s">
        <v>6980</v>
      </c>
      <c r="G67" s="59" t="s">
        <v>6981</v>
      </c>
      <c r="H67" s="59"/>
      <c r="I67" s="59"/>
    </row>
    <row r="68" spans="1:9" s="31" customFormat="1" ht="16.5">
      <c r="A68" s="59">
        <v>66</v>
      </c>
      <c r="B68" s="59" t="s">
        <v>6848</v>
      </c>
      <c r="C68" s="63">
        <v>14</v>
      </c>
      <c r="D68" s="59" t="s">
        <v>242</v>
      </c>
      <c r="E68" s="59"/>
      <c r="F68" s="59" t="s">
        <v>6982</v>
      </c>
      <c r="G68" s="59" t="s">
        <v>6983</v>
      </c>
      <c r="H68" s="59"/>
      <c r="I68" s="59"/>
    </row>
    <row r="69" spans="1:9" s="31" customFormat="1" ht="16.5">
      <c r="A69" s="59">
        <v>67</v>
      </c>
      <c r="B69" s="59" t="s">
        <v>6849</v>
      </c>
      <c r="C69" s="63">
        <v>14</v>
      </c>
      <c r="D69" s="59" t="s">
        <v>242</v>
      </c>
      <c r="E69" s="59"/>
      <c r="F69" s="59" t="s">
        <v>6984</v>
      </c>
      <c r="G69" s="59" t="s">
        <v>6985</v>
      </c>
      <c r="H69" s="59"/>
      <c r="I69" s="59"/>
    </row>
    <row r="70" spans="1:9" s="31" customFormat="1" ht="16.5">
      <c r="A70" s="59">
        <v>68</v>
      </c>
      <c r="B70" s="59" t="s">
        <v>6850</v>
      </c>
      <c r="C70" s="63">
        <v>14</v>
      </c>
      <c r="D70" s="59" t="s">
        <v>242</v>
      </c>
      <c r="E70" s="59"/>
      <c r="F70" s="59" t="s">
        <v>6986</v>
      </c>
      <c r="G70" s="59" t="s">
        <v>6987</v>
      </c>
      <c r="H70" s="59"/>
      <c r="I70" s="59"/>
    </row>
    <row r="71" spans="1:9" s="31" customFormat="1" ht="16.5">
      <c r="A71" s="59">
        <v>69</v>
      </c>
      <c r="B71" s="59" t="s">
        <v>6851</v>
      </c>
      <c r="C71" s="63">
        <v>14</v>
      </c>
      <c r="D71" s="59" t="s">
        <v>242</v>
      </c>
      <c r="E71" s="59"/>
      <c r="F71" s="59" t="s">
        <v>6988</v>
      </c>
      <c r="G71" s="59" t="s">
        <v>6989</v>
      </c>
      <c r="H71" s="59"/>
      <c r="I71" s="59"/>
    </row>
    <row r="72" spans="1:9" s="31" customFormat="1" ht="16.5">
      <c r="A72" s="59">
        <v>70</v>
      </c>
      <c r="B72" s="59" t="s">
        <v>6852</v>
      </c>
      <c r="C72" s="63">
        <v>14</v>
      </c>
      <c r="D72" s="59" t="s">
        <v>242</v>
      </c>
      <c r="E72" s="59"/>
      <c r="F72" s="59" t="s">
        <v>6990</v>
      </c>
      <c r="G72" s="59" t="s">
        <v>6991</v>
      </c>
      <c r="H72" s="59"/>
      <c r="I72" s="59"/>
    </row>
    <row r="73" spans="1:9" s="31" customFormat="1" ht="16.5">
      <c r="A73" s="59">
        <v>71</v>
      </c>
      <c r="B73" s="59" t="s">
        <v>6853</v>
      </c>
      <c r="C73" s="63">
        <v>14</v>
      </c>
      <c r="D73" s="59" t="s">
        <v>242</v>
      </c>
      <c r="E73" s="59"/>
      <c r="F73" s="59" t="s">
        <v>6992</v>
      </c>
      <c r="G73" s="59" t="s">
        <v>6993</v>
      </c>
      <c r="H73" s="59"/>
      <c r="I73" s="59"/>
    </row>
    <row r="74" spans="1:9" s="31" customFormat="1" ht="30">
      <c r="A74" s="59">
        <v>72</v>
      </c>
      <c r="B74" s="59" t="s">
        <v>1182</v>
      </c>
      <c r="C74" s="59">
        <v>12</v>
      </c>
      <c r="D74" s="59" t="s">
        <v>189</v>
      </c>
      <c r="E74" s="59" t="s">
        <v>5576</v>
      </c>
      <c r="F74" s="59" t="s">
        <v>1688</v>
      </c>
      <c r="G74" s="59" t="s">
        <v>1689</v>
      </c>
      <c r="H74" s="59"/>
      <c r="I74" s="59"/>
    </row>
    <row r="75" spans="1:9" s="31" customFormat="1" ht="30">
      <c r="A75" s="59">
        <v>73</v>
      </c>
      <c r="B75" s="59" t="s">
        <v>1183</v>
      </c>
      <c r="C75" s="59">
        <v>30</v>
      </c>
      <c r="D75" s="59" t="s">
        <v>242</v>
      </c>
      <c r="E75" s="59" t="s">
        <v>5576</v>
      </c>
      <c r="F75" s="59" t="s">
        <v>1690</v>
      </c>
      <c r="G75" s="59" t="s">
        <v>1691</v>
      </c>
      <c r="H75" s="59"/>
      <c r="I75" s="59"/>
    </row>
    <row r="76" spans="1:9" s="31" customFormat="1"/>
    <row r="77" spans="1:9" s="31" customFormat="1"/>
    <row r="78" spans="1:9" s="31" customFormat="1"/>
    <row r="79" spans="1:9" s="31" customFormat="1"/>
    <row r="80" spans="1:9" s="31" customFormat="1" ht="16.5">
      <c r="B80" s="62"/>
    </row>
    <row r="81" spans="2:3" s="31" customFormat="1">
      <c r="B81"/>
      <c r="C81"/>
    </row>
    <row r="82" spans="2:3" s="31" customFormat="1">
      <c r="C82"/>
    </row>
    <row r="83" spans="2:3" s="31" customFormat="1"/>
    <row r="84" spans="2:3" s="31" customFormat="1"/>
    <row r="85" spans="2:3" s="31" customFormat="1"/>
    <row r="86" spans="2:3" s="31" customFormat="1"/>
    <row r="87" spans="2:3" s="31" customFormat="1"/>
    <row r="88" spans="2:3" s="31" customFormat="1"/>
    <row r="89" spans="2:3" s="31" customFormat="1"/>
    <row r="90" spans="2:3" s="31" customFormat="1"/>
    <row r="91" spans="2:3" s="31" customFormat="1"/>
    <row r="92" spans="2:3" s="31" customFormat="1"/>
    <row r="93" spans="2:3" s="31" customFormat="1"/>
    <row r="94" spans="2:3" s="31" customFormat="1"/>
    <row r="95" spans="2:3" s="31" customFormat="1"/>
    <row r="96" spans="2:3" s="31" customFormat="1"/>
    <row r="97" s="31" customFormat="1"/>
    <row r="98" s="31" customFormat="1"/>
    <row r="99" s="31" customFormat="1"/>
    <row r="100" s="31" customFormat="1"/>
    <row r="101" s="31" customFormat="1"/>
    <row r="102" s="31" customFormat="1"/>
    <row r="103" s="31" customFormat="1"/>
    <row r="104" s="31" customFormat="1"/>
    <row r="105" s="31" customFormat="1"/>
    <row r="106" s="31" customFormat="1"/>
    <row r="107" s="31" customFormat="1"/>
    <row r="108" s="31" customFormat="1"/>
    <row r="109" s="31" customFormat="1"/>
    <row r="110" s="31" customFormat="1"/>
    <row r="111" s="31" customFormat="1"/>
    <row r="112" s="31" customFormat="1"/>
    <row r="113" s="31" customFormat="1"/>
    <row r="114" s="31" customFormat="1"/>
    <row r="115" s="31" customFormat="1"/>
    <row r="116" s="31" customFormat="1"/>
    <row r="117" s="31" customFormat="1"/>
    <row r="118" s="31" customFormat="1"/>
    <row r="119" s="31" customFormat="1"/>
    <row r="120" s="31" customFormat="1"/>
    <row r="121" s="31" customFormat="1"/>
    <row r="122" s="31" customFormat="1"/>
    <row r="123" s="31" customFormat="1"/>
    <row r="124" s="31" customFormat="1"/>
    <row r="125" s="31" customFormat="1"/>
    <row r="126" s="31" customFormat="1"/>
    <row r="127" s="31" customFormat="1"/>
    <row r="128" s="31" customFormat="1"/>
    <row r="129" s="31" customFormat="1"/>
    <row r="130" s="31" customFormat="1"/>
    <row r="131" s="31" customFormat="1"/>
    <row r="132" s="31" customFormat="1"/>
    <row r="133" s="31" customFormat="1"/>
    <row r="134" s="31" customFormat="1"/>
    <row r="135" s="31" customFormat="1"/>
    <row r="136" s="31" customFormat="1"/>
    <row r="137" s="31" customFormat="1"/>
    <row r="138" s="31" customFormat="1"/>
    <row r="139" s="31" customFormat="1"/>
    <row r="140" s="31" customFormat="1"/>
    <row r="141" s="31" customFormat="1"/>
    <row r="142" s="31" customFormat="1"/>
    <row r="143" s="31" customFormat="1"/>
    <row r="144" s="31" customFormat="1"/>
    <row r="145" spans="2:3" s="31" customFormat="1"/>
    <row r="146" spans="2:3" s="31" customFormat="1"/>
    <row r="147" spans="2:3" s="31" customFormat="1"/>
    <row r="148" spans="2:3" s="31" customFormat="1"/>
    <row r="149" spans="2:3" s="31" customFormat="1"/>
    <row r="150" spans="2:3" s="31" customFormat="1"/>
    <row r="151" spans="2:3" s="31" customFormat="1"/>
    <row r="152" spans="2:3" s="31" customFormat="1"/>
    <row r="153" spans="2:3" s="31" customFormat="1">
      <c r="B153"/>
    </row>
    <row r="154" spans="2:3" s="31" customFormat="1" ht="16.5">
      <c r="B154" s="62"/>
      <c r="C154"/>
    </row>
    <row r="155" spans="2:3" s="31" customFormat="1" ht="16.5">
      <c r="B155" s="61"/>
      <c r="C155"/>
    </row>
    <row r="156" spans="2:3" s="31" customFormat="1" ht="16.5">
      <c r="B156" s="61"/>
      <c r="C156"/>
    </row>
    <row r="157" spans="2:3" s="31" customFormat="1">
      <c r="C157"/>
    </row>
    <row r="158" spans="2:3" s="31" customFormat="1"/>
    <row r="159" spans="2:3" s="31" customFormat="1"/>
    <row r="160" spans="2:3" s="31" customFormat="1"/>
    <row r="161" s="31" customFormat="1"/>
    <row r="162" s="31" customFormat="1"/>
    <row r="163" s="31" customFormat="1"/>
    <row r="164" s="31" customFormat="1"/>
    <row r="165" s="31" customFormat="1"/>
    <row r="166" s="31" customFormat="1"/>
    <row r="167" s="31" customFormat="1"/>
    <row r="168" s="31" customFormat="1"/>
    <row r="169" s="31" customFormat="1"/>
    <row r="170" s="31" customFormat="1"/>
    <row r="171" s="31" customFormat="1"/>
    <row r="172" s="31" customFormat="1"/>
    <row r="173" s="31" customFormat="1"/>
    <row r="174" s="31" customFormat="1"/>
    <row r="175" s="31" customFormat="1"/>
    <row r="176" s="31" customFormat="1"/>
    <row r="177" s="31" customFormat="1"/>
    <row r="178" s="31" customFormat="1"/>
    <row r="179" s="31" customFormat="1"/>
    <row r="180" s="31" customFormat="1"/>
    <row r="181" s="31" customFormat="1"/>
    <row r="182" s="31" customFormat="1"/>
    <row r="183" s="31" customFormat="1"/>
    <row r="184" s="31" customFormat="1"/>
    <row r="185" s="31" customFormat="1"/>
    <row r="186" s="31" customFormat="1"/>
    <row r="187" s="31" customFormat="1"/>
    <row r="188" s="31" customFormat="1"/>
    <row r="189" s="31" customFormat="1"/>
    <row r="190" s="31" customFormat="1"/>
    <row r="191" s="31" customFormat="1"/>
    <row r="192" s="31" customFormat="1"/>
    <row r="193" s="31" customFormat="1"/>
    <row r="194" s="31" customFormat="1"/>
    <row r="195" s="31" customFormat="1"/>
    <row r="196" s="31" customFormat="1"/>
    <row r="197" s="31" customFormat="1"/>
    <row r="198" s="31" customFormat="1"/>
    <row r="199" s="31" customFormat="1"/>
    <row r="200" s="31" customFormat="1"/>
    <row r="201" s="31" customFormat="1"/>
    <row r="202" s="31" customFormat="1"/>
    <row r="203" s="31" customFormat="1"/>
    <row r="204" s="31" customFormat="1"/>
    <row r="205" s="31" customFormat="1"/>
    <row r="206" s="31" customFormat="1"/>
    <row r="207" s="31" customFormat="1"/>
    <row r="208" s="31" customFormat="1"/>
    <row r="209" s="31" customFormat="1"/>
    <row r="210" s="31" customFormat="1"/>
    <row r="211" s="31" customFormat="1"/>
    <row r="212" s="31" customFormat="1"/>
    <row r="213" s="31" customFormat="1"/>
    <row r="214" s="31" customFormat="1"/>
    <row r="215" s="31" customFormat="1"/>
    <row r="216" s="31" customFormat="1"/>
    <row r="217" s="31" customFormat="1"/>
    <row r="218" s="31" customFormat="1"/>
    <row r="219" s="31" customFormat="1"/>
    <row r="220" s="31" customFormat="1"/>
    <row r="221" s="31" customFormat="1"/>
    <row r="222" s="31" customFormat="1"/>
    <row r="223" s="31" customFormat="1"/>
    <row r="224" s="31" customFormat="1"/>
    <row r="225" s="31" customFormat="1"/>
    <row r="226" s="31" customFormat="1"/>
    <row r="227" s="31" customFormat="1"/>
    <row r="228" s="31" customFormat="1"/>
    <row r="229" s="31" customFormat="1"/>
    <row r="230" s="31" customFormat="1"/>
    <row r="231" s="31" customFormat="1"/>
    <row r="232" s="31" customFormat="1"/>
    <row r="233" s="31" customFormat="1"/>
    <row r="234" s="31" customFormat="1"/>
    <row r="235" s="31" customFormat="1"/>
    <row r="236" s="31" customFormat="1"/>
    <row r="237" s="31" customFormat="1"/>
    <row r="238" s="31" customFormat="1"/>
    <row r="239" s="31" customFormat="1"/>
    <row r="240" s="31" customFormat="1"/>
    <row r="241" s="31" customFormat="1"/>
    <row r="242" s="31" customFormat="1"/>
    <row r="243" s="31" customFormat="1"/>
    <row r="244" s="31" customFormat="1"/>
    <row r="245" s="31" customFormat="1"/>
    <row r="246" s="31" customFormat="1"/>
    <row r="247" s="31" customFormat="1"/>
    <row r="248" s="31" customFormat="1"/>
    <row r="249" s="31" customFormat="1"/>
    <row r="250" s="31" customFormat="1"/>
    <row r="251" s="31" customFormat="1"/>
    <row r="252" s="31" customFormat="1"/>
    <row r="253" s="31" customFormat="1"/>
    <row r="254" s="31" customFormat="1"/>
    <row r="255" s="31" customFormat="1"/>
    <row r="256" s="31" customFormat="1"/>
    <row r="257" s="31" customFormat="1"/>
    <row r="258" s="31" customFormat="1"/>
    <row r="259" s="31" customFormat="1"/>
    <row r="260" s="31" customFormat="1"/>
    <row r="261" s="31" customFormat="1"/>
    <row r="262" s="31" customFormat="1"/>
    <row r="263" s="31" customFormat="1"/>
    <row r="264" s="31" customFormat="1"/>
    <row r="265" s="31" customFormat="1"/>
    <row r="266" s="31" customFormat="1"/>
    <row r="267" s="31" customFormat="1"/>
    <row r="268" s="31" customFormat="1"/>
    <row r="269" s="31" customFormat="1"/>
    <row r="270" s="31" customFormat="1"/>
    <row r="271" s="31" customFormat="1"/>
    <row r="272" s="31" customFormat="1"/>
    <row r="273" s="31" customFormat="1"/>
    <row r="274" s="31" customFormat="1"/>
    <row r="275" s="31" customFormat="1"/>
    <row r="276" s="31" customFormat="1"/>
    <row r="277" s="31" customFormat="1"/>
    <row r="278" s="31" customFormat="1"/>
    <row r="279" s="31" customFormat="1"/>
    <row r="280" s="31" customFormat="1"/>
    <row r="281" s="31" customFormat="1"/>
    <row r="282" s="31" customFormat="1"/>
    <row r="283" s="31" customFormat="1"/>
    <row r="284" s="31" customFormat="1"/>
    <row r="285" s="31" customFormat="1"/>
    <row r="286" s="31" customFormat="1"/>
    <row r="287" s="31" customFormat="1"/>
    <row r="288" s="31" customFormat="1"/>
    <row r="289" s="31" customFormat="1"/>
    <row r="290" s="31" customFormat="1"/>
    <row r="291" s="31" customFormat="1"/>
    <row r="292" s="31" customFormat="1"/>
    <row r="293" s="31" customFormat="1"/>
    <row r="294" s="31" customFormat="1"/>
    <row r="295" s="31" customFormat="1"/>
    <row r="296" s="31" customFormat="1"/>
    <row r="297" s="31" customFormat="1"/>
    <row r="298" s="31" customFormat="1"/>
    <row r="299" s="31" customFormat="1"/>
    <row r="300" s="31" customFormat="1"/>
    <row r="301" s="31" customFormat="1"/>
    <row r="302" s="31" customFormat="1"/>
    <row r="303" s="31" customFormat="1"/>
    <row r="304" s="31" customFormat="1"/>
    <row r="305" s="31" customFormat="1"/>
  </sheetData>
  <pageMargins left="0.7" right="0.7" top="0.75" bottom="0.75" header="0.3" footer="0.3"/>
  <pageSetup orientation="portrait" horizontalDpi="90" verticalDpi="9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75443-2902-490C-8542-5D945C8B64DC}">
  <sheetPr codeName="Sheet89"/>
  <dimension ref="A1:XFC250"/>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9" width="7.42578125" style="2" customWidth="1"/>
    <col min="10" max="16382" width="32.140625" style="2"/>
    <col min="16383" max="16383" width="1.7109375" style="2" customWidth="1"/>
    <col min="16384" max="16384" width="17.7109375" style="1" customWidth="1"/>
  </cols>
  <sheetData>
    <row r="1" spans="1:10" s="1" customFormat="1">
      <c r="A1" s="3" t="s">
        <v>238</v>
      </c>
      <c r="B1" s="3"/>
      <c r="C1" s="3"/>
      <c r="D1" s="3"/>
      <c r="E1" s="3"/>
      <c r="F1" s="3"/>
      <c r="G1" s="3"/>
      <c r="H1" s="3"/>
      <c r="I1" s="3"/>
    </row>
    <row r="2" spans="1:10" s="1" customFormat="1">
      <c r="A2" s="10" t="s">
        <v>350</v>
      </c>
      <c r="B2" s="10" t="s">
        <v>156</v>
      </c>
      <c r="C2" s="10" t="s">
        <v>157</v>
      </c>
      <c r="D2" s="10" t="s">
        <v>239</v>
      </c>
      <c r="E2" s="10" t="s">
        <v>159</v>
      </c>
      <c r="F2" s="10" t="s">
        <v>1684</v>
      </c>
      <c r="G2" s="10" t="s">
        <v>1685</v>
      </c>
      <c r="H2" s="10" t="s">
        <v>5367</v>
      </c>
      <c r="I2" s="10" t="s">
        <v>5366</v>
      </c>
    </row>
    <row r="3" spans="1:10" s="1" customFormat="1">
      <c r="A3" s="11">
        <v>1</v>
      </c>
      <c r="B3" s="11" t="s">
        <v>240</v>
      </c>
      <c r="C3" s="11">
        <v>8</v>
      </c>
      <c r="D3" s="11" t="s">
        <v>160</v>
      </c>
      <c r="E3" s="11" t="s">
        <v>177</v>
      </c>
      <c r="F3" s="11" t="s">
        <v>1686</v>
      </c>
      <c r="G3" s="11" t="s">
        <v>1687</v>
      </c>
      <c r="H3" s="11" t="s">
        <v>5384</v>
      </c>
      <c r="I3" s="11" t="s">
        <v>5386</v>
      </c>
    </row>
    <row r="4" spans="1:10" s="1" customFormat="1">
      <c r="A4" s="11">
        <v>2</v>
      </c>
      <c r="B4" s="11" t="s">
        <v>1424</v>
      </c>
      <c r="C4" s="11">
        <v>10</v>
      </c>
      <c r="D4" s="11" t="s">
        <v>242</v>
      </c>
      <c r="E4" s="11"/>
      <c r="F4" s="11" t="s">
        <v>1692</v>
      </c>
      <c r="G4" s="11" t="s">
        <v>5575</v>
      </c>
      <c r="H4" s="11"/>
      <c r="I4" s="11"/>
    </row>
    <row r="5" spans="1:10" s="1" customFormat="1" ht="30">
      <c r="A5" s="11">
        <v>3</v>
      </c>
      <c r="B5" s="11" t="s">
        <v>1425</v>
      </c>
      <c r="C5" s="11">
        <v>1</v>
      </c>
      <c r="D5" s="11" t="s">
        <v>242</v>
      </c>
      <c r="E5" s="11"/>
      <c r="F5" s="11" t="s">
        <v>1693</v>
      </c>
      <c r="G5" s="11" t="s">
        <v>2859</v>
      </c>
      <c r="H5" s="11" t="s">
        <v>1291</v>
      </c>
      <c r="I5" s="11"/>
    </row>
    <row r="6" spans="1:10" s="1" customFormat="1" ht="30">
      <c r="A6" s="11">
        <v>4</v>
      </c>
      <c r="B6" s="11" t="s">
        <v>151</v>
      </c>
      <c r="C6" s="11">
        <v>8</v>
      </c>
      <c r="D6" s="11" t="s">
        <v>242</v>
      </c>
      <c r="E6" s="11"/>
      <c r="F6" s="11" t="s">
        <v>1694</v>
      </c>
      <c r="G6" s="11" t="s">
        <v>2860</v>
      </c>
      <c r="H6" s="11" t="s">
        <v>5382</v>
      </c>
      <c r="I6" s="11"/>
    </row>
    <row r="7" spans="1:10" s="1" customFormat="1" ht="30">
      <c r="A7" s="11">
        <v>5</v>
      </c>
      <c r="B7" s="11" t="s">
        <v>394</v>
      </c>
      <c r="C7" s="11">
        <v>60</v>
      </c>
      <c r="D7" s="11" t="s">
        <v>242</v>
      </c>
      <c r="E7" s="11"/>
      <c r="F7" s="11" t="s">
        <v>1695</v>
      </c>
      <c r="G7" s="11" t="s">
        <v>2861</v>
      </c>
      <c r="H7" s="11"/>
      <c r="I7" s="11"/>
    </row>
    <row r="8" spans="1:10" s="1" customFormat="1" ht="30">
      <c r="A8" s="11">
        <v>6</v>
      </c>
      <c r="B8" s="11" t="s">
        <v>2</v>
      </c>
      <c r="C8" s="11">
        <v>1</v>
      </c>
      <c r="D8" s="11" t="s">
        <v>242</v>
      </c>
      <c r="E8" s="11"/>
      <c r="F8" s="11" t="s">
        <v>1696</v>
      </c>
      <c r="G8" s="11" t="s">
        <v>2862</v>
      </c>
      <c r="H8" s="11" t="s">
        <v>1291</v>
      </c>
      <c r="I8" s="11"/>
    </row>
    <row r="9" spans="1:10" s="1" customFormat="1" ht="30">
      <c r="A9" s="11">
        <v>7</v>
      </c>
      <c r="B9" s="11" t="s">
        <v>44</v>
      </c>
      <c r="C9" s="11">
        <v>15</v>
      </c>
      <c r="D9" s="11" t="s">
        <v>242</v>
      </c>
      <c r="E9" s="11"/>
      <c r="F9" s="11" t="s">
        <v>1697</v>
      </c>
      <c r="G9" s="11" t="s">
        <v>2863</v>
      </c>
      <c r="H9" s="11"/>
      <c r="I9" s="11" t="s">
        <v>5387</v>
      </c>
    </row>
    <row r="10" spans="1:10" s="1" customFormat="1" ht="30">
      <c r="A10" s="11">
        <v>8</v>
      </c>
      <c r="B10" s="11" t="s">
        <v>1426</v>
      </c>
      <c r="C10" s="11">
        <v>20</v>
      </c>
      <c r="D10" s="11" t="s">
        <v>242</v>
      </c>
      <c r="E10" s="11"/>
      <c r="F10" s="11" t="s">
        <v>1698</v>
      </c>
      <c r="G10" s="11" t="s">
        <v>2864</v>
      </c>
      <c r="H10" s="11"/>
      <c r="I10" s="11"/>
    </row>
    <row r="11" spans="1:10" s="1" customFormat="1" ht="45">
      <c r="A11" s="59">
        <v>9</v>
      </c>
      <c r="B11" s="59" t="s">
        <v>1427</v>
      </c>
      <c r="C11" s="59">
        <v>8</v>
      </c>
      <c r="D11" s="59" t="s">
        <v>242</v>
      </c>
      <c r="E11" s="59"/>
      <c r="F11" s="59" t="s">
        <v>1699</v>
      </c>
      <c r="G11" s="59" t="s">
        <v>2865</v>
      </c>
      <c r="H11" s="59"/>
      <c r="I11" s="59"/>
      <c r="J11" s="31" t="s">
        <v>5927</v>
      </c>
    </row>
    <row r="12" spans="1:10" s="1" customFormat="1">
      <c r="A12" s="59">
        <v>10</v>
      </c>
      <c r="B12" s="59" t="s">
        <v>1182</v>
      </c>
      <c r="C12" s="59">
        <v>12</v>
      </c>
      <c r="D12" s="59" t="s">
        <v>189</v>
      </c>
      <c r="E12" s="59" t="s">
        <v>5576</v>
      </c>
      <c r="F12" s="59" t="s">
        <v>1688</v>
      </c>
      <c r="G12" s="59" t="s">
        <v>1689</v>
      </c>
      <c r="H12" s="59"/>
      <c r="I12" s="59"/>
      <c r="J12" s="31"/>
    </row>
    <row r="13" spans="1:10" s="1" customFormat="1" ht="30">
      <c r="A13" s="59">
        <v>11</v>
      </c>
      <c r="B13" s="59" t="s">
        <v>1183</v>
      </c>
      <c r="C13" s="59">
        <v>30</v>
      </c>
      <c r="D13" s="59" t="s">
        <v>242</v>
      </c>
      <c r="E13" s="59" t="s">
        <v>5576</v>
      </c>
      <c r="F13" s="59" t="s">
        <v>1690</v>
      </c>
      <c r="G13" s="59" t="s">
        <v>1691</v>
      </c>
      <c r="H13" s="59"/>
      <c r="I13" s="59"/>
      <c r="J13" s="31"/>
    </row>
    <row r="14" spans="1:10" s="1" customFormat="1">
      <c r="A14" s="31"/>
      <c r="B14" s="31"/>
      <c r="C14" s="31"/>
      <c r="D14" s="31"/>
      <c r="E14" s="31"/>
      <c r="F14" s="31"/>
      <c r="G14" s="31"/>
      <c r="H14" s="31"/>
      <c r="I14" s="31"/>
      <c r="J14" s="31"/>
    </row>
    <row r="15" spans="1:10" s="1" customFormat="1">
      <c r="A15" s="31"/>
      <c r="B15" s="31"/>
      <c r="C15" s="31"/>
      <c r="D15" s="31"/>
      <c r="E15" s="31"/>
      <c r="F15" s="31"/>
      <c r="G15" s="31"/>
      <c r="H15" s="31"/>
      <c r="I15" s="31"/>
      <c r="J15" s="31"/>
    </row>
    <row r="16" spans="1:10" s="1" customFormat="1">
      <c r="A16" s="31"/>
      <c r="B16" s="31"/>
      <c r="C16" s="31"/>
      <c r="D16" s="31"/>
      <c r="E16" s="31"/>
      <c r="F16" s="31"/>
      <c r="G16" s="31"/>
      <c r="H16" s="31"/>
      <c r="I16" s="31"/>
      <c r="J16" s="31"/>
    </row>
    <row r="17" spans="1:10" s="1" customFormat="1">
      <c r="A17" s="31"/>
      <c r="B17" s="31"/>
      <c r="C17" s="31"/>
      <c r="D17" s="31"/>
      <c r="E17" s="31"/>
      <c r="F17" s="31"/>
      <c r="G17" s="31"/>
      <c r="H17" s="31"/>
      <c r="I17" s="31"/>
      <c r="J17" s="31"/>
    </row>
    <row r="18" spans="1:10" s="1" customFormat="1">
      <c r="A18" s="31"/>
      <c r="B18" s="31"/>
      <c r="C18" s="31"/>
      <c r="D18" s="31"/>
      <c r="E18" s="31"/>
      <c r="F18" s="31"/>
      <c r="G18" s="31"/>
      <c r="H18" s="31"/>
      <c r="I18" s="31"/>
      <c r="J18" s="31"/>
    </row>
    <row r="19" spans="1:10" s="1" customFormat="1">
      <c r="A19" s="31"/>
      <c r="B19" s="31"/>
      <c r="C19" s="31"/>
      <c r="D19" s="31"/>
      <c r="E19" s="31"/>
      <c r="F19" s="31"/>
      <c r="G19" s="31"/>
      <c r="H19" s="31"/>
      <c r="I19" s="31"/>
      <c r="J19" s="31"/>
    </row>
    <row r="20" spans="1:10" s="1" customFormat="1"/>
    <row r="21" spans="1:10" s="1" customFormat="1"/>
    <row r="22" spans="1:10" s="1" customFormat="1"/>
    <row r="23" spans="1:10" s="1" customFormat="1"/>
    <row r="24" spans="1:10" s="1" customFormat="1"/>
    <row r="25" spans="1:10" s="1" customFormat="1"/>
    <row r="26" spans="1:10" s="1" customFormat="1"/>
    <row r="27" spans="1:10" s="1" customFormat="1"/>
    <row r="28" spans="1:10" s="1" customFormat="1"/>
    <row r="29" spans="1:10" s="1" customFormat="1"/>
    <row r="30" spans="1:10" s="1" customFormat="1"/>
    <row r="31" spans="1:10" s="1" customFormat="1"/>
    <row r="32" spans="1:10"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028A3-914D-4B52-AA81-827991BD75F2}">
  <sheetPr codeName="Sheet90"/>
  <dimension ref="A1:XFC250"/>
  <sheetViews>
    <sheetView workbookViewId="0">
      <selection activeCell="C22" sqref="C22"/>
    </sheetView>
  </sheetViews>
  <sheetFormatPr defaultColWidth="32.140625" defaultRowHeight="15"/>
  <cols>
    <col min="1" max="1" width="7.140625" style="1" bestFit="1" customWidth="1"/>
    <col min="2" max="2" width="20" style="1" bestFit="1" customWidth="1"/>
    <col min="3" max="3" width="4.5703125" style="1" bestFit="1" customWidth="1"/>
    <col min="4" max="4" width="9" style="1" bestFit="1" customWidth="1"/>
    <col min="5" max="5" width="24.42578125" style="1" bestFit="1" customWidth="1"/>
    <col min="6" max="6" width="26.140625" style="1" bestFit="1" customWidth="1"/>
    <col min="7" max="7" width="56" style="1" bestFit="1" customWidth="1"/>
    <col min="8" max="9" width="5.28515625" style="2" bestFit="1" customWidth="1"/>
    <col min="10" max="16382" width="32.140625" style="2"/>
    <col min="16383" max="16383" width="1.7109375" style="2" customWidth="1"/>
    <col min="16384" max="16384" width="17.7109375" style="1" customWidth="1"/>
  </cols>
  <sheetData>
    <row r="1" spans="1:9" s="1" customFormat="1">
      <c r="A1" s="12" t="s">
        <v>238</v>
      </c>
      <c r="B1" s="12"/>
      <c r="C1" s="12"/>
      <c r="D1" s="12"/>
      <c r="E1" s="12"/>
      <c r="F1" s="12"/>
      <c r="G1" s="12"/>
      <c r="H1" s="12"/>
      <c r="I1" s="12"/>
    </row>
    <row r="2" spans="1:9" s="1" customFormat="1">
      <c r="A2" s="10" t="s">
        <v>350</v>
      </c>
      <c r="B2" s="10" t="s">
        <v>156</v>
      </c>
      <c r="C2" s="10" t="s">
        <v>157</v>
      </c>
      <c r="D2" s="10" t="s">
        <v>239</v>
      </c>
      <c r="E2" s="10" t="s">
        <v>159</v>
      </c>
      <c r="F2" s="10" t="s">
        <v>1684</v>
      </c>
      <c r="G2" s="10" t="s">
        <v>1685</v>
      </c>
      <c r="H2" s="10" t="s">
        <v>5367</v>
      </c>
      <c r="I2" s="10" t="s">
        <v>5377</v>
      </c>
    </row>
    <row r="3" spans="1:9" s="1" customFormat="1">
      <c r="A3" s="11">
        <v>1</v>
      </c>
      <c r="B3" s="11" t="s">
        <v>240</v>
      </c>
      <c r="C3" s="11">
        <v>8</v>
      </c>
      <c r="D3" s="11" t="s">
        <v>160</v>
      </c>
      <c r="E3" s="11" t="s">
        <v>177</v>
      </c>
      <c r="F3" s="11" t="s">
        <v>1686</v>
      </c>
      <c r="G3" s="11" t="s">
        <v>1687</v>
      </c>
      <c r="H3" s="11" t="s">
        <v>5384</v>
      </c>
      <c r="I3" s="11"/>
    </row>
    <row r="4" spans="1:9" s="1" customFormat="1" ht="30">
      <c r="A4" s="11">
        <v>2</v>
      </c>
      <c r="B4" s="11" t="s">
        <v>1428</v>
      </c>
      <c r="C4" s="11">
        <v>14</v>
      </c>
      <c r="D4" s="11" t="s">
        <v>242</v>
      </c>
      <c r="E4" s="11"/>
      <c r="F4" s="11" t="s">
        <v>1700</v>
      </c>
      <c r="G4" s="11" t="s">
        <v>2866</v>
      </c>
      <c r="H4" s="11" t="s">
        <v>5382</v>
      </c>
      <c r="I4" s="11"/>
    </row>
    <row r="5" spans="1:9" s="1" customFormat="1" ht="30">
      <c r="A5" s="11">
        <v>3</v>
      </c>
      <c r="B5" s="11" t="s">
        <v>706</v>
      </c>
      <c r="C5" s="11">
        <v>14</v>
      </c>
      <c r="D5" s="11" t="s">
        <v>242</v>
      </c>
      <c r="E5" s="11"/>
      <c r="F5" s="11" t="s">
        <v>1701</v>
      </c>
      <c r="G5" s="11" t="s">
        <v>2867</v>
      </c>
      <c r="H5" s="11"/>
      <c r="I5" s="11"/>
    </row>
    <row r="6" spans="1:9" s="1" customFormat="1" ht="30">
      <c r="A6" s="11">
        <v>4</v>
      </c>
      <c r="B6" s="11" t="s">
        <v>1429</v>
      </c>
      <c r="C6" s="11">
        <v>8</v>
      </c>
      <c r="D6" s="11" t="s">
        <v>160</v>
      </c>
      <c r="E6" s="11" t="s">
        <v>177</v>
      </c>
      <c r="F6" s="11" t="s">
        <v>1702</v>
      </c>
      <c r="G6" s="11" t="s">
        <v>2868</v>
      </c>
      <c r="H6" s="11"/>
      <c r="I6" s="11" t="s">
        <v>5387</v>
      </c>
    </row>
    <row r="7" spans="1:9" s="1" customFormat="1" ht="30">
      <c r="A7" s="11">
        <v>5</v>
      </c>
      <c r="B7" s="11" t="s">
        <v>1430</v>
      </c>
      <c r="C7" s="11">
        <v>10</v>
      </c>
      <c r="D7" s="11" t="s">
        <v>242</v>
      </c>
      <c r="E7" s="11"/>
      <c r="F7" s="11" t="s">
        <v>1703</v>
      </c>
      <c r="G7" s="11" t="s">
        <v>2869</v>
      </c>
      <c r="H7" s="11"/>
      <c r="I7" s="11"/>
    </row>
    <row r="8" spans="1:9" s="1" customFormat="1" ht="30">
      <c r="A8" s="11">
        <v>6</v>
      </c>
      <c r="B8" s="11" t="s">
        <v>1431</v>
      </c>
      <c r="C8" s="11">
        <v>4</v>
      </c>
      <c r="D8" s="11" t="s">
        <v>242</v>
      </c>
      <c r="E8" s="11"/>
      <c r="F8" s="11" t="s">
        <v>1704</v>
      </c>
      <c r="G8" s="11" t="s">
        <v>2870</v>
      </c>
      <c r="H8" s="11"/>
      <c r="I8" s="11"/>
    </row>
    <row r="9" spans="1:9" s="1" customFormat="1" ht="30">
      <c r="A9" s="11">
        <v>7</v>
      </c>
      <c r="B9" s="11" t="s">
        <v>1432</v>
      </c>
      <c r="C9" s="11">
        <v>10</v>
      </c>
      <c r="D9" s="11" t="s">
        <v>242</v>
      </c>
      <c r="E9" s="11"/>
      <c r="F9" s="11" t="s">
        <v>1705</v>
      </c>
      <c r="G9" s="11" t="s">
        <v>2871</v>
      </c>
      <c r="H9" s="11"/>
      <c r="I9" s="11"/>
    </row>
    <row r="10" spans="1:9" s="1" customFormat="1" ht="30">
      <c r="A10" s="11">
        <v>8</v>
      </c>
      <c r="B10" s="11" t="s">
        <v>1433</v>
      </c>
      <c r="C10" s="11">
        <v>14</v>
      </c>
      <c r="D10" s="11" t="s">
        <v>1032</v>
      </c>
      <c r="E10" s="11" t="s">
        <v>1033</v>
      </c>
      <c r="F10" s="11" t="s">
        <v>1706</v>
      </c>
      <c r="G10" s="11" t="s">
        <v>2872</v>
      </c>
      <c r="H10" s="11"/>
      <c r="I10" s="11"/>
    </row>
    <row r="11" spans="1:9" s="1" customFormat="1">
      <c r="A11" s="11">
        <v>9</v>
      </c>
      <c r="B11" s="11" t="s">
        <v>1182</v>
      </c>
      <c r="C11" s="11">
        <v>12</v>
      </c>
      <c r="D11" s="11" t="s">
        <v>189</v>
      </c>
      <c r="E11" s="11" t="s">
        <v>5576</v>
      </c>
      <c r="F11" s="11" t="s">
        <v>1688</v>
      </c>
      <c r="G11" s="11" t="s">
        <v>1689</v>
      </c>
      <c r="H11" s="11"/>
      <c r="I11" s="11"/>
    </row>
    <row r="12" spans="1:9" s="1" customFormat="1" ht="30">
      <c r="A12" s="11">
        <v>10</v>
      </c>
      <c r="B12" s="11" t="s">
        <v>1183</v>
      </c>
      <c r="C12" s="11">
        <v>30</v>
      </c>
      <c r="D12" s="11" t="s">
        <v>242</v>
      </c>
      <c r="E12" s="11" t="s">
        <v>5576</v>
      </c>
      <c r="F12" s="11" t="s">
        <v>1690</v>
      </c>
      <c r="G12" s="11" t="s">
        <v>1691</v>
      </c>
      <c r="H12" s="11"/>
      <c r="I12" s="11"/>
    </row>
    <row r="13" spans="1:9" s="1" customFormat="1"/>
    <row r="14" spans="1:9" s="1" customFormat="1"/>
    <row r="15" spans="1:9" s="1" customFormat="1"/>
    <row r="16" spans="1:9"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DC1DF-D63B-4018-BC17-A9291B9BF729}">
  <sheetPr codeName="Sheet2"/>
  <dimension ref="A1:XFC250"/>
  <sheetViews>
    <sheetView topLeftCell="A37" workbookViewId="0">
      <selection activeCell="C22" sqref="C22"/>
    </sheetView>
  </sheetViews>
  <sheetFormatPr defaultColWidth="32.140625" defaultRowHeight="15"/>
  <cols>
    <col min="1" max="1" width="7" style="1" bestFit="1" customWidth="1"/>
    <col min="2" max="2" width="27" style="1" bestFit="1" customWidth="1"/>
    <col min="3" max="3" width="4.5703125" style="1" bestFit="1" customWidth="1"/>
    <col min="4" max="4" width="9" style="1" bestFit="1" customWidth="1"/>
    <col min="5" max="5" width="24.42578125" style="1" bestFit="1" customWidth="1"/>
    <col min="6" max="6" width="42.140625" style="1" bestFit="1" customWidth="1"/>
    <col min="7" max="7" width="56.7109375" style="1" bestFit="1" customWidth="1"/>
    <col min="8" max="9" width="5.28515625" style="2" bestFit="1" customWidth="1"/>
    <col min="10" max="16382" width="32.140625" style="2"/>
    <col min="16383" max="16383" width="1.7109375" style="2" customWidth="1"/>
    <col min="16384" max="16384" width="17.7109375" style="1" customWidth="1"/>
  </cols>
  <sheetData>
    <row r="1" spans="1:9" s="1" customFormat="1" ht="30">
      <c r="A1" s="12" t="s">
        <v>188</v>
      </c>
      <c r="B1" s="12"/>
      <c r="C1" s="12"/>
      <c r="D1" s="12"/>
      <c r="E1" s="12"/>
      <c r="F1" s="12"/>
      <c r="G1" s="12"/>
      <c r="H1" s="12"/>
      <c r="I1" s="12"/>
    </row>
    <row r="2" spans="1:9" s="1" customFormat="1">
      <c r="A2" s="10" t="s">
        <v>350</v>
      </c>
      <c r="B2" s="10" t="s">
        <v>156</v>
      </c>
      <c r="C2" s="10" t="s">
        <v>157</v>
      </c>
      <c r="D2" s="10" t="s">
        <v>239</v>
      </c>
      <c r="E2" s="10" t="s">
        <v>159</v>
      </c>
      <c r="F2" s="10" t="s">
        <v>1684</v>
      </c>
      <c r="G2" s="10" t="s">
        <v>1685</v>
      </c>
      <c r="H2" s="10" t="s">
        <v>5367</v>
      </c>
      <c r="I2" s="10" t="s">
        <v>5366</v>
      </c>
    </row>
    <row r="3" spans="1:9" s="1" customFormat="1">
      <c r="A3" s="11">
        <v>1</v>
      </c>
      <c r="B3" s="11" t="s">
        <v>240</v>
      </c>
      <c r="C3" s="11">
        <v>8</v>
      </c>
      <c r="D3" s="11" t="s">
        <v>160</v>
      </c>
      <c r="E3" s="11" t="s">
        <v>177</v>
      </c>
      <c r="F3" s="11" t="s">
        <v>1686</v>
      </c>
      <c r="G3" s="11" t="s">
        <v>1687</v>
      </c>
      <c r="H3" s="11" t="s">
        <v>5382</v>
      </c>
      <c r="I3" s="11"/>
    </row>
    <row r="4" spans="1:9" s="1" customFormat="1" ht="30">
      <c r="A4" s="11">
        <v>2</v>
      </c>
      <c r="B4" s="11" t="s">
        <v>78</v>
      </c>
      <c r="C4" s="11">
        <v>4</v>
      </c>
      <c r="D4" s="11" t="s">
        <v>242</v>
      </c>
      <c r="E4" s="11"/>
      <c r="F4" s="11" t="s">
        <v>1707</v>
      </c>
      <c r="G4" s="11" t="s">
        <v>5307</v>
      </c>
      <c r="H4" s="11" t="s">
        <v>5384</v>
      </c>
      <c r="I4" s="11"/>
    </row>
    <row r="5" spans="1:9" s="1" customFormat="1" ht="30">
      <c r="A5" s="11">
        <v>3</v>
      </c>
      <c r="B5" s="11" t="s">
        <v>89</v>
      </c>
      <c r="C5" s="11">
        <v>10</v>
      </c>
      <c r="D5" s="11" t="s">
        <v>242</v>
      </c>
      <c r="E5" s="11"/>
      <c r="F5" s="11" t="s">
        <v>1708</v>
      </c>
      <c r="G5" s="11" t="s">
        <v>2366</v>
      </c>
      <c r="H5" s="11" t="s">
        <v>5385</v>
      </c>
      <c r="I5" s="11"/>
    </row>
    <row r="6" spans="1:9" s="1" customFormat="1" ht="30">
      <c r="A6" s="11">
        <v>4</v>
      </c>
      <c r="B6" s="11" t="s">
        <v>87</v>
      </c>
      <c r="C6" s="11">
        <v>14</v>
      </c>
      <c r="D6" s="11" t="s">
        <v>242</v>
      </c>
      <c r="E6" s="11"/>
      <c r="F6" s="11" t="s">
        <v>1709</v>
      </c>
      <c r="G6" s="11" t="s">
        <v>2367</v>
      </c>
      <c r="H6" s="11" t="s">
        <v>5672</v>
      </c>
      <c r="I6" s="11"/>
    </row>
    <row r="7" spans="1:9" s="1" customFormat="1" ht="30">
      <c r="A7" s="11">
        <v>5</v>
      </c>
      <c r="B7" s="11" t="s">
        <v>241</v>
      </c>
      <c r="C7" s="11">
        <v>14</v>
      </c>
      <c r="D7" s="11" t="s">
        <v>242</v>
      </c>
      <c r="E7" s="11"/>
      <c r="F7" s="11" t="s">
        <v>1711</v>
      </c>
      <c r="G7" s="11" t="s">
        <v>3649</v>
      </c>
      <c r="H7" s="11"/>
      <c r="I7" s="11" t="s">
        <v>5387</v>
      </c>
    </row>
    <row r="8" spans="1:9" s="1" customFormat="1" ht="30">
      <c r="A8" s="11">
        <v>6</v>
      </c>
      <c r="B8" s="11" t="s">
        <v>0</v>
      </c>
      <c r="C8" s="11">
        <v>1</v>
      </c>
      <c r="D8" s="11" t="s">
        <v>242</v>
      </c>
      <c r="E8" s="11"/>
      <c r="F8" s="11" t="s">
        <v>1724</v>
      </c>
      <c r="G8" s="11" t="s">
        <v>5308</v>
      </c>
      <c r="H8" s="11"/>
      <c r="I8" s="11"/>
    </row>
    <row r="9" spans="1:9" s="1" customFormat="1" ht="30">
      <c r="A9" s="11">
        <v>7</v>
      </c>
      <c r="B9" s="11" t="s">
        <v>90</v>
      </c>
      <c r="C9" s="11">
        <v>10</v>
      </c>
      <c r="D9" s="11" t="s">
        <v>242</v>
      </c>
      <c r="E9" s="11"/>
      <c r="F9" s="11" t="s">
        <v>5309</v>
      </c>
      <c r="G9" s="11" t="s">
        <v>5310</v>
      </c>
      <c r="H9" s="11"/>
      <c r="I9" s="11"/>
    </row>
    <row r="10" spans="1:9" s="1" customFormat="1" ht="30">
      <c r="A10" s="11">
        <v>8</v>
      </c>
      <c r="B10" s="11" t="s">
        <v>296</v>
      </c>
      <c r="C10" s="11">
        <v>2</v>
      </c>
      <c r="D10" s="11" t="s">
        <v>242</v>
      </c>
      <c r="E10" s="11"/>
      <c r="F10" s="11" t="s">
        <v>2375</v>
      </c>
      <c r="G10" s="11" t="s">
        <v>5311</v>
      </c>
      <c r="H10" s="11"/>
      <c r="I10" s="11"/>
    </row>
    <row r="11" spans="1:9" s="1" customFormat="1" ht="165">
      <c r="A11" s="11">
        <v>9</v>
      </c>
      <c r="B11" s="11" t="s">
        <v>1271</v>
      </c>
      <c r="C11" s="11">
        <v>2</v>
      </c>
      <c r="D11" s="11" t="s">
        <v>242</v>
      </c>
      <c r="E11" s="11"/>
      <c r="F11" s="11" t="s">
        <v>3758</v>
      </c>
      <c r="G11" s="11" t="s">
        <v>5673</v>
      </c>
      <c r="H11" s="11"/>
      <c r="I11" s="11"/>
    </row>
    <row r="12" spans="1:9" s="1" customFormat="1" ht="30">
      <c r="A12" s="11">
        <v>10</v>
      </c>
      <c r="B12" s="11" t="s">
        <v>1272</v>
      </c>
      <c r="C12" s="11">
        <v>1</v>
      </c>
      <c r="D12" s="11" t="s">
        <v>242</v>
      </c>
      <c r="E12" s="11"/>
      <c r="F12" s="11" t="s">
        <v>5312</v>
      </c>
      <c r="G12" s="11" t="s">
        <v>5313</v>
      </c>
      <c r="H12" s="11"/>
      <c r="I12" s="11"/>
    </row>
    <row r="13" spans="1:9" s="1" customFormat="1" ht="30">
      <c r="A13" s="11">
        <v>11</v>
      </c>
      <c r="B13" s="11" t="s">
        <v>1273</v>
      </c>
      <c r="C13" s="11">
        <v>1</v>
      </c>
      <c r="D13" s="11" t="s">
        <v>242</v>
      </c>
      <c r="E13" s="11"/>
      <c r="F13" s="11" t="s">
        <v>5314</v>
      </c>
      <c r="G13" s="11" t="s">
        <v>5674</v>
      </c>
      <c r="H13" s="11"/>
      <c r="I13" s="11"/>
    </row>
    <row r="14" spans="1:9" s="1" customFormat="1">
      <c r="A14" s="11">
        <v>12</v>
      </c>
      <c r="B14" s="11" t="s">
        <v>245</v>
      </c>
      <c r="C14" s="11">
        <v>8</v>
      </c>
      <c r="D14" s="11" t="s">
        <v>160</v>
      </c>
      <c r="E14" s="11" t="s">
        <v>177</v>
      </c>
      <c r="F14" s="11" t="s">
        <v>5315</v>
      </c>
      <c r="G14" s="11" t="s">
        <v>5316</v>
      </c>
      <c r="H14" s="11"/>
      <c r="I14" s="11"/>
    </row>
    <row r="15" spans="1:9" s="1" customFormat="1" ht="30">
      <c r="A15" s="11">
        <v>13</v>
      </c>
      <c r="B15" s="11" t="s">
        <v>77</v>
      </c>
      <c r="C15" s="11">
        <v>8</v>
      </c>
      <c r="D15" s="11" t="s">
        <v>160</v>
      </c>
      <c r="E15" s="11" t="s">
        <v>177</v>
      </c>
      <c r="F15" s="11" t="s">
        <v>2345</v>
      </c>
      <c r="G15" s="11" t="s">
        <v>5317</v>
      </c>
      <c r="H15" s="11"/>
      <c r="I15" s="11"/>
    </row>
    <row r="16" spans="1:9" s="1" customFormat="1" ht="120">
      <c r="A16" s="11">
        <v>14</v>
      </c>
      <c r="B16" s="11" t="s">
        <v>1</v>
      </c>
      <c r="C16" s="11">
        <v>1</v>
      </c>
      <c r="D16" s="11" t="s">
        <v>242</v>
      </c>
      <c r="E16" s="11"/>
      <c r="F16" s="11" t="s">
        <v>5318</v>
      </c>
      <c r="G16" s="11" t="s">
        <v>2387</v>
      </c>
      <c r="H16" s="11"/>
      <c r="I16" s="11"/>
    </row>
    <row r="17" spans="1:9" s="1" customFormat="1" ht="30">
      <c r="A17" s="11">
        <v>15</v>
      </c>
      <c r="B17" s="11" t="s">
        <v>150</v>
      </c>
      <c r="C17" s="11">
        <v>200</v>
      </c>
      <c r="D17" s="11" t="s">
        <v>242</v>
      </c>
      <c r="E17" s="11"/>
      <c r="F17" s="11" t="s">
        <v>1803</v>
      </c>
      <c r="G17" s="11" t="s">
        <v>5319</v>
      </c>
      <c r="H17" s="11"/>
      <c r="I17" s="11"/>
    </row>
    <row r="18" spans="1:9" s="1" customFormat="1" ht="225">
      <c r="A18" s="11">
        <v>16</v>
      </c>
      <c r="B18" s="11" t="s">
        <v>267</v>
      </c>
      <c r="C18" s="11">
        <v>1</v>
      </c>
      <c r="D18" s="11" t="s">
        <v>242</v>
      </c>
      <c r="E18" s="11"/>
      <c r="F18" s="11" t="s">
        <v>5320</v>
      </c>
      <c r="G18" s="11" t="s">
        <v>5400</v>
      </c>
      <c r="H18" s="11"/>
      <c r="I18" s="11"/>
    </row>
    <row r="19" spans="1:9" s="1" customFormat="1" ht="180">
      <c r="A19" s="11">
        <v>17</v>
      </c>
      <c r="B19" s="11" t="s">
        <v>252</v>
      </c>
      <c r="C19" s="11">
        <v>9</v>
      </c>
      <c r="D19" s="11" t="s">
        <v>189</v>
      </c>
      <c r="E19" s="11" t="s">
        <v>1269</v>
      </c>
      <c r="F19" s="11" t="s">
        <v>5321</v>
      </c>
      <c r="G19" s="11" t="s">
        <v>3711</v>
      </c>
      <c r="H19" s="11"/>
      <c r="I19" s="11"/>
    </row>
    <row r="20" spans="1:9" s="1" customFormat="1" ht="165">
      <c r="A20" s="11">
        <v>18</v>
      </c>
      <c r="B20" s="11" t="s">
        <v>253</v>
      </c>
      <c r="C20" s="11">
        <v>9</v>
      </c>
      <c r="D20" s="11" t="s">
        <v>189</v>
      </c>
      <c r="E20" s="11" t="s">
        <v>1269</v>
      </c>
      <c r="F20" s="11" t="s">
        <v>5322</v>
      </c>
      <c r="G20" s="11" t="s">
        <v>3713</v>
      </c>
      <c r="H20" s="11"/>
      <c r="I20" s="11"/>
    </row>
    <row r="21" spans="1:9" s="1" customFormat="1" ht="105">
      <c r="A21" s="11">
        <v>19</v>
      </c>
      <c r="B21" s="11" t="s">
        <v>268</v>
      </c>
      <c r="C21" s="11">
        <v>14</v>
      </c>
      <c r="D21" s="11" t="s">
        <v>242</v>
      </c>
      <c r="E21" s="11"/>
      <c r="F21" s="11" t="s">
        <v>2491</v>
      </c>
      <c r="G21" s="11" t="s">
        <v>3740</v>
      </c>
      <c r="H21" s="11"/>
      <c r="I21" s="11"/>
    </row>
    <row r="22" spans="1:9" s="1" customFormat="1" ht="30">
      <c r="A22" s="11">
        <v>20</v>
      </c>
      <c r="B22" s="11" t="s">
        <v>211</v>
      </c>
      <c r="C22" s="11">
        <v>5</v>
      </c>
      <c r="D22" s="11" t="s">
        <v>242</v>
      </c>
      <c r="E22" s="11"/>
      <c r="F22" s="11" t="s">
        <v>4060</v>
      </c>
      <c r="G22" s="11" t="s">
        <v>5323</v>
      </c>
      <c r="H22" s="11"/>
      <c r="I22" s="11"/>
    </row>
    <row r="23" spans="1:9" s="1" customFormat="1" ht="30">
      <c r="A23" s="11">
        <v>21</v>
      </c>
      <c r="B23" s="11" t="s">
        <v>1274</v>
      </c>
      <c r="C23" s="11">
        <v>2</v>
      </c>
      <c r="D23" s="11" t="s">
        <v>242</v>
      </c>
      <c r="E23" s="11"/>
      <c r="F23" s="11" t="s">
        <v>5324</v>
      </c>
      <c r="G23" s="11" t="s">
        <v>5325</v>
      </c>
      <c r="H23" s="11"/>
      <c r="I23" s="11"/>
    </row>
    <row r="24" spans="1:9" s="1" customFormat="1" ht="45">
      <c r="A24" s="11">
        <v>22</v>
      </c>
      <c r="B24" s="11" t="s">
        <v>279</v>
      </c>
      <c r="C24" s="11">
        <v>1</v>
      </c>
      <c r="D24" s="11" t="s">
        <v>242</v>
      </c>
      <c r="E24" s="11"/>
      <c r="F24" s="11" t="s">
        <v>5326</v>
      </c>
      <c r="G24" s="11" t="s">
        <v>5327</v>
      </c>
      <c r="H24" s="11"/>
      <c r="I24" s="11"/>
    </row>
    <row r="25" spans="1:9" s="1" customFormat="1" ht="30">
      <c r="A25" s="11">
        <v>23</v>
      </c>
      <c r="B25" s="11" t="s">
        <v>79</v>
      </c>
      <c r="C25" s="11">
        <v>4</v>
      </c>
      <c r="D25" s="11" t="s">
        <v>242</v>
      </c>
      <c r="E25" s="11"/>
      <c r="F25" s="11" t="s">
        <v>1715</v>
      </c>
      <c r="G25" s="11" t="s">
        <v>2095</v>
      </c>
      <c r="H25" s="11"/>
      <c r="I25" s="11"/>
    </row>
    <row r="26" spans="1:9" s="1" customFormat="1" ht="30">
      <c r="A26" s="11">
        <v>24</v>
      </c>
      <c r="B26" s="11" t="s">
        <v>1275</v>
      </c>
      <c r="C26" s="11">
        <v>1</v>
      </c>
      <c r="D26" s="11" t="s">
        <v>242</v>
      </c>
      <c r="E26" s="11"/>
      <c r="F26" s="11" t="s">
        <v>5328</v>
      </c>
      <c r="G26" s="11" t="s">
        <v>5329</v>
      </c>
      <c r="H26" s="11"/>
      <c r="I26" s="11"/>
    </row>
    <row r="27" spans="1:9" s="1" customFormat="1" ht="30">
      <c r="A27" s="11">
        <v>25</v>
      </c>
      <c r="B27" s="11" t="s">
        <v>1276</v>
      </c>
      <c r="C27" s="11">
        <v>2</v>
      </c>
      <c r="D27" s="11" t="s">
        <v>242</v>
      </c>
      <c r="E27" s="11"/>
      <c r="F27" s="11" t="s">
        <v>2376</v>
      </c>
      <c r="G27" s="11" t="s">
        <v>5330</v>
      </c>
      <c r="H27" s="11"/>
      <c r="I27" s="11"/>
    </row>
    <row r="28" spans="1:9" s="1" customFormat="1" ht="30">
      <c r="A28" s="11">
        <v>26</v>
      </c>
      <c r="B28" s="11" t="s">
        <v>1277</v>
      </c>
      <c r="C28" s="11">
        <v>2</v>
      </c>
      <c r="D28" s="11" t="s">
        <v>242</v>
      </c>
      <c r="E28" s="11"/>
      <c r="F28" s="11" t="s">
        <v>2377</v>
      </c>
      <c r="G28" s="11" t="s">
        <v>5331</v>
      </c>
      <c r="H28" s="11"/>
      <c r="I28" s="11"/>
    </row>
    <row r="29" spans="1:9" s="1" customFormat="1" ht="30">
      <c r="A29" s="11">
        <v>27</v>
      </c>
      <c r="B29" s="11" t="s">
        <v>1278</v>
      </c>
      <c r="C29" s="11">
        <v>30</v>
      </c>
      <c r="D29" s="11" t="s">
        <v>242</v>
      </c>
      <c r="E29" s="11"/>
      <c r="F29" s="11" t="s">
        <v>5332</v>
      </c>
      <c r="G29" s="11" t="s">
        <v>5333</v>
      </c>
      <c r="H29" s="11"/>
      <c r="I29" s="11"/>
    </row>
    <row r="30" spans="1:9" s="1" customFormat="1" ht="30">
      <c r="A30" s="11">
        <v>28</v>
      </c>
      <c r="B30" s="11" t="s">
        <v>1279</v>
      </c>
      <c r="C30" s="11">
        <v>2</v>
      </c>
      <c r="D30" s="11" t="s">
        <v>242</v>
      </c>
      <c r="E30" s="11"/>
      <c r="F30" s="11" t="s">
        <v>5334</v>
      </c>
      <c r="G30" s="11" t="s">
        <v>5335</v>
      </c>
      <c r="H30" s="11"/>
      <c r="I30" s="11"/>
    </row>
    <row r="31" spans="1:9" s="1" customFormat="1" ht="45">
      <c r="A31" s="11">
        <v>29</v>
      </c>
      <c r="B31" s="11" t="s">
        <v>227</v>
      </c>
      <c r="C31" s="11">
        <v>2</v>
      </c>
      <c r="D31" s="11" t="s">
        <v>242</v>
      </c>
      <c r="E31" s="11"/>
      <c r="F31" s="11" t="s">
        <v>5336</v>
      </c>
      <c r="G31" s="11" t="s">
        <v>5337</v>
      </c>
      <c r="H31" s="11"/>
      <c r="I31" s="11"/>
    </row>
    <row r="32" spans="1:9" s="1" customFormat="1" ht="30">
      <c r="A32" s="11">
        <v>30</v>
      </c>
      <c r="B32" s="11" t="s">
        <v>1280</v>
      </c>
      <c r="C32" s="11">
        <v>1</v>
      </c>
      <c r="D32" s="11" t="s">
        <v>242</v>
      </c>
      <c r="E32" s="11"/>
      <c r="F32" s="11" t="s">
        <v>5338</v>
      </c>
      <c r="G32" s="11" t="s">
        <v>5339</v>
      </c>
      <c r="H32" s="11"/>
      <c r="I32" s="11"/>
    </row>
    <row r="33" spans="1:9" s="1" customFormat="1">
      <c r="A33" s="11">
        <v>31</v>
      </c>
      <c r="B33" s="11" t="s">
        <v>1281</v>
      </c>
      <c r="C33" s="11">
        <v>2</v>
      </c>
      <c r="D33" s="11" t="s">
        <v>242</v>
      </c>
      <c r="E33" s="11"/>
      <c r="F33" s="11" t="s">
        <v>5340</v>
      </c>
      <c r="G33" s="11" t="s">
        <v>5341</v>
      </c>
      <c r="H33" s="11"/>
      <c r="I33" s="11"/>
    </row>
    <row r="34" spans="1:9" s="1" customFormat="1" ht="30">
      <c r="A34" s="11">
        <v>32</v>
      </c>
      <c r="B34" s="11" t="s">
        <v>1282</v>
      </c>
      <c r="C34" s="11">
        <v>2</v>
      </c>
      <c r="D34" s="11" t="s">
        <v>242</v>
      </c>
      <c r="E34" s="11"/>
      <c r="F34" s="11" t="s">
        <v>5342</v>
      </c>
      <c r="G34" s="11" t="s">
        <v>5343</v>
      </c>
      <c r="H34" s="11"/>
      <c r="I34" s="11"/>
    </row>
    <row r="35" spans="1:9" s="1" customFormat="1" ht="30">
      <c r="A35" s="11">
        <v>33</v>
      </c>
      <c r="B35" s="11" t="s">
        <v>1283</v>
      </c>
      <c r="C35" s="11">
        <v>2</v>
      </c>
      <c r="D35" s="11" t="s">
        <v>242</v>
      </c>
      <c r="E35" s="11"/>
      <c r="F35" s="11" t="s">
        <v>5344</v>
      </c>
      <c r="G35" s="11" t="s">
        <v>5345</v>
      </c>
      <c r="H35" s="11"/>
      <c r="I35" s="11"/>
    </row>
    <row r="36" spans="1:9" s="1" customFormat="1" ht="30">
      <c r="A36" s="11">
        <v>34</v>
      </c>
      <c r="B36" s="11" t="s">
        <v>1284</v>
      </c>
      <c r="C36" s="11">
        <v>30</v>
      </c>
      <c r="D36" s="11" t="s">
        <v>242</v>
      </c>
      <c r="E36" s="11"/>
      <c r="F36" s="11" t="s">
        <v>2378</v>
      </c>
      <c r="G36" s="11" t="s">
        <v>5346</v>
      </c>
      <c r="H36" s="11"/>
      <c r="I36" s="11"/>
    </row>
    <row r="37" spans="1:9" s="1" customFormat="1" ht="45">
      <c r="A37" s="11">
        <v>35</v>
      </c>
      <c r="B37" s="11" t="s">
        <v>1285</v>
      </c>
      <c r="C37" s="11">
        <v>1</v>
      </c>
      <c r="D37" s="11" t="s">
        <v>242</v>
      </c>
      <c r="E37" s="11"/>
      <c r="F37" s="11" t="s">
        <v>5347</v>
      </c>
      <c r="G37" s="11" t="s">
        <v>5348</v>
      </c>
      <c r="H37" s="11"/>
      <c r="I37" s="11"/>
    </row>
    <row r="38" spans="1:9" s="1" customFormat="1" ht="30">
      <c r="A38" s="11">
        <v>36</v>
      </c>
      <c r="B38" s="11" t="s">
        <v>1286</v>
      </c>
      <c r="C38" s="11">
        <v>12</v>
      </c>
      <c r="D38" s="11" t="s">
        <v>242</v>
      </c>
      <c r="E38" s="11"/>
      <c r="F38" s="11" t="s">
        <v>5349</v>
      </c>
      <c r="G38" s="11" t="s">
        <v>5350</v>
      </c>
      <c r="H38" s="11"/>
      <c r="I38" s="11"/>
    </row>
    <row r="39" spans="1:9" s="1" customFormat="1" ht="30">
      <c r="A39" s="11">
        <v>37</v>
      </c>
      <c r="B39" s="11" t="s">
        <v>206</v>
      </c>
      <c r="C39" s="11">
        <v>14</v>
      </c>
      <c r="D39" s="11" t="s">
        <v>242</v>
      </c>
      <c r="E39" s="11"/>
      <c r="F39" s="11" t="s">
        <v>5680</v>
      </c>
      <c r="G39" s="11" t="s">
        <v>5681</v>
      </c>
      <c r="H39" s="11"/>
      <c r="I39" s="11"/>
    </row>
    <row r="40" spans="1:9" s="1" customFormat="1" ht="30">
      <c r="A40" s="11">
        <v>38</v>
      </c>
      <c r="B40" s="11" t="s">
        <v>1287</v>
      </c>
      <c r="C40" s="11">
        <v>3</v>
      </c>
      <c r="D40" s="11" t="s">
        <v>242</v>
      </c>
      <c r="E40" s="11"/>
      <c r="F40" s="11" t="s">
        <v>5351</v>
      </c>
      <c r="G40" s="11" t="s">
        <v>5352</v>
      </c>
      <c r="H40" s="11"/>
      <c r="I40" s="11"/>
    </row>
    <row r="41" spans="1:9" s="1" customFormat="1" ht="30">
      <c r="A41" s="11">
        <v>39</v>
      </c>
      <c r="B41" s="11" t="s">
        <v>1288</v>
      </c>
      <c r="C41" s="11">
        <v>2</v>
      </c>
      <c r="D41" s="11" t="s">
        <v>242</v>
      </c>
      <c r="E41" s="11"/>
      <c r="F41" s="11" t="s">
        <v>5265</v>
      </c>
      <c r="G41" s="11" t="s">
        <v>5353</v>
      </c>
      <c r="H41" s="11"/>
      <c r="I41" s="11"/>
    </row>
    <row r="42" spans="1:9" s="1" customFormat="1" ht="30">
      <c r="A42" s="11">
        <v>40</v>
      </c>
      <c r="B42" s="11" t="s">
        <v>338</v>
      </c>
      <c r="C42" s="11">
        <v>1</v>
      </c>
      <c r="D42" s="11" t="s">
        <v>242</v>
      </c>
      <c r="E42" s="11"/>
      <c r="F42" s="11" t="s">
        <v>5354</v>
      </c>
      <c r="G42" s="11" t="s">
        <v>5355</v>
      </c>
      <c r="H42" s="11"/>
      <c r="I42" s="11"/>
    </row>
    <row r="43" spans="1:9" s="1" customFormat="1" ht="60">
      <c r="A43" s="11">
        <v>41</v>
      </c>
      <c r="B43" s="11" t="s">
        <v>1289</v>
      </c>
      <c r="C43" s="11">
        <v>1</v>
      </c>
      <c r="D43" s="11" t="s">
        <v>242</v>
      </c>
      <c r="E43" s="11"/>
      <c r="F43" s="11" t="s">
        <v>5356</v>
      </c>
      <c r="G43" s="11" t="s">
        <v>5357</v>
      </c>
      <c r="H43" s="11"/>
      <c r="I43" s="11"/>
    </row>
    <row r="44" spans="1:9" s="1" customFormat="1" ht="30">
      <c r="A44" s="11">
        <v>42</v>
      </c>
      <c r="B44" s="11" t="s">
        <v>105</v>
      </c>
      <c r="C44" s="11">
        <v>10</v>
      </c>
      <c r="D44" s="11" t="s">
        <v>242</v>
      </c>
      <c r="E44" s="11"/>
      <c r="F44" s="11" t="s">
        <v>1716</v>
      </c>
      <c r="G44" s="11" t="s">
        <v>5358</v>
      </c>
      <c r="H44" s="11"/>
      <c r="I44" s="11"/>
    </row>
    <row r="45" spans="1:9" s="1" customFormat="1" ht="30">
      <c r="A45" s="11">
        <v>43</v>
      </c>
      <c r="B45" s="11" t="s">
        <v>163</v>
      </c>
      <c r="C45" s="11">
        <v>14</v>
      </c>
      <c r="D45" s="11" t="s">
        <v>242</v>
      </c>
      <c r="E45" s="11"/>
      <c r="F45" s="11" t="s">
        <v>1717</v>
      </c>
      <c r="G45" s="11" t="s">
        <v>5359</v>
      </c>
      <c r="H45" s="11"/>
      <c r="I45" s="11"/>
    </row>
    <row r="46" spans="1:9" s="1" customFormat="1">
      <c r="A46" s="11">
        <v>44</v>
      </c>
      <c r="B46" s="11" t="s">
        <v>1182</v>
      </c>
      <c r="C46" s="11">
        <v>12</v>
      </c>
      <c r="D46" s="11" t="s">
        <v>189</v>
      </c>
      <c r="E46" s="11" t="s">
        <v>5576</v>
      </c>
      <c r="F46" s="11" t="s">
        <v>1688</v>
      </c>
      <c r="G46" s="11" t="s">
        <v>1689</v>
      </c>
      <c r="H46" s="11"/>
      <c r="I46" s="11"/>
    </row>
    <row r="47" spans="1:9" s="1" customFormat="1" ht="30">
      <c r="A47" s="11">
        <v>45</v>
      </c>
      <c r="B47" s="11" t="s">
        <v>1183</v>
      </c>
      <c r="C47" s="11">
        <v>30</v>
      </c>
      <c r="D47" s="11" t="s">
        <v>242</v>
      </c>
      <c r="E47" s="11" t="s">
        <v>5576</v>
      </c>
      <c r="F47" s="11" t="s">
        <v>1690</v>
      </c>
      <c r="G47" s="11" t="s">
        <v>1691</v>
      </c>
      <c r="H47" s="11"/>
      <c r="I47" s="11"/>
    </row>
    <row r="48" spans="1:9"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1B9A3-E94D-4B67-9CB4-500229032CF9}">
  <sheetPr codeName="Sheet91"/>
  <dimension ref="A1:XFC250"/>
  <sheetViews>
    <sheetView workbookViewId="0">
      <selection activeCell="C22" sqref="C22"/>
    </sheetView>
  </sheetViews>
  <sheetFormatPr defaultColWidth="32.140625" defaultRowHeight="15"/>
  <cols>
    <col min="1" max="1" width="7.140625" style="1" bestFit="1" customWidth="1"/>
    <col min="2" max="2" width="19.42578125" style="1" bestFit="1" customWidth="1"/>
    <col min="3" max="3" width="4.5703125" style="1" bestFit="1" customWidth="1"/>
    <col min="4" max="4" width="9" style="1" bestFit="1" customWidth="1"/>
    <col min="5" max="5" width="24.42578125" style="1" bestFit="1" customWidth="1"/>
    <col min="6" max="6" width="46" style="1" bestFit="1" customWidth="1"/>
    <col min="7" max="7" width="58" style="1" bestFit="1" customWidth="1"/>
    <col min="8" max="9" width="5.28515625" style="2" bestFit="1" customWidth="1"/>
    <col min="10" max="16382" width="32.140625" style="2"/>
    <col min="16383" max="16383" width="1.7109375" style="2" customWidth="1"/>
    <col min="16384" max="16384" width="17.7109375" style="1" customWidth="1"/>
  </cols>
  <sheetData>
    <row r="1" spans="1:9" s="1" customFormat="1">
      <c r="A1" s="12" t="s">
        <v>238</v>
      </c>
      <c r="B1" s="12"/>
      <c r="C1" s="12"/>
      <c r="D1" s="12"/>
      <c r="E1" s="12"/>
      <c r="F1" s="12"/>
      <c r="G1" s="12"/>
      <c r="H1" s="12"/>
      <c r="I1" s="12"/>
    </row>
    <row r="2" spans="1:9" s="1" customFormat="1">
      <c r="A2" s="10" t="s">
        <v>350</v>
      </c>
      <c r="B2" s="10" t="s">
        <v>156</v>
      </c>
      <c r="C2" s="10" t="s">
        <v>157</v>
      </c>
      <c r="D2" s="10" t="s">
        <v>239</v>
      </c>
      <c r="E2" s="10" t="s">
        <v>159</v>
      </c>
      <c r="F2" s="10" t="s">
        <v>1684</v>
      </c>
      <c r="G2" s="10" t="s">
        <v>1685</v>
      </c>
      <c r="H2" s="10" t="s">
        <v>5367</v>
      </c>
      <c r="I2" s="10" t="s">
        <v>5366</v>
      </c>
    </row>
    <row r="3" spans="1:9" s="1" customFormat="1">
      <c r="A3" s="11">
        <v>1</v>
      </c>
      <c r="B3" s="11" t="s">
        <v>240</v>
      </c>
      <c r="C3" s="11">
        <v>8</v>
      </c>
      <c r="D3" s="11" t="s">
        <v>160</v>
      </c>
      <c r="E3" s="11" t="s">
        <v>177</v>
      </c>
      <c r="F3" s="11" t="s">
        <v>1686</v>
      </c>
      <c r="G3" s="11" t="s">
        <v>1687</v>
      </c>
      <c r="H3" s="11" t="s">
        <v>5382</v>
      </c>
      <c r="I3" s="11"/>
    </row>
    <row r="4" spans="1:9" s="1" customFormat="1" ht="30">
      <c r="A4" s="11">
        <v>2</v>
      </c>
      <c r="B4" s="11" t="s">
        <v>78</v>
      </c>
      <c r="C4" s="11">
        <v>4</v>
      </c>
      <c r="D4" s="11" t="s">
        <v>242</v>
      </c>
      <c r="E4" s="11"/>
      <c r="F4" s="11" t="s">
        <v>1707</v>
      </c>
      <c r="G4" s="11" t="s">
        <v>2873</v>
      </c>
      <c r="H4" s="11" t="s">
        <v>5384</v>
      </c>
      <c r="I4" s="11"/>
    </row>
    <row r="5" spans="1:9" s="1" customFormat="1" ht="30">
      <c r="A5" s="11">
        <v>3</v>
      </c>
      <c r="B5" s="11" t="s">
        <v>89</v>
      </c>
      <c r="C5" s="11">
        <v>10</v>
      </c>
      <c r="D5" s="11" t="s">
        <v>242</v>
      </c>
      <c r="E5" s="11"/>
      <c r="F5" s="11" t="s">
        <v>1708</v>
      </c>
      <c r="G5" s="11" t="s">
        <v>2874</v>
      </c>
      <c r="H5" s="11" t="s">
        <v>5385</v>
      </c>
      <c r="I5" s="11"/>
    </row>
    <row r="6" spans="1:9" s="1" customFormat="1" ht="30">
      <c r="A6" s="11">
        <v>4</v>
      </c>
      <c r="B6" s="11" t="s">
        <v>87</v>
      </c>
      <c r="C6" s="11">
        <v>14</v>
      </c>
      <c r="D6" s="11" t="s">
        <v>1032</v>
      </c>
      <c r="E6" s="11" t="s">
        <v>1033</v>
      </c>
      <c r="F6" s="11" t="s">
        <v>1709</v>
      </c>
      <c r="G6" s="11" t="s">
        <v>2875</v>
      </c>
      <c r="H6" s="11" t="s">
        <v>5402</v>
      </c>
      <c r="I6" s="11"/>
    </row>
    <row r="7" spans="1:9" s="1" customFormat="1" ht="30">
      <c r="A7" s="11">
        <v>5</v>
      </c>
      <c r="B7" s="11" t="s">
        <v>151</v>
      </c>
      <c r="C7" s="11">
        <v>7</v>
      </c>
      <c r="D7" s="11" t="s">
        <v>242</v>
      </c>
      <c r="E7" s="11"/>
      <c r="F7" s="11" t="s">
        <v>1694</v>
      </c>
      <c r="G7" s="11" t="s">
        <v>2876</v>
      </c>
      <c r="H7" s="11" t="s">
        <v>5451</v>
      </c>
      <c r="I7" s="11" t="s">
        <v>5387</v>
      </c>
    </row>
    <row r="8" spans="1:9" s="1" customFormat="1" ht="30">
      <c r="A8" s="11">
        <v>6</v>
      </c>
      <c r="B8" s="11" t="s">
        <v>1434</v>
      </c>
      <c r="C8" s="11">
        <v>1</v>
      </c>
      <c r="D8" s="11" t="s">
        <v>242</v>
      </c>
      <c r="E8" s="11"/>
      <c r="F8" s="11" t="s">
        <v>1710</v>
      </c>
      <c r="G8" s="11" t="s">
        <v>5682</v>
      </c>
      <c r="H8" s="11"/>
      <c r="I8" s="11"/>
    </row>
    <row r="9" spans="1:9" s="1" customFormat="1" ht="30">
      <c r="A9" s="11">
        <v>7</v>
      </c>
      <c r="B9" s="11" t="s">
        <v>241</v>
      </c>
      <c r="C9" s="11">
        <v>14</v>
      </c>
      <c r="D9" s="11" t="s">
        <v>242</v>
      </c>
      <c r="E9" s="11"/>
      <c r="F9" s="11" t="s">
        <v>1711</v>
      </c>
      <c r="G9" s="11" t="s">
        <v>2877</v>
      </c>
      <c r="H9" s="11"/>
      <c r="I9" s="11"/>
    </row>
    <row r="10" spans="1:9" s="1" customFormat="1" ht="30">
      <c r="A10" s="11">
        <v>8</v>
      </c>
      <c r="B10" s="11" t="s">
        <v>233</v>
      </c>
      <c r="C10" s="11">
        <v>24</v>
      </c>
      <c r="D10" s="11" t="s">
        <v>242</v>
      </c>
      <c r="E10" s="11"/>
      <c r="F10" s="11" t="s">
        <v>1712</v>
      </c>
      <c r="G10" s="11" t="s">
        <v>2878</v>
      </c>
      <c r="H10" s="11"/>
      <c r="I10" s="11"/>
    </row>
    <row r="11" spans="1:9" s="1" customFormat="1" ht="30">
      <c r="A11" s="11">
        <v>9</v>
      </c>
      <c r="B11" s="11" t="s">
        <v>394</v>
      </c>
      <c r="C11" s="11">
        <v>30</v>
      </c>
      <c r="D11" s="11" t="s">
        <v>242</v>
      </c>
      <c r="E11" s="11"/>
      <c r="F11" s="11" t="s">
        <v>1695</v>
      </c>
      <c r="G11" s="11" t="s">
        <v>2879</v>
      </c>
      <c r="H11" s="11"/>
      <c r="I11" s="11"/>
    </row>
    <row r="12" spans="1:9" s="1" customFormat="1" ht="30">
      <c r="A12" s="11">
        <v>10</v>
      </c>
      <c r="B12" s="11" t="s">
        <v>1435</v>
      </c>
      <c r="C12" s="11">
        <v>1</v>
      </c>
      <c r="D12" s="11" t="s">
        <v>242</v>
      </c>
      <c r="E12" s="11"/>
      <c r="F12" s="11" t="s">
        <v>1713</v>
      </c>
      <c r="G12" s="11" t="s">
        <v>2880</v>
      </c>
      <c r="H12" s="11"/>
      <c r="I12" s="11"/>
    </row>
    <row r="13" spans="1:9" s="1" customFormat="1" ht="30">
      <c r="A13" s="11">
        <v>11</v>
      </c>
      <c r="B13" s="11" t="s">
        <v>76</v>
      </c>
      <c r="C13" s="11">
        <v>8</v>
      </c>
      <c r="D13" s="11" t="s">
        <v>160</v>
      </c>
      <c r="E13" s="11" t="s">
        <v>177</v>
      </c>
      <c r="F13" s="11" t="s">
        <v>1714</v>
      </c>
      <c r="G13" s="11" t="s">
        <v>2881</v>
      </c>
      <c r="H13" s="11"/>
      <c r="I13" s="11"/>
    </row>
    <row r="14" spans="1:9" s="1" customFormat="1" ht="30">
      <c r="A14" s="11">
        <v>12</v>
      </c>
      <c r="B14" s="11" t="s">
        <v>79</v>
      </c>
      <c r="C14" s="11">
        <v>4</v>
      </c>
      <c r="D14" s="11" t="s">
        <v>242</v>
      </c>
      <c r="E14" s="11"/>
      <c r="F14" s="11" t="s">
        <v>1715</v>
      </c>
      <c r="G14" s="11" t="s">
        <v>2882</v>
      </c>
      <c r="H14" s="11"/>
      <c r="I14" s="11"/>
    </row>
    <row r="15" spans="1:9" s="1" customFormat="1" ht="30">
      <c r="A15" s="11">
        <v>13</v>
      </c>
      <c r="B15" s="11" t="s">
        <v>105</v>
      </c>
      <c r="C15" s="11">
        <v>10</v>
      </c>
      <c r="D15" s="11" t="s">
        <v>242</v>
      </c>
      <c r="E15" s="11"/>
      <c r="F15" s="11" t="s">
        <v>1716</v>
      </c>
      <c r="G15" s="11" t="s">
        <v>2883</v>
      </c>
      <c r="H15" s="11"/>
      <c r="I15" s="11"/>
    </row>
    <row r="16" spans="1:9" s="1" customFormat="1" ht="30">
      <c r="A16" s="11">
        <v>14</v>
      </c>
      <c r="B16" s="11" t="s">
        <v>163</v>
      </c>
      <c r="C16" s="11">
        <v>14</v>
      </c>
      <c r="D16" s="11" t="s">
        <v>1032</v>
      </c>
      <c r="E16" s="11" t="s">
        <v>1033</v>
      </c>
      <c r="F16" s="11" t="s">
        <v>1717</v>
      </c>
      <c r="G16" s="11" t="s">
        <v>2884</v>
      </c>
      <c r="H16" s="11"/>
      <c r="I16" s="11"/>
    </row>
    <row r="17" spans="1:9" s="1" customFormat="1">
      <c r="A17" s="11">
        <v>15</v>
      </c>
      <c r="B17" s="11" t="s">
        <v>1182</v>
      </c>
      <c r="C17" s="11">
        <v>12</v>
      </c>
      <c r="D17" s="11" t="s">
        <v>189</v>
      </c>
      <c r="E17" s="11" t="s">
        <v>5576</v>
      </c>
      <c r="F17" s="11" t="s">
        <v>1688</v>
      </c>
      <c r="G17" s="11" t="s">
        <v>1689</v>
      </c>
      <c r="H17" s="11"/>
      <c r="I17" s="11"/>
    </row>
    <row r="18" spans="1:9" s="1" customFormat="1" ht="30">
      <c r="A18" s="11">
        <v>16</v>
      </c>
      <c r="B18" s="11" t="s">
        <v>1183</v>
      </c>
      <c r="C18" s="11">
        <v>30</v>
      </c>
      <c r="D18" s="11" t="s">
        <v>242</v>
      </c>
      <c r="E18" s="11" t="s">
        <v>5576</v>
      </c>
      <c r="F18" s="11" t="s">
        <v>1690</v>
      </c>
      <c r="G18" s="11" t="s">
        <v>1691</v>
      </c>
      <c r="H18" s="11"/>
      <c r="I18" s="11"/>
    </row>
    <row r="19" spans="1:9" s="1" customFormat="1"/>
    <row r="20" spans="1:9" s="1" customFormat="1"/>
    <row r="21" spans="1:9" s="1" customFormat="1"/>
    <row r="22" spans="1:9" customFormat="1"/>
    <row r="23" spans="1:9" customFormat="1"/>
    <row r="24" spans="1:9" customFormat="1"/>
    <row r="25" spans="1:9" customFormat="1"/>
    <row r="26" spans="1:9" customFormat="1"/>
    <row r="27" spans="1:9" customFormat="1"/>
    <row r="28" spans="1:9" customFormat="1"/>
    <row r="29" spans="1:9" customFormat="1"/>
    <row r="30" spans="1:9" customFormat="1"/>
    <row r="31" spans="1:9" customFormat="1"/>
    <row r="32" spans="1:9"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7EB8-0F16-4ECB-BAAE-C4FA5A860701}">
  <sheetPr codeName="Sheet6"/>
  <dimension ref="A1:XFC250"/>
  <sheetViews>
    <sheetView topLeftCell="A10" workbookViewId="0">
      <selection activeCell="C22" sqref="C22"/>
    </sheetView>
  </sheetViews>
  <sheetFormatPr defaultColWidth="32.140625" defaultRowHeight="15"/>
  <cols>
    <col min="1" max="1" width="7.140625" style="1" bestFit="1" customWidth="1"/>
    <col min="2" max="2" width="19.42578125" style="1" bestFit="1" customWidth="1"/>
    <col min="3" max="3" width="6.85546875" style="1" bestFit="1" customWidth="1"/>
    <col min="4" max="4" width="11.28515625" style="1" bestFit="1" customWidth="1"/>
    <col min="5" max="5" width="24.42578125" style="1" bestFit="1" customWidth="1"/>
    <col min="6" max="6" width="28.5703125" style="1" bestFit="1" customWidth="1"/>
    <col min="7" max="7" width="87.7109375" style="1" bestFit="1" customWidth="1"/>
    <col min="8" max="9" width="5.28515625" style="2" bestFit="1" customWidth="1"/>
    <col min="10" max="16382" width="32.140625" style="2"/>
    <col min="16383" max="16383" width="1.7109375" style="2" customWidth="1"/>
    <col min="16384" max="16384" width="17.7109375" style="1" customWidth="1"/>
  </cols>
  <sheetData>
    <row r="1" spans="1:9" s="1" customFormat="1">
      <c r="A1" s="12" t="s">
        <v>238</v>
      </c>
      <c r="B1" s="12" t="s">
        <v>238</v>
      </c>
      <c r="C1" s="12"/>
      <c r="D1" s="12"/>
      <c r="E1" s="12"/>
      <c r="F1" s="12"/>
      <c r="G1" s="12"/>
      <c r="H1" s="12"/>
      <c r="I1" s="12"/>
    </row>
    <row r="2" spans="1:9" s="1" customFormat="1">
      <c r="A2" s="10" t="s">
        <v>350</v>
      </c>
      <c r="B2" s="10" t="s">
        <v>156</v>
      </c>
      <c r="C2" s="10" t="s">
        <v>157</v>
      </c>
      <c r="D2" s="10" t="s">
        <v>239</v>
      </c>
      <c r="E2" s="10" t="s">
        <v>159</v>
      </c>
      <c r="F2" s="10" t="s">
        <v>1684</v>
      </c>
      <c r="G2" s="10" t="s">
        <v>1685</v>
      </c>
      <c r="H2" s="10" t="s">
        <v>5367</v>
      </c>
      <c r="I2" s="10" t="s">
        <v>5366</v>
      </c>
    </row>
    <row r="3" spans="1:9" s="1" customFormat="1">
      <c r="A3" s="11">
        <v>1</v>
      </c>
      <c r="B3" s="11" t="s">
        <v>240</v>
      </c>
      <c r="C3" s="11">
        <v>8</v>
      </c>
      <c r="D3" s="11" t="s">
        <v>160</v>
      </c>
      <c r="E3" s="11" t="s">
        <v>177</v>
      </c>
      <c r="F3" s="11" t="s">
        <v>1686</v>
      </c>
      <c r="G3" s="11" t="s">
        <v>1687</v>
      </c>
      <c r="H3" s="11" t="s">
        <v>5382</v>
      </c>
      <c r="I3" s="11"/>
    </row>
    <row r="4" spans="1:9" s="1" customFormat="1">
      <c r="A4" s="11">
        <v>2</v>
      </c>
      <c r="B4" s="11" t="s">
        <v>78</v>
      </c>
      <c r="C4" s="11">
        <v>4</v>
      </c>
      <c r="D4" s="11" t="s">
        <v>158</v>
      </c>
      <c r="E4" s="11"/>
      <c r="F4" s="11" t="s">
        <v>1720</v>
      </c>
      <c r="G4" s="11" t="s">
        <v>1721</v>
      </c>
      <c r="H4" s="11" t="s">
        <v>5384</v>
      </c>
      <c r="I4" s="11"/>
    </row>
    <row r="5" spans="1:9" s="1" customFormat="1">
      <c r="A5" s="11">
        <v>3</v>
      </c>
      <c r="B5" s="11" t="s">
        <v>89</v>
      </c>
      <c r="C5" s="11">
        <v>10</v>
      </c>
      <c r="D5" s="11" t="s">
        <v>158</v>
      </c>
      <c r="E5" s="11"/>
      <c r="F5" s="11" t="s">
        <v>1722</v>
      </c>
      <c r="G5" s="11" t="s">
        <v>2885</v>
      </c>
      <c r="H5" s="11" t="s">
        <v>5676</v>
      </c>
      <c r="I5" s="11"/>
    </row>
    <row r="6" spans="1:9" s="1" customFormat="1">
      <c r="A6" s="11">
        <v>4</v>
      </c>
      <c r="B6" s="11" t="s">
        <v>87</v>
      </c>
      <c r="C6" s="11">
        <v>14</v>
      </c>
      <c r="D6" s="11" t="s">
        <v>161</v>
      </c>
      <c r="E6" s="11" t="s">
        <v>162</v>
      </c>
      <c r="F6" s="11" t="s">
        <v>1723</v>
      </c>
      <c r="G6" s="11" t="s">
        <v>2886</v>
      </c>
      <c r="H6" s="11" t="s">
        <v>5402</v>
      </c>
      <c r="I6" s="11"/>
    </row>
    <row r="7" spans="1:9" s="1" customFormat="1">
      <c r="A7" s="11">
        <v>5</v>
      </c>
      <c r="B7" s="11" t="s">
        <v>0</v>
      </c>
      <c r="C7" s="11">
        <v>1</v>
      </c>
      <c r="D7" s="11" t="s">
        <v>158</v>
      </c>
      <c r="E7" s="11"/>
      <c r="F7" s="11" t="s">
        <v>1724</v>
      </c>
      <c r="G7" s="11" t="s">
        <v>2887</v>
      </c>
      <c r="H7" s="11"/>
      <c r="I7" s="11"/>
    </row>
    <row r="8" spans="1:9" s="1" customFormat="1" ht="45">
      <c r="A8" s="11">
        <v>6</v>
      </c>
      <c r="B8" s="11" t="s">
        <v>151</v>
      </c>
      <c r="C8" s="11">
        <v>7</v>
      </c>
      <c r="D8" s="11" t="s">
        <v>158</v>
      </c>
      <c r="E8" s="11"/>
      <c r="F8" s="11" t="s">
        <v>1725</v>
      </c>
      <c r="G8" s="11" t="s">
        <v>1726</v>
      </c>
      <c r="H8" s="11" t="s">
        <v>5451</v>
      </c>
      <c r="I8" s="11" t="s">
        <v>5387</v>
      </c>
    </row>
    <row r="9" spans="1:9" s="1" customFormat="1" ht="105">
      <c r="A9" s="11">
        <v>7</v>
      </c>
      <c r="B9" s="11" t="s">
        <v>10</v>
      </c>
      <c r="C9" s="11">
        <v>2</v>
      </c>
      <c r="D9" s="11" t="s">
        <v>158</v>
      </c>
      <c r="E9" s="11"/>
      <c r="F9" s="11" t="s">
        <v>1727</v>
      </c>
      <c r="G9" s="11" t="s">
        <v>5675</v>
      </c>
      <c r="H9" s="11" t="s">
        <v>5670</v>
      </c>
      <c r="I9" s="11" t="s">
        <v>5386</v>
      </c>
    </row>
    <row r="10" spans="1:9" s="1" customFormat="1" ht="105">
      <c r="A10" s="11">
        <v>8</v>
      </c>
      <c r="B10" s="11" t="s">
        <v>174</v>
      </c>
      <c r="C10" s="11">
        <v>4</v>
      </c>
      <c r="D10" s="11" t="s">
        <v>158</v>
      </c>
      <c r="E10" s="11"/>
      <c r="F10" s="11" t="s">
        <v>1729</v>
      </c>
      <c r="G10" s="11" t="s">
        <v>5683</v>
      </c>
      <c r="H10" s="11" t="s">
        <v>5671</v>
      </c>
      <c r="I10" s="11" t="s">
        <v>5395</v>
      </c>
    </row>
    <row r="11" spans="1:9" s="1" customFormat="1" ht="105">
      <c r="A11" s="11">
        <v>9</v>
      </c>
      <c r="B11" s="11" t="s">
        <v>1</v>
      </c>
      <c r="C11" s="11">
        <v>1</v>
      </c>
      <c r="D11" s="11" t="s">
        <v>158</v>
      </c>
      <c r="E11" s="11"/>
      <c r="F11" s="11" t="s">
        <v>1730</v>
      </c>
      <c r="G11" s="11" t="s">
        <v>2317</v>
      </c>
      <c r="H11" s="11"/>
      <c r="I11" s="11"/>
    </row>
    <row r="12" spans="1:9" s="1" customFormat="1">
      <c r="A12" s="11">
        <v>10</v>
      </c>
      <c r="B12" s="11" t="s">
        <v>114</v>
      </c>
      <c r="C12" s="11">
        <v>30</v>
      </c>
      <c r="D12" s="11" t="s">
        <v>158</v>
      </c>
      <c r="E12" s="11"/>
      <c r="F12" s="11" t="s">
        <v>1731</v>
      </c>
      <c r="G12" s="11" t="s">
        <v>1732</v>
      </c>
      <c r="H12" s="11"/>
      <c r="I12" s="11"/>
    </row>
    <row r="13" spans="1:9" s="1" customFormat="1">
      <c r="A13" s="11">
        <v>11</v>
      </c>
      <c r="B13" s="11" t="s">
        <v>115</v>
      </c>
      <c r="C13" s="11">
        <v>30</v>
      </c>
      <c r="D13" s="11" t="s">
        <v>158</v>
      </c>
      <c r="E13" s="11"/>
      <c r="F13" s="11" t="s">
        <v>1733</v>
      </c>
      <c r="G13" s="11" t="s">
        <v>1734</v>
      </c>
      <c r="H13" s="11"/>
      <c r="I13" s="11"/>
    </row>
    <row r="14" spans="1:9" s="1" customFormat="1">
      <c r="A14" s="11">
        <v>12</v>
      </c>
      <c r="B14" s="11" t="s">
        <v>91</v>
      </c>
      <c r="C14" s="11">
        <v>10</v>
      </c>
      <c r="D14" s="11" t="s">
        <v>158</v>
      </c>
      <c r="E14" s="11"/>
      <c r="F14" s="11" t="s">
        <v>1735</v>
      </c>
      <c r="G14" s="11" t="s">
        <v>2888</v>
      </c>
      <c r="H14" s="11"/>
      <c r="I14" s="11"/>
    </row>
    <row r="15" spans="1:9" s="1" customFormat="1">
      <c r="A15" s="11">
        <v>13</v>
      </c>
      <c r="B15" s="11" t="s">
        <v>123</v>
      </c>
      <c r="C15" s="11">
        <v>20</v>
      </c>
      <c r="D15" s="11" t="s">
        <v>158</v>
      </c>
      <c r="E15" s="11"/>
      <c r="F15" s="11" t="s">
        <v>1736</v>
      </c>
      <c r="G15" s="11" t="s">
        <v>2889</v>
      </c>
      <c r="H15" s="11"/>
      <c r="I15" s="11"/>
    </row>
    <row r="16" spans="1:9" s="1" customFormat="1">
      <c r="A16" s="11">
        <v>14</v>
      </c>
      <c r="B16" s="11" t="s">
        <v>92</v>
      </c>
      <c r="C16" s="11">
        <v>10</v>
      </c>
      <c r="D16" s="11" t="s">
        <v>158</v>
      </c>
      <c r="E16" s="11"/>
      <c r="F16" s="11" t="s">
        <v>1737</v>
      </c>
      <c r="G16" s="11" t="s">
        <v>2890</v>
      </c>
      <c r="H16" s="11"/>
      <c r="I16" s="11"/>
    </row>
    <row r="17" spans="1:9" s="1" customFormat="1">
      <c r="A17" s="11">
        <v>15</v>
      </c>
      <c r="B17" s="11" t="s">
        <v>129</v>
      </c>
      <c r="C17" s="11">
        <v>3</v>
      </c>
      <c r="D17" s="11" t="s">
        <v>158</v>
      </c>
      <c r="E17" s="11"/>
      <c r="F17" s="11" t="s">
        <v>1738</v>
      </c>
      <c r="G17" s="11" t="s">
        <v>2891</v>
      </c>
      <c r="H17" s="11"/>
      <c r="I17" s="11"/>
    </row>
    <row r="18" spans="1:9" s="1" customFormat="1">
      <c r="A18" s="11">
        <v>16</v>
      </c>
      <c r="B18" s="11" t="s">
        <v>80</v>
      </c>
      <c r="C18" s="11">
        <v>4</v>
      </c>
      <c r="D18" s="11" t="s">
        <v>158</v>
      </c>
      <c r="E18" s="11"/>
      <c r="F18" s="11" t="s">
        <v>1739</v>
      </c>
      <c r="G18" s="11" t="s">
        <v>2892</v>
      </c>
      <c r="H18" s="11"/>
      <c r="I18" s="11"/>
    </row>
    <row r="19" spans="1:9" s="1" customFormat="1">
      <c r="A19" s="11">
        <v>17</v>
      </c>
      <c r="B19" s="11" t="s">
        <v>93</v>
      </c>
      <c r="C19" s="11">
        <v>10</v>
      </c>
      <c r="D19" s="11" t="s">
        <v>158</v>
      </c>
      <c r="E19" s="11"/>
      <c r="F19" s="11" t="s">
        <v>1740</v>
      </c>
      <c r="G19" s="11" t="s">
        <v>2893</v>
      </c>
      <c r="H19" s="11"/>
      <c r="I19" s="11"/>
    </row>
    <row r="20" spans="1:9" s="1" customFormat="1">
      <c r="A20" s="11">
        <v>18</v>
      </c>
      <c r="B20" s="11" t="s">
        <v>81</v>
      </c>
      <c r="C20" s="11">
        <v>4</v>
      </c>
      <c r="D20" s="11" t="s">
        <v>158</v>
      </c>
      <c r="E20" s="11"/>
      <c r="F20" s="11" t="s">
        <v>1741</v>
      </c>
      <c r="G20" s="11" t="s">
        <v>2894</v>
      </c>
      <c r="H20" s="11"/>
      <c r="I20" s="11"/>
    </row>
    <row r="21" spans="1:9" s="1" customFormat="1">
      <c r="A21" s="11">
        <v>19</v>
      </c>
      <c r="B21" s="11" t="s">
        <v>82</v>
      </c>
      <c r="C21" s="11">
        <v>4</v>
      </c>
      <c r="D21" s="11" t="s">
        <v>158</v>
      </c>
      <c r="E21" s="11"/>
      <c r="F21" s="11" t="s">
        <v>1742</v>
      </c>
      <c r="G21" s="11" t="s">
        <v>2895</v>
      </c>
      <c r="H21" s="11"/>
      <c r="I21" s="11"/>
    </row>
    <row r="22" spans="1:9" s="1" customFormat="1">
      <c r="A22" s="11">
        <v>20</v>
      </c>
      <c r="B22" s="11" t="s">
        <v>94</v>
      </c>
      <c r="C22" s="11">
        <v>10</v>
      </c>
      <c r="D22" s="11" t="s">
        <v>158</v>
      </c>
      <c r="E22" s="11"/>
      <c r="F22" s="11" t="s">
        <v>1743</v>
      </c>
      <c r="G22" s="11" t="s">
        <v>2896</v>
      </c>
      <c r="H22" s="11"/>
      <c r="I22" s="11"/>
    </row>
    <row r="23" spans="1:9" s="1" customFormat="1">
      <c r="A23" s="11">
        <v>21</v>
      </c>
      <c r="B23" s="11" t="s">
        <v>83</v>
      </c>
      <c r="C23" s="11">
        <v>4</v>
      </c>
      <c r="D23" s="11" t="s">
        <v>158</v>
      </c>
      <c r="E23" s="11"/>
      <c r="F23" s="11" t="s">
        <v>1744</v>
      </c>
      <c r="G23" s="11" t="s">
        <v>2897</v>
      </c>
      <c r="H23" s="11"/>
      <c r="I23" s="11"/>
    </row>
    <row r="24" spans="1:9" s="1" customFormat="1">
      <c r="A24" s="11">
        <v>22</v>
      </c>
      <c r="B24" s="11" t="s">
        <v>84</v>
      </c>
      <c r="C24" s="11">
        <v>4</v>
      </c>
      <c r="D24" s="11" t="s">
        <v>158</v>
      </c>
      <c r="E24" s="11"/>
      <c r="F24" s="11" t="s">
        <v>1745</v>
      </c>
      <c r="G24" s="11" t="s">
        <v>2898</v>
      </c>
      <c r="H24" s="11"/>
      <c r="I24" s="11"/>
    </row>
    <row r="25" spans="1:9" s="1" customFormat="1">
      <c r="A25" s="11">
        <v>23</v>
      </c>
      <c r="B25" s="11" t="s">
        <v>95</v>
      </c>
      <c r="C25" s="11">
        <v>10</v>
      </c>
      <c r="D25" s="11" t="s">
        <v>158</v>
      </c>
      <c r="E25" s="11"/>
      <c r="F25" s="11" t="s">
        <v>1746</v>
      </c>
      <c r="G25" s="11" t="s">
        <v>2899</v>
      </c>
      <c r="H25" s="11"/>
      <c r="I25" s="11"/>
    </row>
    <row r="26" spans="1:9" s="1" customFormat="1">
      <c r="A26" s="11">
        <v>24</v>
      </c>
      <c r="B26" s="11" t="s">
        <v>85</v>
      </c>
      <c r="C26" s="11">
        <v>4</v>
      </c>
      <c r="D26" s="11" t="s">
        <v>158</v>
      </c>
      <c r="E26" s="11"/>
      <c r="F26" s="11" t="s">
        <v>1747</v>
      </c>
      <c r="G26" s="11" t="s">
        <v>2900</v>
      </c>
      <c r="H26" s="11"/>
      <c r="I26" s="11"/>
    </row>
    <row r="27" spans="1:9" s="1" customFormat="1">
      <c r="A27" s="11">
        <v>25</v>
      </c>
      <c r="B27" s="11" t="s">
        <v>96</v>
      </c>
      <c r="C27" s="11">
        <v>10</v>
      </c>
      <c r="D27" s="11" t="s">
        <v>158</v>
      </c>
      <c r="E27" s="11"/>
      <c r="F27" s="11" t="s">
        <v>1748</v>
      </c>
      <c r="G27" s="11" t="s">
        <v>2901</v>
      </c>
      <c r="H27" s="11"/>
      <c r="I27" s="11"/>
    </row>
    <row r="28" spans="1:9" s="1" customFormat="1">
      <c r="A28" s="11">
        <v>26</v>
      </c>
      <c r="B28" s="11" t="s">
        <v>97</v>
      </c>
      <c r="C28" s="11">
        <v>10</v>
      </c>
      <c r="D28" s="11" t="s">
        <v>158</v>
      </c>
      <c r="E28" s="11"/>
      <c r="F28" s="11" t="s">
        <v>1749</v>
      </c>
      <c r="G28" s="11" t="s">
        <v>2902</v>
      </c>
      <c r="H28" s="11"/>
      <c r="I28" s="11"/>
    </row>
    <row r="29" spans="1:9" s="1" customFormat="1">
      <c r="A29" s="11">
        <v>27</v>
      </c>
      <c r="B29" s="11" t="s">
        <v>116</v>
      </c>
      <c r="C29" s="11">
        <v>30</v>
      </c>
      <c r="D29" s="11" t="s">
        <v>158</v>
      </c>
      <c r="E29" s="11"/>
      <c r="F29" s="11" t="s">
        <v>1750</v>
      </c>
      <c r="G29" s="11" t="s">
        <v>2903</v>
      </c>
      <c r="H29" s="11"/>
      <c r="I29" s="11"/>
    </row>
    <row r="30" spans="1:9" s="1" customFormat="1">
      <c r="A30" s="11">
        <v>28</v>
      </c>
      <c r="B30" s="11" t="s">
        <v>77</v>
      </c>
      <c r="C30" s="11">
        <v>8</v>
      </c>
      <c r="D30" s="11" t="s">
        <v>160</v>
      </c>
      <c r="E30" s="11" t="s">
        <v>177</v>
      </c>
      <c r="F30" s="11" t="s">
        <v>1751</v>
      </c>
      <c r="G30" s="11" t="s">
        <v>2904</v>
      </c>
      <c r="H30" s="11"/>
      <c r="I30" s="11"/>
    </row>
    <row r="31" spans="1:9" s="1" customFormat="1" ht="30">
      <c r="A31" s="11">
        <v>29</v>
      </c>
      <c r="B31" s="11" t="s">
        <v>175</v>
      </c>
      <c r="C31" s="11">
        <v>1</v>
      </c>
      <c r="D31" s="11" t="s">
        <v>158</v>
      </c>
      <c r="E31" s="11"/>
      <c r="F31" s="11" t="s">
        <v>1752</v>
      </c>
      <c r="G31" s="11" t="s">
        <v>1753</v>
      </c>
      <c r="H31" s="11"/>
      <c r="I31" s="11"/>
    </row>
    <row r="32" spans="1:9" s="1" customFormat="1">
      <c r="A32" s="11">
        <v>30</v>
      </c>
      <c r="B32" s="11" t="s">
        <v>176</v>
      </c>
      <c r="C32" s="11">
        <v>1</v>
      </c>
      <c r="D32" s="11" t="s">
        <v>158</v>
      </c>
      <c r="E32" s="11"/>
      <c r="F32" s="11" t="s">
        <v>1754</v>
      </c>
      <c r="G32" s="11" t="s">
        <v>2905</v>
      </c>
      <c r="H32" s="11"/>
      <c r="I32" s="11"/>
    </row>
    <row r="33" spans="1:9" s="1" customFormat="1" ht="30">
      <c r="A33" s="11">
        <v>31</v>
      </c>
      <c r="B33" s="11" t="s">
        <v>75</v>
      </c>
      <c r="C33" s="11">
        <v>8</v>
      </c>
      <c r="D33" s="11" t="s">
        <v>158</v>
      </c>
      <c r="E33" s="11"/>
      <c r="F33" s="11" t="s">
        <v>1755</v>
      </c>
      <c r="G33" s="11" t="s">
        <v>2906</v>
      </c>
      <c r="H33" s="11"/>
      <c r="I33" s="11"/>
    </row>
    <row r="34" spans="1:9" s="1" customFormat="1" ht="30">
      <c r="A34" s="11">
        <v>32</v>
      </c>
      <c r="B34" s="11" t="s">
        <v>141</v>
      </c>
      <c r="C34" s="11">
        <v>5</v>
      </c>
      <c r="D34" s="11" t="s">
        <v>158</v>
      </c>
      <c r="E34" s="11"/>
      <c r="F34" s="11" t="s">
        <v>1756</v>
      </c>
      <c r="G34" s="11" t="s">
        <v>2907</v>
      </c>
      <c r="H34" s="11"/>
      <c r="I34" s="11"/>
    </row>
    <row r="35" spans="1:9" s="1" customFormat="1">
      <c r="A35" s="11">
        <v>33</v>
      </c>
      <c r="B35" s="11" t="s">
        <v>105</v>
      </c>
      <c r="C35" s="11">
        <v>10</v>
      </c>
      <c r="D35" s="11" t="s">
        <v>158</v>
      </c>
      <c r="E35" s="11"/>
      <c r="F35" s="11" t="s">
        <v>1716</v>
      </c>
      <c r="G35" s="11" t="s">
        <v>2885</v>
      </c>
      <c r="H35" s="11"/>
      <c r="I35" s="11"/>
    </row>
    <row r="36" spans="1:9" s="1" customFormat="1">
      <c r="A36" s="11">
        <v>34</v>
      </c>
      <c r="B36" s="11" t="s">
        <v>163</v>
      </c>
      <c r="C36" s="11">
        <v>14</v>
      </c>
      <c r="D36" s="11" t="s">
        <v>161</v>
      </c>
      <c r="E36" s="11" t="s">
        <v>162</v>
      </c>
      <c r="F36" s="11" t="s">
        <v>1757</v>
      </c>
      <c r="G36" s="11" t="s">
        <v>2886</v>
      </c>
      <c r="H36" s="11"/>
      <c r="I36" s="11"/>
    </row>
    <row r="37" spans="1:9" s="1" customFormat="1">
      <c r="A37" s="11">
        <v>35</v>
      </c>
      <c r="B37" s="11" t="s">
        <v>1182</v>
      </c>
      <c r="C37" s="11">
        <v>12</v>
      </c>
      <c r="D37" s="11" t="s">
        <v>189</v>
      </c>
      <c r="E37" s="11" t="s">
        <v>5576</v>
      </c>
      <c r="F37" s="11" t="s">
        <v>1688</v>
      </c>
      <c r="G37" s="11" t="s">
        <v>1689</v>
      </c>
      <c r="H37" s="11"/>
      <c r="I37" s="11"/>
    </row>
    <row r="38" spans="1:9" s="1" customFormat="1">
      <c r="A38" s="11">
        <v>36</v>
      </c>
      <c r="B38" s="11" t="s">
        <v>1183</v>
      </c>
      <c r="C38" s="11">
        <v>30</v>
      </c>
      <c r="D38" s="11" t="s">
        <v>242</v>
      </c>
      <c r="E38" s="11" t="s">
        <v>5576</v>
      </c>
      <c r="F38" s="11" t="s">
        <v>1690</v>
      </c>
      <c r="G38" s="11" t="s">
        <v>1691</v>
      </c>
      <c r="H38" s="11"/>
      <c r="I38" s="11"/>
    </row>
    <row r="39" spans="1:9" s="1" customFormat="1"/>
    <row r="40" spans="1:9" s="1" customFormat="1"/>
    <row r="41" spans="1:9" s="1" customFormat="1"/>
    <row r="42" spans="1:9" s="1" customFormat="1"/>
    <row r="43" spans="1:9" s="1" customFormat="1"/>
    <row r="44" spans="1:9" s="1" customFormat="1"/>
    <row r="45" spans="1:9" s="1" customFormat="1"/>
    <row r="46" spans="1:9" s="1" customFormat="1"/>
    <row r="47" spans="1:9" s="1" customFormat="1"/>
    <row r="48" spans="1:9"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autoFilter ref="B2:E43" xr:uid="{94307EB8-0F16-4ECB-BAAE-C4FA5A860701}"/>
  <pageMargins left="0.7" right="0.7" top="0.75" bottom="0.75" header="0.3" footer="0.3"/>
  <pageSetup orientation="portrait"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6912B-7BF5-49EB-8764-9753D2CE78D7}">
  <sheetPr codeName="Sheet4"/>
  <dimension ref="A1:XFC250"/>
  <sheetViews>
    <sheetView topLeftCell="A19" workbookViewId="0">
      <selection activeCell="C22" sqref="C22"/>
    </sheetView>
  </sheetViews>
  <sheetFormatPr defaultColWidth="32.140625" defaultRowHeight="15"/>
  <cols>
    <col min="1" max="1" width="8" style="1" bestFit="1" customWidth="1"/>
    <col min="2" max="2" width="19.42578125" style="1" bestFit="1" customWidth="1"/>
    <col min="3" max="3" width="6.85546875" style="1" bestFit="1" customWidth="1"/>
    <col min="4" max="4" width="11.28515625" style="1" bestFit="1" customWidth="1"/>
    <col min="5" max="5" width="24.42578125" style="1" bestFit="1" customWidth="1"/>
    <col min="6" max="6" width="26.140625" style="1" bestFit="1" customWidth="1"/>
    <col min="7" max="7" width="88.28515625" style="1" customWidth="1"/>
    <col min="8" max="8" width="4.7109375" style="2" bestFit="1" customWidth="1"/>
    <col min="9" max="16382" width="32.140625" style="2"/>
    <col min="16383" max="16383" width="1.7109375" style="2" customWidth="1"/>
    <col min="16384" max="16384" width="17.7109375" style="1" customWidth="1"/>
  </cols>
  <sheetData>
    <row r="1" spans="1:8" s="1" customFormat="1">
      <c r="A1" s="12" t="s">
        <v>188</v>
      </c>
      <c r="B1" s="12"/>
      <c r="C1" s="12"/>
      <c r="D1" s="12"/>
      <c r="E1" s="12"/>
      <c r="F1" s="12"/>
      <c r="G1" s="12"/>
      <c r="H1" s="12"/>
    </row>
    <row r="2" spans="1:8" s="1" customFormat="1">
      <c r="A2" s="10" t="s">
        <v>350</v>
      </c>
      <c r="B2" s="10" t="s">
        <v>156</v>
      </c>
      <c r="C2" s="10" t="s">
        <v>157</v>
      </c>
      <c r="D2" s="10" t="s">
        <v>239</v>
      </c>
      <c r="E2" s="10" t="s">
        <v>159</v>
      </c>
      <c r="F2" s="10" t="s">
        <v>1684</v>
      </c>
      <c r="G2" s="10" t="s">
        <v>1685</v>
      </c>
      <c r="H2" s="10" t="s">
        <v>5365</v>
      </c>
    </row>
    <row r="3" spans="1:8" s="1" customFormat="1">
      <c r="A3" s="11">
        <v>1</v>
      </c>
      <c r="B3" s="11" t="s">
        <v>240</v>
      </c>
      <c r="C3" s="11">
        <v>8</v>
      </c>
      <c r="D3" s="11" t="s">
        <v>160</v>
      </c>
      <c r="E3" s="11" t="s">
        <v>177</v>
      </c>
      <c r="F3" s="11" t="s">
        <v>1686</v>
      </c>
      <c r="G3" s="11" t="s">
        <v>1687</v>
      </c>
      <c r="H3" s="11" t="s">
        <v>5382</v>
      </c>
    </row>
    <row r="4" spans="1:8" s="1" customFormat="1" ht="45">
      <c r="A4" s="11">
        <v>2</v>
      </c>
      <c r="B4" s="11" t="s">
        <v>151</v>
      </c>
      <c r="C4" s="11">
        <v>7</v>
      </c>
      <c r="D4" s="11" t="s">
        <v>158</v>
      </c>
      <c r="E4" s="11"/>
      <c r="F4" s="11" t="s">
        <v>1725</v>
      </c>
      <c r="G4" s="11" t="s">
        <v>1726</v>
      </c>
      <c r="H4" s="11" t="s">
        <v>5384</v>
      </c>
    </row>
    <row r="5" spans="1:8" s="1" customFormat="1" ht="90">
      <c r="A5" s="11">
        <v>3</v>
      </c>
      <c r="B5" s="11" t="s">
        <v>10</v>
      </c>
      <c r="C5" s="11">
        <v>2</v>
      </c>
      <c r="D5" s="11" t="s">
        <v>158</v>
      </c>
      <c r="E5" s="11"/>
      <c r="F5" s="11"/>
      <c r="G5" s="11" t="s">
        <v>1728</v>
      </c>
      <c r="H5" s="11" t="s">
        <v>5385</v>
      </c>
    </row>
    <row r="6" spans="1:8" s="1" customFormat="1" ht="105">
      <c r="A6" s="11">
        <v>4</v>
      </c>
      <c r="B6" s="11" t="s">
        <v>174</v>
      </c>
      <c r="C6" s="11">
        <v>4</v>
      </c>
      <c r="D6" s="11" t="s">
        <v>158</v>
      </c>
      <c r="E6" s="11"/>
      <c r="F6" s="11" t="s">
        <v>1729</v>
      </c>
      <c r="G6" s="11" t="s">
        <v>5683</v>
      </c>
      <c r="H6" s="11" t="s">
        <v>5402</v>
      </c>
    </row>
    <row r="7" spans="1:8" s="1" customFormat="1">
      <c r="A7" s="11">
        <v>5</v>
      </c>
      <c r="B7" s="11" t="s">
        <v>114</v>
      </c>
      <c r="C7" s="11">
        <v>30</v>
      </c>
      <c r="D7" s="11" t="s">
        <v>158</v>
      </c>
      <c r="E7" s="11"/>
      <c r="F7" s="11" t="s">
        <v>1731</v>
      </c>
      <c r="G7" s="11" t="s">
        <v>1732</v>
      </c>
      <c r="H7" s="11"/>
    </row>
    <row r="8" spans="1:8" s="1" customFormat="1">
      <c r="A8" s="11">
        <v>6</v>
      </c>
      <c r="B8" s="11" t="s">
        <v>115</v>
      </c>
      <c r="C8" s="11">
        <v>30</v>
      </c>
      <c r="D8" s="11" t="s">
        <v>158</v>
      </c>
      <c r="E8" s="11"/>
      <c r="F8" s="11" t="s">
        <v>1733</v>
      </c>
      <c r="G8" s="11" t="s">
        <v>1734</v>
      </c>
      <c r="H8" s="11"/>
    </row>
    <row r="9" spans="1:8" s="1" customFormat="1">
      <c r="A9" s="11">
        <v>7</v>
      </c>
      <c r="B9" s="11" t="s">
        <v>91</v>
      </c>
      <c r="C9" s="11">
        <v>10</v>
      </c>
      <c r="D9" s="11" t="s">
        <v>158</v>
      </c>
      <c r="E9" s="11"/>
      <c r="F9" s="11" t="s">
        <v>1735</v>
      </c>
      <c r="G9" s="11" t="s">
        <v>2888</v>
      </c>
      <c r="H9" s="11"/>
    </row>
    <row r="10" spans="1:8" s="1" customFormat="1">
      <c r="A10" s="11">
        <v>8</v>
      </c>
      <c r="B10" s="11" t="s">
        <v>123</v>
      </c>
      <c r="C10" s="11">
        <v>20</v>
      </c>
      <c r="D10" s="11" t="s">
        <v>158</v>
      </c>
      <c r="E10" s="11"/>
      <c r="F10" s="11" t="s">
        <v>1736</v>
      </c>
      <c r="G10" s="11" t="s">
        <v>2889</v>
      </c>
      <c r="H10" s="11"/>
    </row>
    <row r="11" spans="1:8" s="1" customFormat="1">
      <c r="A11" s="11">
        <v>9</v>
      </c>
      <c r="B11" s="11" t="s">
        <v>92</v>
      </c>
      <c r="C11" s="11">
        <v>10</v>
      </c>
      <c r="D11" s="11" t="s">
        <v>158</v>
      </c>
      <c r="E11" s="11"/>
      <c r="F11" s="11" t="s">
        <v>1737</v>
      </c>
      <c r="G11" s="11" t="s">
        <v>2890</v>
      </c>
      <c r="H11" s="11"/>
    </row>
    <row r="12" spans="1:8" s="1" customFormat="1">
      <c r="A12" s="11">
        <v>10</v>
      </c>
      <c r="B12" s="11" t="s">
        <v>129</v>
      </c>
      <c r="C12" s="11">
        <v>3</v>
      </c>
      <c r="D12" s="11" t="s">
        <v>158</v>
      </c>
      <c r="E12" s="11"/>
      <c r="F12" s="11" t="s">
        <v>1738</v>
      </c>
      <c r="G12" s="11" t="s">
        <v>2891</v>
      </c>
      <c r="H12" s="11"/>
    </row>
    <row r="13" spans="1:8" s="1" customFormat="1">
      <c r="A13" s="11">
        <v>11</v>
      </c>
      <c r="B13" s="11" t="s">
        <v>80</v>
      </c>
      <c r="C13" s="11">
        <v>4</v>
      </c>
      <c r="D13" s="11" t="s">
        <v>158</v>
      </c>
      <c r="E13" s="11"/>
      <c r="F13" s="11" t="s">
        <v>1739</v>
      </c>
      <c r="G13" s="11" t="s">
        <v>2892</v>
      </c>
      <c r="H13" s="11"/>
    </row>
    <row r="14" spans="1:8" s="1" customFormat="1">
      <c r="A14" s="11">
        <v>12</v>
      </c>
      <c r="B14" s="11" t="s">
        <v>93</v>
      </c>
      <c r="C14" s="11">
        <v>10</v>
      </c>
      <c r="D14" s="11" t="s">
        <v>158</v>
      </c>
      <c r="E14" s="11"/>
      <c r="F14" s="11" t="s">
        <v>1740</v>
      </c>
      <c r="G14" s="11" t="s">
        <v>2893</v>
      </c>
      <c r="H14" s="11"/>
    </row>
    <row r="15" spans="1:8" s="1" customFormat="1">
      <c r="A15" s="11">
        <v>13</v>
      </c>
      <c r="B15" s="11" t="s">
        <v>81</v>
      </c>
      <c r="C15" s="11">
        <v>4</v>
      </c>
      <c r="D15" s="11" t="s">
        <v>158</v>
      </c>
      <c r="E15" s="11"/>
      <c r="F15" s="11" t="s">
        <v>1741</v>
      </c>
      <c r="G15" s="11" t="s">
        <v>2894</v>
      </c>
      <c r="H15" s="11"/>
    </row>
    <row r="16" spans="1:8" s="1" customFormat="1">
      <c r="A16" s="11">
        <v>14</v>
      </c>
      <c r="B16" s="11" t="s">
        <v>82</v>
      </c>
      <c r="C16" s="11">
        <v>4</v>
      </c>
      <c r="D16" s="11" t="s">
        <v>158</v>
      </c>
      <c r="E16" s="11"/>
      <c r="F16" s="11" t="s">
        <v>1742</v>
      </c>
      <c r="G16" s="11" t="s">
        <v>2895</v>
      </c>
      <c r="H16" s="11"/>
    </row>
    <row r="17" spans="1:8" s="1" customFormat="1">
      <c r="A17" s="11">
        <v>15</v>
      </c>
      <c r="B17" s="11" t="s">
        <v>94</v>
      </c>
      <c r="C17" s="11">
        <v>10</v>
      </c>
      <c r="D17" s="11" t="s">
        <v>158</v>
      </c>
      <c r="E17" s="11"/>
      <c r="F17" s="11" t="s">
        <v>1743</v>
      </c>
      <c r="G17" s="11" t="s">
        <v>2896</v>
      </c>
      <c r="H17" s="11"/>
    </row>
    <row r="18" spans="1:8" s="1" customFormat="1">
      <c r="A18" s="11">
        <v>16</v>
      </c>
      <c r="B18" s="11" t="s">
        <v>83</v>
      </c>
      <c r="C18" s="11">
        <v>4</v>
      </c>
      <c r="D18" s="11" t="s">
        <v>158</v>
      </c>
      <c r="E18" s="11"/>
      <c r="F18" s="11" t="s">
        <v>1744</v>
      </c>
      <c r="G18" s="11" t="s">
        <v>2897</v>
      </c>
      <c r="H18" s="11"/>
    </row>
    <row r="19" spans="1:8" s="1" customFormat="1">
      <c r="A19" s="11">
        <v>17</v>
      </c>
      <c r="B19" s="11" t="s">
        <v>84</v>
      </c>
      <c r="C19" s="11">
        <v>4</v>
      </c>
      <c r="D19" s="11" t="s">
        <v>158</v>
      </c>
      <c r="E19" s="11"/>
      <c r="F19" s="11" t="s">
        <v>1745</v>
      </c>
      <c r="G19" s="11" t="s">
        <v>2898</v>
      </c>
      <c r="H19" s="11"/>
    </row>
    <row r="20" spans="1:8" s="1" customFormat="1">
      <c r="A20" s="11">
        <v>18</v>
      </c>
      <c r="B20" s="11" t="s">
        <v>95</v>
      </c>
      <c r="C20" s="11">
        <v>10</v>
      </c>
      <c r="D20" s="11" t="s">
        <v>158</v>
      </c>
      <c r="E20" s="11"/>
      <c r="F20" s="11" t="s">
        <v>1746</v>
      </c>
      <c r="G20" s="11" t="s">
        <v>2899</v>
      </c>
      <c r="H20" s="11"/>
    </row>
    <row r="21" spans="1:8" s="1" customFormat="1">
      <c r="A21" s="11">
        <v>19</v>
      </c>
      <c r="B21" s="11" t="s">
        <v>85</v>
      </c>
      <c r="C21" s="11">
        <v>4</v>
      </c>
      <c r="D21" s="11" t="s">
        <v>158</v>
      </c>
      <c r="E21" s="11"/>
      <c r="F21" s="11" t="s">
        <v>1747</v>
      </c>
      <c r="G21" s="11" t="s">
        <v>2900</v>
      </c>
      <c r="H21" s="11"/>
    </row>
    <row r="22" spans="1:8" s="1" customFormat="1">
      <c r="A22" s="11">
        <v>20</v>
      </c>
      <c r="B22" s="11" t="s">
        <v>96</v>
      </c>
      <c r="C22" s="11">
        <v>10</v>
      </c>
      <c r="D22" s="11" t="s">
        <v>158</v>
      </c>
      <c r="E22" s="11"/>
      <c r="F22" s="11" t="s">
        <v>1748</v>
      </c>
      <c r="G22" s="11" t="s">
        <v>2901</v>
      </c>
      <c r="H22" s="11"/>
    </row>
    <row r="23" spans="1:8" s="1" customFormat="1">
      <c r="A23" s="11">
        <v>21</v>
      </c>
      <c r="B23" s="11" t="s">
        <v>97</v>
      </c>
      <c r="C23" s="11">
        <v>10</v>
      </c>
      <c r="D23" s="11" t="s">
        <v>158</v>
      </c>
      <c r="E23" s="11"/>
      <c r="F23" s="11" t="s">
        <v>1749</v>
      </c>
      <c r="G23" s="11" t="s">
        <v>2902</v>
      </c>
      <c r="H23" s="11"/>
    </row>
    <row r="24" spans="1:8" s="1" customFormat="1">
      <c r="A24" s="11">
        <v>22</v>
      </c>
      <c r="B24" s="11" t="s">
        <v>116</v>
      </c>
      <c r="C24" s="11">
        <v>30</v>
      </c>
      <c r="D24" s="11" t="s">
        <v>158</v>
      </c>
      <c r="E24" s="11"/>
      <c r="F24" s="11" t="s">
        <v>1750</v>
      </c>
      <c r="G24" s="11" t="s">
        <v>2903</v>
      </c>
      <c r="H24" s="11"/>
    </row>
    <row r="25" spans="1:8" s="1" customFormat="1">
      <c r="A25" s="11">
        <v>23</v>
      </c>
      <c r="B25" s="11" t="s">
        <v>77</v>
      </c>
      <c r="C25" s="11">
        <v>8</v>
      </c>
      <c r="D25" s="11" t="s">
        <v>160</v>
      </c>
      <c r="E25" s="11" t="s">
        <v>177</v>
      </c>
      <c r="F25" s="11" t="s">
        <v>1751</v>
      </c>
      <c r="G25" s="11" t="s">
        <v>2904</v>
      </c>
      <c r="H25" s="11"/>
    </row>
    <row r="26" spans="1:8" s="1" customFormat="1">
      <c r="A26" s="11">
        <v>24</v>
      </c>
      <c r="B26" s="11" t="s">
        <v>0</v>
      </c>
      <c r="C26" s="11">
        <v>1</v>
      </c>
      <c r="D26" s="11" t="s">
        <v>158</v>
      </c>
      <c r="E26" s="11"/>
      <c r="F26" s="11" t="s">
        <v>1724</v>
      </c>
      <c r="G26" s="11" t="s">
        <v>2887</v>
      </c>
      <c r="H26" s="11"/>
    </row>
    <row r="27" spans="1:8" s="1" customFormat="1">
      <c r="A27" s="11">
        <v>25</v>
      </c>
      <c r="B27" s="11" t="s">
        <v>176</v>
      </c>
      <c r="C27" s="11">
        <v>1</v>
      </c>
      <c r="D27" s="11" t="s">
        <v>158</v>
      </c>
      <c r="E27" s="11"/>
      <c r="F27" s="11" t="s">
        <v>1754</v>
      </c>
      <c r="G27" s="11" t="s">
        <v>2905</v>
      </c>
      <c r="H27" s="11"/>
    </row>
    <row r="28" spans="1:8" s="1" customFormat="1" ht="30">
      <c r="A28" s="11">
        <v>26</v>
      </c>
      <c r="B28" s="11" t="s">
        <v>75</v>
      </c>
      <c r="C28" s="11">
        <v>8</v>
      </c>
      <c r="D28" s="11" t="s">
        <v>158</v>
      </c>
      <c r="E28" s="11"/>
      <c r="F28" s="11" t="s">
        <v>1755</v>
      </c>
      <c r="G28" s="11" t="s">
        <v>2906</v>
      </c>
      <c r="H28" s="11"/>
    </row>
    <row r="29" spans="1:8" s="1" customFormat="1" ht="30">
      <c r="A29" s="11">
        <v>27</v>
      </c>
      <c r="B29" s="11" t="s">
        <v>141</v>
      </c>
      <c r="C29" s="11">
        <v>5</v>
      </c>
      <c r="D29" s="11" t="s">
        <v>158</v>
      </c>
      <c r="E29" s="11"/>
      <c r="F29" s="11" t="s">
        <v>1756</v>
      </c>
      <c r="G29" s="11" t="s">
        <v>2907</v>
      </c>
      <c r="H29" s="11"/>
    </row>
    <row r="30" spans="1:8" s="1" customFormat="1">
      <c r="A30" s="11">
        <v>28</v>
      </c>
      <c r="B30" s="11" t="s">
        <v>168</v>
      </c>
      <c r="C30" s="11">
        <v>10</v>
      </c>
      <c r="D30" s="11" t="s">
        <v>158</v>
      </c>
      <c r="E30" s="11"/>
      <c r="F30" s="11" t="s">
        <v>1758</v>
      </c>
      <c r="G30" s="11" t="s">
        <v>2908</v>
      </c>
      <c r="H30" s="11"/>
    </row>
    <row r="31" spans="1:8" s="1" customFormat="1">
      <c r="A31" s="11">
        <v>29</v>
      </c>
      <c r="B31" s="11" t="s">
        <v>169</v>
      </c>
      <c r="C31" s="11">
        <v>14</v>
      </c>
      <c r="D31" s="11" t="s">
        <v>161</v>
      </c>
      <c r="E31" s="11" t="s">
        <v>162</v>
      </c>
      <c r="F31" s="11" t="s">
        <v>1759</v>
      </c>
      <c r="G31" s="11" t="s">
        <v>2909</v>
      </c>
      <c r="H31" s="11"/>
    </row>
    <row r="32" spans="1:8" s="1" customFormat="1">
      <c r="A32" s="11">
        <v>30</v>
      </c>
      <c r="B32" s="11" t="s">
        <v>105</v>
      </c>
      <c r="C32" s="11">
        <v>10</v>
      </c>
      <c r="D32" s="11" t="s">
        <v>158</v>
      </c>
      <c r="E32" s="11"/>
      <c r="F32" s="11" t="s">
        <v>1716</v>
      </c>
      <c r="G32" s="11" t="s">
        <v>2885</v>
      </c>
      <c r="H32" s="11"/>
    </row>
    <row r="33" spans="1:8" s="1" customFormat="1">
      <c r="A33" s="11">
        <v>31</v>
      </c>
      <c r="B33" s="11" t="s">
        <v>163</v>
      </c>
      <c r="C33" s="11">
        <v>14</v>
      </c>
      <c r="D33" s="11" t="s">
        <v>161</v>
      </c>
      <c r="E33" s="11" t="s">
        <v>162</v>
      </c>
      <c r="F33" s="11" t="s">
        <v>1757</v>
      </c>
      <c r="G33" s="11" t="s">
        <v>2886</v>
      </c>
      <c r="H33" s="11"/>
    </row>
    <row r="34" spans="1:8" s="1" customFormat="1">
      <c r="A34" s="11">
        <v>32</v>
      </c>
      <c r="B34" s="11" t="s">
        <v>1182</v>
      </c>
      <c r="C34" s="11">
        <v>12</v>
      </c>
      <c r="D34" s="11" t="s">
        <v>189</v>
      </c>
      <c r="E34" s="11" t="s">
        <v>5576</v>
      </c>
      <c r="F34" s="11" t="s">
        <v>1688</v>
      </c>
      <c r="G34" s="11" t="s">
        <v>1689</v>
      </c>
      <c r="H34" s="11"/>
    </row>
    <row r="35" spans="1:8" s="1" customFormat="1">
      <c r="A35" s="11">
        <v>33</v>
      </c>
      <c r="B35" s="11" t="s">
        <v>1183</v>
      </c>
      <c r="C35" s="11">
        <v>30</v>
      </c>
      <c r="D35" s="11" t="s">
        <v>242</v>
      </c>
      <c r="E35" s="11" t="s">
        <v>5576</v>
      </c>
      <c r="F35" s="11" t="s">
        <v>1690</v>
      </c>
      <c r="G35" s="11" t="s">
        <v>1691</v>
      </c>
      <c r="H35" s="11"/>
    </row>
    <row r="36" spans="1:8" s="1" customFormat="1"/>
    <row r="37" spans="1:8" s="1" customFormat="1"/>
    <row r="38" spans="1:8" s="1" customFormat="1"/>
    <row r="39" spans="1:8" s="1" customFormat="1"/>
    <row r="40" spans="1:8" s="1" customFormat="1"/>
    <row r="41" spans="1:8" s="1" customFormat="1"/>
    <row r="42" spans="1:8" s="1" customFormat="1"/>
    <row r="43" spans="1:8" s="1" customFormat="1"/>
    <row r="44" spans="1:8" s="1" customFormat="1"/>
    <row r="45" spans="1:8" s="1" customFormat="1"/>
    <row r="46" spans="1:8" s="1" customFormat="1"/>
    <row r="47" spans="1:8" s="1" customFormat="1"/>
    <row r="48" spans="1: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autoFilter ref="B2:E36" xr:uid="{B5E6912B-7BF5-49EB-8764-9753D2CE78D7}"/>
  <pageMargins left="0.7" right="0.7" top="0.75" bottom="0.75" header="0.3" footer="0.3"/>
  <pageSetup orientation="portrait"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7EC60-55D5-43C0-BB59-B584DF67EEB1}">
  <sheetPr codeName="Sheet82"/>
  <dimension ref="A1:XFC250"/>
  <sheetViews>
    <sheetView workbookViewId="0">
      <selection activeCell="C22" sqref="C22"/>
    </sheetView>
  </sheetViews>
  <sheetFormatPr defaultColWidth="32.140625" defaultRowHeight="15"/>
  <cols>
    <col min="1" max="1" width="7.140625" style="1" bestFit="1" customWidth="1"/>
    <col min="2" max="2" width="12.140625" style="1" bestFit="1" customWidth="1"/>
    <col min="3" max="3" width="4.5703125" style="1" bestFit="1" customWidth="1"/>
    <col min="4" max="4" width="9" style="1" bestFit="1" customWidth="1"/>
    <col min="5" max="5" width="24.42578125" style="1" bestFit="1" customWidth="1"/>
    <col min="6" max="6" width="16.7109375" style="1" bestFit="1" customWidth="1"/>
    <col min="7" max="7" width="57" style="1" bestFit="1" customWidth="1"/>
    <col min="8" max="9" width="5.28515625" style="2" bestFit="1" customWidth="1"/>
    <col min="10" max="16382" width="32.140625" style="2"/>
    <col min="16383" max="16383" width="1.7109375" style="2" customWidth="1"/>
    <col min="16384" max="16384" width="17.7109375" style="1" customWidth="1"/>
  </cols>
  <sheetData>
    <row r="1" spans="1:9" s="1" customFormat="1">
      <c r="A1" s="12" t="s">
        <v>238</v>
      </c>
      <c r="B1" s="12"/>
      <c r="C1" s="12"/>
      <c r="D1" s="12"/>
      <c r="E1" s="12"/>
      <c r="F1" s="12"/>
      <c r="G1" s="12"/>
      <c r="H1" s="12"/>
      <c r="I1" s="12"/>
    </row>
    <row r="2" spans="1:9" s="1" customFormat="1">
      <c r="A2" s="10" t="s">
        <v>350</v>
      </c>
      <c r="B2" s="10" t="s">
        <v>156</v>
      </c>
      <c r="C2" s="10" t="s">
        <v>157</v>
      </c>
      <c r="D2" s="10" t="s">
        <v>239</v>
      </c>
      <c r="E2" s="10" t="s">
        <v>159</v>
      </c>
      <c r="F2" s="10" t="s">
        <v>1684</v>
      </c>
      <c r="G2" s="10" t="s">
        <v>1685</v>
      </c>
      <c r="H2" s="10" t="s">
        <v>5367</v>
      </c>
      <c r="I2" s="10" t="s">
        <v>5366</v>
      </c>
    </row>
    <row r="3" spans="1:9" s="1" customFormat="1">
      <c r="A3" s="11">
        <v>1</v>
      </c>
      <c r="B3" s="11" t="s">
        <v>240</v>
      </c>
      <c r="C3" s="11">
        <v>8</v>
      </c>
      <c r="D3" s="11" t="s">
        <v>160</v>
      </c>
      <c r="E3" s="11" t="s">
        <v>177</v>
      </c>
      <c r="F3" s="11" t="s">
        <v>1686</v>
      </c>
      <c r="G3" s="11" t="s">
        <v>1687</v>
      </c>
      <c r="H3" s="11" t="s">
        <v>5382</v>
      </c>
      <c r="I3" s="11" t="s">
        <v>5387</v>
      </c>
    </row>
    <row r="4" spans="1:9" s="1" customFormat="1" ht="45">
      <c r="A4" s="11">
        <v>2</v>
      </c>
      <c r="B4" s="11" t="s">
        <v>1614</v>
      </c>
      <c r="C4" s="11">
        <v>8</v>
      </c>
      <c r="D4" s="11" t="s">
        <v>160</v>
      </c>
      <c r="E4" s="11" t="s">
        <v>177</v>
      </c>
      <c r="F4" s="11" t="s">
        <v>1718</v>
      </c>
      <c r="G4" s="11" t="s">
        <v>2910</v>
      </c>
      <c r="H4" s="11" t="s">
        <v>5384</v>
      </c>
      <c r="I4" s="11"/>
    </row>
    <row r="5" spans="1:9" s="1" customFormat="1" ht="45">
      <c r="A5" s="11">
        <v>3</v>
      </c>
      <c r="B5" s="11" t="s">
        <v>1615</v>
      </c>
      <c r="C5" s="11">
        <v>8</v>
      </c>
      <c r="D5" s="11" t="s">
        <v>160</v>
      </c>
      <c r="E5" s="11" t="s">
        <v>177</v>
      </c>
      <c r="F5" s="11" t="s">
        <v>1719</v>
      </c>
      <c r="G5" s="11" t="s">
        <v>2911</v>
      </c>
      <c r="H5" s="11"/>
      <c r="I5" s="11" t="s">
        <v>5386</v>
      </c>
    </row>
    <row r="6" spans="1:9" s="1" customFormat="1">
      <c r="A6" s="11">
        <v>4</v>
      </c>
      <c r="B6" s="11" t="s">
        <v>1182</v>
      </c>
      <c r="C6" s="11">
        <v>12</v>
      </c>
      <c r="D6" s="11" t="s">
        <v>189</v>
      </c>
      <c r="E6" s="11" t="s">
        <v>5576</v>
      </c>
      <c r="F6" s="11" t="s">
        <v>1688</v>
      </c>
      <c r="G6" s="11" t="s">
        <v>1689</v>
      </c>
      <c r="H6" s="11"/>
      <c r="I6" s="11"/>
    </row>
    <row r="7" spans="1:9" s="1" customFormat="1" ht="30">
      <c r="A7" s="11">
        <v>5</v>
      </c>
      <c r="B7" s="11" t="s">
        <v>1183</v>
      </c>
      <c r="C7" s="11">
        <v>30</v>
      </c>
      <c r="D7" s="11" t="s">
        <v>242</v>
      </c>
      <c r="E7" s="11" t="s">
        <v>5576</v>
      </c>
      <c r="F7" s="11" t="s">
        <v>1690</v>
      </c>
      <c r="G7" s="11" t="s">
        <v>1691</v>
      </c>
      <c r="H7" s="11"/>
      <c r="I7" s="11"/>
    </row>
    <row r="8" spans="1:9" s="1" customFormat="1"/>
    <row r="9" spans="1:9" s="1" customFormat="1"/>
    <row r="10" spans="1:9" s="1" customFormat="1"/>
    <row r="11" spans="1:9" s="1" customFormat="1"/>
    <row r="12" spans="1:9" s="1" customFormat="1"/>
    <row r="13" spans="1:9" s="1" customFormat="1"/>
    <row r="14" spans="1:9" s="1" customFormat="1"/>
    <row r="15" spans="1:9" s="1" customFormat="1"/>
    <row r="16" spans="1:9"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90B4-D125-4701-8D78-C5BA8DE50B51}">
  <sheetPr codeName="Sheet92" filterMode="1"/>
  <dimension ref="A1:XFC251"/>
  <sheetViews>
    <sheetView workbookViewId="0">
      <selection activeCell="C22" sqref="C22"/>
    </sheetView>
  </sheetViews>
  <sheetFormatPr defaultColWidth="32.140625" defaultRowHeight="15"/>
  <cols>
    <col min="1" max="1" width="7.140625" style="1" bestFit="1" customWidth="1"/>
    <col min="2" max="2" width="24" style="1" bestFit="1" customWidth="1"/>
    <col min="3" max="3" width="4.5703125" style="1" bestFit="1" customWidth="1"/>
    <col min="4" max="4" width="10.85546875" style="1" bestFit="1" customWidth="1"/>
    <col min="5" max="5" width="24.42578125" style="1" bestFit="1" customWidth="1"/>
    <col min="6" max="6" width="42.85546875" style="1" bestFit="1" customWidth="1"/>
    <col min="7" max="7" width="57.42578125" style="1" customWidth="1"/>
    <col min="8" max="8" width="5.7109375" style="2" bestFit="1" customWidth="1"/>
    <col min="9" max="10" width="5.28515625" style="2" bestFit="1" customWidth="1"/>
    <col min="11" max="16382" width="32.140625" style="2"/>
    <col min="16383" max="16383" width="1.7109375" style="2" customWidth="1"/>
    <col min="16384" max="16384" width="17.7109375" style="1" customWidth="1"/>
  </cols>
  <sheetData>
    <row r="1" spans="1:10" s="1" customFormat="1">
      <c r="A1" s="12" t="s">
        <v>238</v>
      </c>
      <c r="B1" s="12"/>
      <c r="C1" s="12"/>
      <c r="D1" s="12"/>
      <c r="E1" s="12"/>
      <c r="F1" s="12"/>
      <c r="G1" s="12"/>
      <c r="H1" s="12"/>
      <c r="I1" s="12"/>
      <c r="J1" s="12"/>
    </row>
    <row r="2" spans="1:10" s="1" customFormat="1" hidden="1">
      <c r="A2" s="10" t="s">
        <v>350</v>
      </c>
      <c r="B2" s="10" t="s">
        <v>156</v>
      </c>
      <c r="C2" s="10" t="s">
        <v>157</v>
      </c>
      <c r="D2" s="10" t="s">
        <v>239</v>
      </c>
      <c r="E2" s="10" t="s">
        <v>159</v>
      </c>
      <c r="F2" s="10" t="s">
        <v>1684</v>
      </c>
      <c r="G2" s="10" t="s">
        <v>1685</v>
      </c>
      <c r="H2" s="10" t="s">
        <v>5378</v>
      </c>
      <c r="I2" s="10" t="s">
        <v>5366</v>
      </c>
      <c r="J2" s="10" t="s">
        <v>5677</v>
      </c>
    </row>
    <row r="3" spans="1:10" s="1" customFormat="1">
      <c r="A3" s="11">
        <v>1</v>
      </c>
      <c r="B3" s="11" t="s">
        <v>240</v>
      </c>
      <c r="C3" s="11">
        <v>8</v>
      </c>
      <c r="D3" s="11" t="s">
        <v>160</v>
      </c>
      <c r="E3" s="11" t="s">
        <v>177</v>
      </c>
      <c r="F3" s="11" t="s">
        <v>1686</v>
      </c>
      <c r="G3" s="11" t="s">
        <v>1687</v>
      </c>
      <c r="H3" s="11" t="s">
        <v>5382</v>
      </c>
      <c r="I3" s="11"/>
      <c r="J3" s="11"/>
    </row>
    <row r="4" spans="1:10" s="1" customFormat="1" ht="30" hidden="1">
      <c r="A4" s="11">
        <v>2</v>
      </c>
      <c r="B4" s="11" t="s">
        <v>78</v>
      </c>
      <c r="C4" s="11">
        <v>4</v>
      </c>
      <c r="D4" s="11" t="s">
        <v>242</v>
      </c>
      <c r="E4" s="11"/>
      <c r="F4" s="11" t="s">
        <v>1707</v>
      </c>
      <c r="G4" s="11" t="s">
        <v>2912</v>
      </c>
      <c r="H4" s="11" t="s">
        <v>5384</v>
      </c>
      <c r="I4" s="11"/>
      <c r="J4" s="11"/>
    </row>
    <row r="5" spans="1:10" s="1" customFormat="1" ht="30" hidden="1">
      <c r="A5" s="11">
        <v>3</v>
      </c>
      <c r="B5" s="11" t="s">
        <v>89</v>
      </c>
      <c r="C5" s="11">
        <v>10</v>
      </c>
      <c r="D5" s="11" t="s">
        <v>242</v>
      </c>
      <c r="E5" s="11"/>
      <c r="F5" s="11" t="s">
        <v>1708</v>
      </c>
      <c r="G5" s="11" t="s">
        <v>2913</v>
      </c>
      <c r="H5" s="11" t="s">
        <v>5385</v>
      </c>
      <c r="I5" s="11"/>
      <c r="J5" s="11"/>
    </row>
    <row r="6" spans="1:10" s="1" customFormat="1" ht="30" hidden="1">
      <c r="A6" s="11">
        <v>4</v>
      </c>
      <c r="B6" s="11" t="s">
        <v>87</v>
      </c>
      <c r="C6" s="11">
        <v>14</v>
      </c>
      <c r="D6" s="11" t="s">
        <v>1032</v>
      </c>
      <c r="E6" s="11" t="s">
        <v>1033</v>
      </c>
      <c r="F6" s="11" t="s">
        <v>1709</v>
      </c>
      <c r="G6" s="11" t="s">
        <v>2914</v>
      </c>
      <c r="H6" s="11" t="s">
        <v>5402</v>
      </c>
      <c r="I6" s="11"/>
      <c r="J6" s="11"/>
    </row>
    <row r="7" spans="1:10" s="1" customFormat="1" ht="30" hidden="1">
      <c r="A7" s="11">
        <v>5</v>
      </c>
      <c r="B7" s="11" t="s">
        <v>0</v>
      </c>
      <c r="C7" s="11">
        <v>1</v>
      </c>
      <c r="D7" s="11" t="s">
        <v>242</v>
      </c>
      <c r="E7" s="11"/>
      <c r="F7" s="11" t="s">
        <v>1724</v>
      </c>
      <c r="G7" s="11" t="s">
        <v>2915</v>
      </c>
      <c r="H7" s="11"/>
      <c r="I7" s="11"/>
      <c r="J7" s="11"/>
    </row>
    <row r="8" spans="1:10" s="1" customFormat="1" ht="105" hidden="1">
      <c r="A8" s="11">
        <v>6</v>
      </c>
      <c r="B8" s="11" t="s">
        <v>1</v>
      </c>
      <c r="C8" s="11">
        <v>1</v>
      </c>
      <c r="D8" s="11" t="s">
        <v>242</v>
      </c>
      <c r="E8" s="11"/>
      <c r="F8" s="11" t="s">
        <v>1760</v>
      </c>
      <c r="G8" s="11" t="s">
        <v>2916</v>
      </c>
      <c r="H8" s="11"/>
      <c r="I8" s="11"/>
      <c r="J8" s="11"/>
    </row>
    <row r="9" spans="1:10" s="1" customFormat="1" ht="30" hidden="1">
      <c r="A9" s="11">
        <v>7</v>
      </c>
      <c r="B9" s="11" t="s">
        <v>90</v>
      </c>
      <c r="C9" s="11">
        <v>10</v>
      </c>
      <c r="D9" s="11" t="s">
        <v>242</v>
      </c>
      <c r="E9" s="11"/>
      <c r="F9" s="11" t="s">
        <v>1761</v>
      </c>
      <c r="G9" s="11" t="s">
        <v>2917</v>
      </c>
      <c r="H9" s="11"/>
      <c r="I9" s="11"/>
      <c r="J9" s="11"/>
    </row>
    <row r="10" spans="1:10" s="1" customFormat="1" ht="30" hidden="1">
      <c r="A10" s="11">
        <v>8</v>
      </c>
      <c r="B10" s="11" t="s">
        <v>1436</v>
      </c>
      <c r="C10" s="11">
        <v>19</v>
      </c>
      <c r="D10" s="11" t="s">
        <v>242</v>
      </c>
      <c r="E10" s="11"/>
      <c r="F10" s="11" t="s">
        <v>1762</v>
      </c>
      <c r="G10" s="11" t="s">
        <v>2918</v>
      </c>
      <c r="H10" s="11" t="s">
        <v>5451</v>
      </c>
      <c r="I10" s="11" t="s">
        <v>5387</v>
      </c>
      <c r="J10" s="11"/>
    </row>
    <row r="11" spans="1:10" s="1" customFormat="1" ht="150" hidden="1">
      <c r="A11" s="11">
        <v>9</v>
      </c>
      <c r="B11" s="11" t="s">
        <v>1437</v>
      </c>
      <c r="C11" s="11">
        <v>1</v>
      </c>
      <c r="D11" s="11" t="s">
        <v>242</v>
      </c>
      <c r="E11" s="11"/>
      <c r="F11" s="11" t="s">
        <v>1763</v>
      </c>
      <c r="G11" s="11" t="s">
        <v>2919</v>
      </c>
      <c r="H11" s="11"/>
      <c r="I11" s="11"/>
      <c r="J11" s="11"/>
    </row>
    <row r="12" spans="1:10" s="1" customFormat="1" ht="135" hidden="1">
      <c r="A12" s="11">
        <v>10</v>
      </c>
      <c r="B12" s="11" t="s">
        <v>37</v>
      </c>
      <c r="C12" s="11">
        <v>1</v>
      </c>
      <c r="D12" s="11" t="s">
        <v>242</v>
      </c>
      <c r="E12" s="11"/>
      <c r="F12" s="11" t="s">
        <v>1764</v>
      </c>
      <c r="G12" s="11" t="s">
        <v>2920</v>
      </c>
      <c r="H12" s="11"/>
      <c r="I12" s="11"/>
      <c r="J12" s="11"/>
    </row>
    <row r="13" spans="1:10" s="1" customFormat="1" ht="75" hidden="1">
      <c r="A13" s="11">
        <v>11</v>
      </c>
      <c r="B13" s="11" t="s">
        <v>1438</v>
      </c>
      <c r="C13" s="11">
        <v>1</v>
      </c>
      <c r="D13" s="11" t="s">
        <v>242</v>
      </c>
      <c r="E13" s="11"/>
      <c r="F13" s="11" t="s">
        <v>1765</v>
      </c>
      <c r="G13" s="11" t="s">
        <v>2921</v>
      </c>
      <c r="H13" s="11"/>
      <c r="I13" s="11"/>
      <c r="J13" s="11"/>
    </row>
    <row r="14" spans="1:10" s="1" customFormat="1" ht="75" hidden="1">
      <c r="A14" s="11">
        <v>12</v>
      </c>
      <c r="B14" s="11" t="s">
        <v>1439</v>
      </c>
      <c r="C14" s="11">
        <v>1</v>
      </c>
      <c r="D14" s="11" t="s">
        <v>242</v>
      </c>
      <c r="E14" s="11"/>
      <c r="F14" s="11" t="s">
        <v>1766</v>
      </c>
      <c r="G14" s="11" t="s">
        <v>2922</v>
      </c>
      <c r="H14" s="11"/>
      <c r="I14" s="11"/>
      <c r="J14" s="11"/>
    </row>
    <row r="15" spans="1:10" s="1" customFormat="1" ht="120" hidden="1">
      <c r="A15" s="11">
        <v>13</v>
      </c>
      <c r="B15" s="11" t="s">
        <v>1440</v>
      </c>
      <c r="C15" s="11">
        <v>1</v>
      </c>
      <c r="D15" s="11" t="s">
        <v>242</v>
      </c>
      <c r="E15" s="11"/>
      <c r="F15" s="11" t="s">
        <v>1767</v>
      </c>
      <c r="G15" s="11" t="s">
        <v>2923</v>
      </c>
      <c r="H15" s="11"/>
      <c r="I15" s="11"/>
      <c r="J15" s="11"/>
    </row>
    <row r="16" spans="1:10" s="1" customFormat="1" ht="90" hidden="1">
      <c r="A16" s="11">
        <v>14</v>
      </c>
      <c r="B16" s="11" t="s">
        <v>618</v>
      </c>
      <c r="C16" s="11">
        <v>1</v>
      </c>
      <c r="D16" s="11" t="s">
        <v>242</v>
      </c>
      <c r="E16" s="11"/>
      <c r="F16" s="11" t="s">
        <v>1768</v>
      </c>
      <c r="G16" s="11" t="s">
        <v>2924</v>
      </c>
      <c r="H16" s="11"/>
      <c r="I16" s="11"/>
      <c r="J16" s="11"/>
    </row>
    <row r="17" spans="1:10" s="1" customFormat="1" ht="30" hidden="1">
      <c r="A17" s="11">
        <v>15</v>
      </c>
      <c r="B17" s="11" t="s">
        <v>1428</v>
      </c>
      <c r="C17" s="11">
        <v>14</v>
      </c>
      <c r="D17" s="11" t="s">
        <v>242</v>
      </c>
      <c r="E17" s="11"/>
      <c r="F17" s="11" t="s">
        <v>1769</v>
      </c>
      <c r="G17" s="11" t="s">
        <v>2925</v>
      </c>
      <c r="H17" s="11"/>
      <c r="I17" s="11"/>
      <c r="J17" s="11" t="s">
        <v>5388</v>
      </c>
    </row>
    <row r="18" spans="1:10" s="1" customFormat="1" ht="45" hidden="1">
      <c r="A18" s="11">
        <v>16</v>
      </c>
      <c r="B18" s="11" t="s">
        <v>151</v>
      </c>
      <c r="C18" s="11">
        <v>7</v>
      </c>
      <c r="D18" s="11" t="s">
        <v>158</v>
      </c>
      <c r="E18" s="11"/>
      <c r="F18" s="11" t="s">
        <v>1725</v>
      </c>
      <c r="G18" s="11" t="s">
        <v>1726</v>
      </c>
      <c r="H18" s="11"/>
      <c r="I18" s="11" t="s">
        <v>5387</v>
      </c>
      <c r="J18" s="11"/>
    </row>
    <row r="19" spans="1:10" s="1" customFormat="1" ht="90" hidden="1">
      <c r="A19" s="11">
        <v>17</v>
      </c>
      <c r="B19" s="11" t="s">
        <v>1441</v>
      </c>
      <c r="C19" s="11">
        <v>1</v>
      </c>
      <c r="D19" s="11" t="s">
        <v>242</v>
      </c>
      <c r="E19" s="11"/>
      <c r="F19" s="11" t="s">
        <v>1770</v>
      </c>
      <c r="G19" s="11" t="s">
        <v>2926</v>
      </c>
      <c r="H19" s="11"/>
      <c r="I19" s="11"/>
      <c r="J19" s="11"/>
    </row>
    <row r="20" spans="1:10" s="1" customFormat="1" ht="30" hidden="1">
      <c r="A20" s="11">
        <v>18</v>
      </c>
      <c r="B20" s="11" t="s">
        <v>1442</v>
      </c>
      <c r="C20" s="11">
        <v>4</v>
      </c>
      <c r="D20" s="11" t="s">
        <v>242</v>
      </c>
      <c r="E20" s="11"/>
      <c r="F20" s="11" t="s">
        <v>1771</v>
      </c>
      <c r="G20" s="11" t="s">
        <v>2927</v>
      </c>
      <c r="H20" s="11"/>
      <c r="I20" s="11"/>
      <c r="J20" s="11"/>
    </row>
    <row r="21" spans="1:10" s="1" customFormat="1" ht="30" hidden="1">
      <c r="A21" s="11">
        <v>19</v>
      </c>
      <c r="B21" s="11" t="s">
        <v>1443</v>
      </c>
      <c r="C21" s="11">
        <v>26</v>
      </c>
      <c r="D21" s="11" t="s">
        <v>242</v>
      </c>
      <c r="E21" s="11"/>
      <c r="F21" s="11" t="s">
        <v>1772</v>
      </c>
      <c r="G21" s="11" t="s">
        <v>2928</v>
      </c>
      <c r="H21" s="11"/>
      <c r="I21" s="11"/>
      <c r="J21" s="11"/>
    </row>
    <row r="22" spans="1:10" s="1" customFormat="1" ht="30" hidden="1">
      <c r="A22" s="11">
        <v>20</v>
      </c>
      <c r="B22" s="11" t="s">
        <v>114</v>
      </c>
      <c r="C22" s="11">
        <v>30</v>
      </c>
      <c r="D22" s="11" t="s">
        <v>242</v>
      </c>
      <c r="E22" s="11"/>
      <c r="F22" s="11" t="s">
        <v>1773</v>
      </c>
      <c r="G22" s="11" t="s">
        <v>2929</v>
      </c>
      <c r="H22" s="11"/>
      <c r="I22" s="11"/>
      <c r="J22" s="11"/>
    </row>
    <row r="23" spans="1:10" s="1" customFormat="1" hidden="1">
      <c r="A23" s="11">
        <v>21</v>
      </c>
      <c r="B23" s="11" t="s">
        <v>115</v>
      </c>
      <c r="C23" s="11">
        <v>30</v>
      </c>
      <c r="D23" s="11" t="s">
        <v>242</v>
      </c>
      <c r="E23" s="11"/>
      <c r="F23" s="11" t="s">
        <v>1774</v>
      </c>
      <c r="G23" s="11" t="s">
        <v>2930</v>
      </c>
      <c r="H23" s="11"/>
      <c r="I23" s="11"/>
      <c r="J23" s="11"/>
    </row>
    <row r="24" spans="1:10" s="1" customFormat="1" ht="30" hidden="1">
      <c r="A24" s="11">
        <v>22</v>
      </c>
      <c r="B24" s="11" t="s">
        <v>91</v>
      </c>
      <c r="C24" s="11">
        <v>10</v>
      </c>
      <c r="D24" s="11" t="s">
        <v>242</v>
      </c>
      <c r="E24" s="11"/>
      <c r="F24" s="11" t="s">
        <v>1735</v>
      </c>
      <c r="G24" s="11" t="s">
        <v>2931</v>
      </c>
      <c r="H24" s="11"/>
      <c r="I24" s="11"/>
      <c r="J24" s="11"/>
    </row>
    <row r="25" spans="1:10" s="1" customFormat="1" ht="30" hidden="1">
      <c r="A25" s="11">
        <v>23</v>
      </c>
      <c r="B25" s="11" t="s">
        <v>123</v>
      </c>
      <c r="C25" s="11">
        <v>20</v>
      </c>
      <c r="D25" s="11" t="s">
        <v>242</v>
      </c>
      <c r="E25" s="11"/>
      <c r="F25" s="11" t="s">
        <v>1736</v>
      </c>
      <c r="G25" s="11" t="s">
        <v>2932</v>
      </c>
      <c r="H25" s="11"/>
      <c r="I25" s="11"/>
      <c r="J25" s="11"/>
    </row>
    <row r="26" spans="1:10" s="1" customFormat="1" ht="30" hidden="1">
      <c r="A26" s="11">
        <v>24</v>
      </c>
      <c r="B26" s="11" t="s">
        <v>92</v>
      </c>
      <c r="C26" s="11">
        <v>10</v>
      </c>
      <c r="D26" s="11" t="s">
        <v>242</v>
      </c>
      <c r="E26" s="11"/>
      <c r="F26" s="11" t="s">
        <v>1737</v>
      </c>
      <c r="G26" s="11" t="s">
        <v>2933</v>
      </c>
      <c r="H26" s="11"/>
      <c r="I26" s="11"/>
      <c r="J26" s="11"/>
    </row>
    <row r="27" spans="1:10" s="1" customFormat="1" ht="30">
      <c r="A27" s="11">
        <v>25</v>
      </c>
      <c r="B27" s="11" t="s">
        <v>1444</v>
      </c>
      <c r="C27" s="11">
        <v>8</v>
      </c>
      <c r="D27" s="11" t="s">
        <v>160</v>
      </c>
      <c r="E27" s="11" t="s">
        <v>177</v>
      </c>
      <c r="F27" s="11" t="s">
        <v>1775</v>
      </c>
      <c r="G27" s="11" t="s">
        <v>2934</v>
      </c>
      <c r="H27" s="11"/>
      <c r="I27" s="11"/>
      <c r="J27" s="11"/>
    </row>
    <row r="28" spans="1:10" s="1" customFormat="1" ht="30">
      <c r="A28" s="11">
        <v>26</v>
      </c>
      <c r="B28" s="11" t="s">
        <v>1445</v>
      </c>
      <c r="C28" s="11">
        <v>8</v>
      </c>
      <c r="D28" s="11" t="s">
        <v>160</v>
      </c>
      <c r="E28" s="11" t="s">
        <v>177</v>
      </c>
      <c r="F28" s="11" t="s">
        <v>1776</v>
      </c>
      <c r="G28" s="11" t="s">
        <v>2935</v>
      </c>
      <c r="H28" s="11"/>
      <c r="I28" s="11"/>
      <c r="J28" s="11"/>
    </row>
    <row r="29" spans="1:10" s="1" customFormat="1">
      <c r="A29" s="11">
        <v>27</v>
      </c>
      <c r="B29" s="11" t="s">
        <v>1446</v>
      </c>
      <c r="C29" s="11">
        <v>8</v>
      </c>
      <c r="D29" s="11" t="s">
        <v>160</v>
      </c>
      <c r="E29" s="11" t="s">
        <v>177</v>
      </c>
      <c r="F29" s="11" t="s">
        <v>1777</v>
      </c>
      <c r="G29" s="11" t="s">
        <v>2936</v>
      </c>
      <c r="H29" s="11"/>
      <c r="I29" s="11"/>
      <c r="J29" s="11"/>
    </row>
    <row r="30" spans="1:10" s="1" customFormat="1" ht="30">
      <c r="A30" s="11">
        <v>28</v>
      </c>
      <c r="B30" s="11" t="s">
        <v>1447</v>
      </c>
      <c r="C30" s="11">
        <v>8</v>
      </c>
      <c r="D30" s="11" t="s">
        <v>160</v>
      </c>
      <c r="E30" s="11" t="s">
        <v>177</v>
      </c>
      <c r="F30" s="11" t="s">
        <v>1778</v>
      </c>
      <c r="G30" s="11" t="s">
        <v>2937</v>
      </c>
      <c r="H30" s="11"/>
      <c r="I30" s="11"/>
      <c r="J30" s="11"/>
    </row>
    <row r="31" spans="1:10" s="1" customFormat="1" hidden="1">
      <c r="A31" s="11">
        <v>29</v>
      </c>
      <c r="B31" s="11" t="s">
        <v>1448</v>
      </c>
      <c r="C31" s="11">
        <v>10</v>
      </c>
      <c r="D31" s="11" t="s">
        <v>242</v>
      </c>
      <c r="E31" s="11"/>
      <c r="F31" s="11" t="s">
        <v>1779</v>
      </c>
      <c r="G31" s="11" t="s">
        <v>2938</v>
      </c>
      <c r="H31" s="11"/>
      <c r="I31" s="11"/>
      <c r="J31" s="11"/>
    </row>
    <row r="32" spans="1:10" s="1" customFormat="1" ht="30" hidden="1">
      <c r="A32" s="11">
        <v>30</v>
      </c>
      <c r="B32" s="11" t="s">
        <v>1449</v>
      </c>
      <c r="C32" s="11">
        <v>20</v>
      </c>
      <c r="D32" s="11" t="s">
        <v>242</v>
      </c>
      <c r="E32" s="11"/>
      <c r="F32" s="11" t="s">
        <v>1780</v>
      </c>
      <c r="G32" s="11" t="s">
        <v>2939</v>
      </c>
      <c r="H32" s="11"/>
      <c r="I32" s="11"/>
      <c r="J32" s="11"/>
    </row>
    <row r="33" spans="1:10" s="1" customFormat="1">
      <c r="A33" s="11">
        <v>31</v>
      </c>
      <c r="B33" s="11" t="s">
        <v>1450</v>
      </c>
      <c r="C33" s="11">
        <v>8</v>
      </c>
      <c r="D33" s="11" t="s">
        <v>160</v>
      </c>
      <c r="E33" s="11" t="s">
        <v>177</v>
      </c>
      <c r="F33" s="11" t="s">
        <v>1781</v>
      </c>
      <c r="G33" s="11" t="s">
        <v>2940</v>
      </c>
      <c r="H33" s="11"/>
      <c r="I33" s="11"/>
      <c r="J33" s="11"/>
    </row>
    <row r="34" spans="1:10" s="1" customFormat="1" ht="30" hidden="1">
      <c r="A34" s="11">
        <v>32</v>
      </c>
      <c r="B34" s="11" t="s">
        <v>1451</v>
      </c>
      <c r="C34" s="11">
        <v>10</v>
      </c>
      <c r="D34" s="11" t="s">
        <v>242</v>
      </c>
      <c r="E34" s="11"/>
      <c r="F34" s="11" t="s">
        <v>1782</v>
      </c>
      <c r="G34" s="11" t="s">
        <v>2941</v>
      </c>
      <c r="H34" s="11"/>
      <c r="I34" s="11"/>
      <c r="J34" s="11"/>
    </row>
    <row r="35" spans="1:10" s="1" customFormat="1" ht="30" hidden="1">
      <c r="A35" s="11">
        <v>33</v>
      </c>
      <c r="B35" s="11" t="s">
        <v>133</v>
      </c>
      <c r="C35" s="11">
        <v>2</v>
      </c>
      <c r="D35" s="11" t="s">
        <v>242</v>
      </c>
      <c r="E35" s="11"/>
      <c r="F35" s="11" t="s">
        <v>1783</v>
      </c>
      <c r="G35" s="11" t="s">
        <v>2942</v>
      </c>
      <c r="H35" s="11"/>
      <c r="I35" s="11"/>
      <c r="J35" s="11"/>
    </row>
    <row r="36" spans="1:10" s="1" customFormat="1" ht="30" hidden="1">
      <c r="A36" s="11">
        <v>34</v>
      </c>
      <c r="B36" s="11" t="s">
        <v>44</v>
      </c>
      <c r="C36" s="11">
        <v>15</v>
      </c>
      <c r="D36" s="11" t="s">
        <v>242</v>
      </c>
      <c r="E36" s="11"/>
      <c r="F36" s="11" t="s">
        <v>1697</v>
      </c>
      <c r="G36" s="11" t="s">
        <v>2943</v>
      </c>
      <c r="H36" s="11"/>
      <c r="I36" s="11"/>
      <c r="J36" s="11"/>
    </row>
    <row r="37" spans="1:10" s="1" customFormat="1" ht="75" hidden="1">
      <c r="A37" s="11">
        <v>35</v>
      </c>
      <c r="B37" s="11" t="s">
        <v>18</v>
      </c>
      <c r="C37" s="11">
        <v>1</v>
      </c>
      <c r="D37" s="11" t="s">
        <v>242</v>
      </c>
      <c r="E37" s="11"/>
      <c r="F37" s="11" t="s">
        <v>1784</v>
      </c>
      <c r="G37" s="11" t="s">
        <v>2944</v>
      </c>
      <c r="H37" s="11"/>
      <c r="I37" s="11"/>
      <c r="J37" s="11"/>
    </row>
    <row r="38" spans="1:10" s="1" customFormat="1" ht="30" hidden="1">
      <c r="A38" s="11">
        <v>36</v>
      </c>
      <c r="B38" s="11" t="s">
        <v>1452</v>
      </c>
      <c r="C38" s="11">
        <v>4</v>
      </c>
      <c r="D38" s="11" t="s">
        <v>242</v>
      </c>
      <c r="E38" s="11"/>
      <c r="F38" s="11" t="s">
        <v>1785</v>
      </c>
      <c r="G38" s="11" t="s">
        <v>2945</v>
      </c>
      <c r="H38" s="11"/>
      <c r="I38" s="11"/>
      <c r="J38" s="11"/>
    </row>
    <row r="39" spans="1:10" s="1" customFormat="1" ht="30" hidden="1">
      <c r="A39" s="11">
        <v>37</v>
      </c>
      <c r="B39" s="11" t="s">
        <v>1453</v>
      </c>
      <c r="C39" s="11">
        <v>5</v>
      </c>
      <c r="D39" s="11" t="s">
        <v>242</v>
      </c>
      <c r="E39" s="11"/>
      <c r="F39" s="11" t="s">
        <v>1786</v>
      </c>
      <c r="G39" s="11" t="s">
        <v>2946</v>
      </c>
      <c r="H39" s="11"/>
      <c r="I39" s="11"/>
      <c r="J39" s="11"/>
    </row>
    <row r="40" spans="1:10" s="1" customFormat="1" ht="30" hidden="1">
      <c r="A40" s="11">
        <v>38</v>
      </c>
      <c r="B40" s="11" t="s">
        <v>1454</v>
      </c>
      <c r="C40" s="11">
        <v>3</v>
      </c>
      <c r="D40" s="11" t="s">
        <v>242</v>
      </c>
      <c r="E40" s="11"/>
      <c r="F40" s="11" t="s">
        <v>1787</v>
      </c>
      <c r="G40" s="11" t="s">
        <v>2947</v>
      </c>
      <c r="H40" s="11"/>
      <c r="I40" s="11"/>
      <c r="J40" s="11"/>
    </row>
    <row r="41" spans="1:10" s="1" customFormat="1" ht="30" hidden="1">
      <c r="A41" s="11">
        <v>39</v>
      </c>
      <c r="B41" s="11" t="s">
        <v>1455</v>
      </c>
      <c r="C41" s="11">
        <v>4</v>
      </c>
      <c r="D41" s="11" t="s">
        <v>242</v>
      </c>
      <c r="E41" s="11"/>
      <c r="F41" s="11" t="s">
        <v>1788</v>
      </c>
      <c r="G41" s="11" t="s">
        <v>2948</v>
      </c>
      <c r="H41" s="11"/>
      <c r="I41" s="11"/>
      <c r="J41" s="11"/>
    </row>
    <row r="42" spans="1:10" s="1" customFormat="1" ht="195" hidden="1">
      <c r="A42" s="11">
        <v>40</v>
      </c>
      <c r="B42" s="11" t="s">
        <v>1456</v>
      </c>
      <c r="C42" s="11">
        <v>1</v>
      </c>
      <c r="D42" s="11" t="s">
        <v>242</v>
      </c>
      <c r="E42" s="11"/>
      <c r="F42" s="11" t="s">
        <v>1789</v>
      </c>
      <c r="G42" s="11" t="s">
        <v>2949</v>
      </c>
      <c r="H42" s="11"/>
      <c r="I42" s="11"/>
      <c r="J42" s="11"/>
    </row>
    <row r="43" spans="1:10" s="1" customFormat="1" ht="150" hidden="1">
      <c r="A43" s="11">
        <v>41</v>
      </c>
      <c r="B43" s="11" t="s">
        <v>1457</v>
      </c>
      <c r="C43" s="11">
        <v>1</v>
      </c>
      <c r="D43" s="11" t="s">
        <v>242</v>
      </c>
      <c r="E43" s="11"/>
      <c r="F43" s="11" t="s">
        <v>1790</v>
      </c>
      <c r="G43" s="11" t="s">
        <v>5678</v>
      </c>
      <c r="H43" s="11"/>
      <c r="I43" s="11"/>
      <c r="J43" s="11"/>
    </row>
    <row r="44" spans="1:10" s="1" customFormat="1" ht="30">
      <c r="A44" s="11">
        <v>42</v>
      </c>
      <c r="B44" s="11" t="s">
        <v>1458</v>
      </c>
      <c r="C44" s="11">
        <v>8</v>
      </c>
      <c r="D44" s="11" t="s">
        <v>160</v>
      </c>
      <c r="E44" s="11" t="s">
        <v>177</v>
      </c>
      <c r="F44" s="11" t="s">
        <v>1791</v>
      </c>
      <c r="G44" s="11" t="s">
        <v>2951</v>
      </c>
      <c r="H44" s="11"/>
      <c r="I44" s="11"/>
      <c r="J44" s="11"/>
    </row>
    <row r="45" spans="1:10" s="1" customFormat="1" ht="30" hidden="1">
      <c r="A45" s="11">
        <v>43</v>
      </c>
      <c r="B45" s="11" t="s">
        <v>1459</v>
      </c>
      <c r="C45" s="11">
        <v>10</v>
      </c>
      <c r="D45" s="11" t="s">
        <v>242</v>
      </c>
      <c r="E45" s="11"/>
      <c r="F45" s="11" t="s">
        <v>1792</v>
      </c>
      <c r="G45" s="11" t="s">
        <v>2952</v>
      </c>
      <c r="H45" s="11"/>
      <c r="I45" s="11"/>
      <c r="J45" s="11"/>
    </row>
    <row r="46" spans="1:10" s="1" customFormat="1" ht="30">
      <c r="A46" s="11">
        <v>44</v>
      </c>
      <c r="B46" s="11" t="s">
        <v>1460</v>
      </c>
      <c r="C46" s="11">
        <v>8</v>
      </c>
      <c r="D46" s="11" t="s">
        <v>160</v>
      </c>
      <c r="E46" s="11" t="s">
        <v>177</v>
      </c>
      <c r="F46" s="11" t="s">
        <v>1793</v>
      </c>
      <c r="G46" s="11" t="s">
        <v>2953</v>
      </c>
      <c r="H46" s="11"/>
      <c r="I46" s="11"/>
      <c r="J46" s="11"/>
    </row>
    <row r="47" spans="1:10" s="1" customFormat="1" ht="30" hidden="1">
      <c r="A47" s="11">
        <v>45</v>
      </c>
      <c r="B47" s="11" t="s">
        <v>1461</v>
      </c>
      <c r="C47" s="11">
        <v>10</v>
      </c>
      <c r="D47" s="11" t="s">
        <v>242</v>
      </c>
      <c r="E47" s="11"/>
      <c r="F47" s="11" t="s">
        <v>1794</v>
      </c>
      <c r="G47" s="11" t="s">
        <v>2954</v>
      </c>
      <c r="H47" s="11"/>
      <c r="I47" s="11"/>
      <c r="J47" s="11"/>
    </row>
    <row r="48" spans="1:10" s="1" customFormat="1" ht="30">
      <c r="A48" s="11">
        <v>46</v>
      </c>
      <c r="B48" s="11" t="s">
        <v>1462</v>
      </c>
      <c r="C48" s="11">
        <v>8</v>
      </c>
      <c r="D48" s="11" t="s">
        <v>160</v>
      </c>
      <c r="E48" s="11" t="s">
        <v>177</v>
      </c>
      <c r="F48" s="11" t="s">
        <v>1795</v>
      </c>
      <c r="G48" s="11" t="s">
        <v>2955</v>
      </c>
      <c r="H48" s="11"/>
      <c r="I48" s="11"/>
      <c r="J48" s="11"/>
    </row>
    <row r="49" spans="1:10" s="1" customFormat="1" ht="30" hidden="1">
      <c r="A49" s="11">
        <v>47</v>
      </c>
      <c r="B49" s="11" t="s">
        <v>1463</v>
      </c>
      <c r="C49" s="11">
        <v>10</v>
      </c>
      <c r="D49" s="11" t="s">
        <v>242</v>
      </c>
      <c r="E49" s="11"/>
      <c r="F49" s="11" t="s">
        <v>1796</v>
      </c>
      <c r="G49" s="11" t="s">
        <v>2956</v>
      </c>
      <c r="H49" s="11"/>
      <c r="I49" s="11"/>
      <c r="J49" s="11"/>
    </row>
    <row r="50" spans="1:10" s="1" customFormat="1" ht="30">
      <c r="A50" s="11">
        <v>48</v>
      </c>
      <c r="B50" s="11" t="s">
        <v>1464</v>
      </c>
      <c r="C50" s="11">
        <v>8</v>
      </c>
      <c r="D50" s="11" t="s">
        <v>160</v>
      </c>
      <c r="E50" s="11" t="s">
        <v>177</v>
      </c>
      <c r="F50" s="11" t="s">
        <v>1797</v>
      </c>
      <c r="G50" s="11" t="s">
        <v>2957</v>
      </c>
      <c r="H50" s="11"/>
      <c r="I50" s="11"/>
      <c r="J50" s="11"/>
    </row>
    <row r="51" spans="1:10" s="1" customFormat="1" ht="30" hidden="1">
      <c r="A51" s="11">
        <v>49</v>
      </c>
      <c r="B51" s="11" t="s">
        <v>1465</v>
      </c>
      <c r="C51" s="11">
        <v>10</v>
      </c>
      <c r="D51" s="11" t="s">
        <v>242</v>
      </c>
      <c r="E51" s="11"/>
      <c r="F51" s="11" t="s">
        <v>1798</v>
      </c>
      <c r="G51" s="11" t="s">
        <v>2958</v>
      </c>
      <c r="H51" s="11"/>
      <c r="I51" s="11"/>
      <c r="J51" s="11"/>
    </row>
    <row r="52" spans="1:10" s="1" customFormat="1" ht="30">
      <c r="A52" s="11">
        <v>50</v>
      </c>
      <c r="B52" s="11" t="s">
        <v>1466</v>
      </c>
      <c r="C52" s="11">
        <v>8</v>
      </c>
      <c r="D52" s="11" t="s">
        <v>160</v>
      </c>
      <c r="E52" s="11" t="s">
        <v>177</v>
      </c>
      <c r="F52" s="11" t="s">
        <v>1799</v>
      </c>
      <c r="G52" s="11" t="s">
        <v>2959</v>
      </c>
      <c r="H52" s="11"/>
      <c r="I52" s="11"/>
      <c r="J52" s="11"/>
    </row>
    <row r="53" spans="1:10" s="1" customFormat="1" ht="30" hidden="1">
      <c r="A53" s="11">
        <v>51</v>
      </c>
      <c r="B53" s="11" t="s">
        <v>1467</v>
      </c>
      <c r="C53" s="11">
        <v>10</v>
      </c>
      <c r="D53" s="11" t="s">
        <v>242</v>
      </c>
      <c r="E53" s="11"/>
      <c r="F53" s="11" t="s">
        <v>1800</v>
      </c>
      <c r="G53" s="11" t="s">
        <v>2960</v>
      </c>
      <c r="H53" s="11"/>
      <c r="I53" s="11"/>
      <c r="J53" s="11"/>
    </row>
    <row r="54" spans="1:10" s="1" customFormat="1" ht="30">
      <c r="A54" s="11">
        <v>52</v>
      </c>
      <c r="B54" s="11" t="s">
        <v>1468</v>
      </c>
      <c r="C54" s="11">
        <v>8</v>
      </c>
      <c r="D54" s="11" t="s">
        <v>160</v>
      </c>
      <c r="E54" s="11" t="s">
        <v>177</v>
      </c>
      <c r="F54" s="11" t="s">
        <v>1801</v>
      </c>
      <c r="G54" s="11" t="s">
        <v>2961</v>
      </c>
      <c r="H54" s="11"/>
      <c r="I54" s="11"/>
      <c r="J54" s="11"/>
    </row>
    <row r="55" spans="1:10" s="1" customFormat="1" ht="30" hidden="1">
      <c r="A55" s="11">
        <v>53</v>
      </c>
      <c r="B55" s="11" t="s">
        <v>1469</v>
      </c>
      <c r="C55" s="11">
        <v>10</v>
      </c>
      <c r="D55" s="11" t="s">
        <v>242</v>
      </c>
      <c r="E55" s="11"/>
      <c r="F55" s="11" t="s">
        <v>1802</v>
      </c>
      <c r="G55" s="11" t="s">
        <v>2962</v>
      </c>
      <c r="H55" s="11"/>
      <c r="I55" s="11"/>
      <c r="J55" s="11"/>
    </row>
    <row r="56" spans="1:10" s="1" customFormat="1" ht="30" hidden="1">
      <c r="A56" s="11">
        <v>54</v>
      </c>
      <c r="B56" s="11" t="s">
        <v>150</v>
      </c>
      <c r="C56" s="11">
        <v>200</v>
      </c>
      <c r="D56" s="11" t="s">
        <v>242</v>
      </c>
      <c r="E56" s="11"/>
      <c r="F56" s="11" t="s">
        <v>1803</v>
      </c>
      <c r="G56" s="11" t="s">
        <v>2963</v>
      </c>
      <c r="H56" s="11"/>
      <c r="I56" s="11"/>
      <c r="J56" s="11"/>
    </row>
    <row r="57" spans="1:10" s="1" customFormat="1" ht="60" hidden="1">
      <c r="A57" s="11">
        <v>55</v>
      </c>
      <c r="B57" s="11" t="s">
        <v>1470</v>
      </c>
      <c r="C57" s="11">
        <v>1</v>
      </c>
      <c r="D57" s="11" t="s">
        <v>242</v>
      </c>
      <c r="E57" s="11"/>
      <c r="F57" s="11" t="s">
        <v>1804</v>
      </c>
      <c r="G57" s="11" t="s">
        <v>2964</v>
      </c>
      <c r="H57" s="11"/>
      <c r="I57" s="11"/>
      <c r="J57" s="11"/>
    </row>
    <row r="58" spans="1:10" s="1" customFormat="1" ht="60" hidden="1">
      <c r="A58" s="11">
        <v>56</v>
      </c>
      <c r="B58" s="11" t="s">
        <v>1471</v>
      </c>
      <c r="C58" s="11">
        <v>1</v>
      </c>
      <c r="D58" s="11" t="s">
        <v>242</v>
      </c>
      <c r="E58" s="11"/>
      <c r="F58" s="11" t="s">
        <v>1805</v>
      </c>
      <c r="G58" s="11" t="s">
        <v>2965</v>
      </c>
      <c r="H58" s="11"/>
      <c r="I58" s="11"/>
      <c r="J58" s="11"/>
    </row>
    <row r="59" spans="1:10" s="1" customFormat="1" ht="30" hidden="1">
      <c r="A59" s="11">
        <v>57</v>
      </c>
      <c r="B59" s="11" t="s">
        <v>1472</v>
      </c>
      <c r="C59" s="11">
        <v>6</v>
      </c>
      <c r="D59" s="11" t="s">
        <v>242</v>
      </c>
      <c r="E59" s="11"/>
      <c r="F59" s="11" t="s">
        <v>1806</v>
      </c>
      <c r="G59" s="11" t="s">
        <v>2966</v>
      </c>
      <c r="H59" s="11"/>
      <c r="I59" s="11"/>
      <c r="J59" s="11"/>
    </row>
    <row r="60" spans="1:10" s="1" customFormat="1" ht="30" hidden="1">
      <c r="A60" s="11">
        <v>58</v>
      </c>
      <c r="B60" s="11" t="s">
        <v>1473</v>
      </c>
      <c r="C60" s="11">
        <v>6</v>
      </c>
      <c r="D60" s="11" t="s">
        <v>242</v>
      </c>
      <c r="E60" s="11"/>
      <c r="F60" s="11" t="s">
        <v>1807</v>
      </c>
      <c r="G60" s="11" t="s">
        <v>2967</v>
      </c>
      <c r="H60" s="11"/>
      <c r="I60" s="11"/>
      <c r="J60" s="11"/>
    </row>
    <row r="61" spans="1:10" s="1" customFormat="1" ht="30" hidden="1">
      <c r="A61" s="11">
        <v>59</v>
      </c>
      <c r="B61" s="11" t="s">
        <v>1474</v>
      </c>
      <c r="C61" s="11">
        <v>6</v>
      </c>
      <c r="D61" s="11" t="s">
        <v>242</v>
      </c>
      <c r="E61" s="11"/>
      <c r="F61" s="11" t="s">
        <v>1808</v>
      </c>
      <c r="G61" s="11" t="s">
        <v>2968</v>
      </c>
      <c r="H61" s="11"/>
      <c r="I61" s="11"/>
      <c r="J61" s="11"/>
    </row>
    <row r="62" spans="1:10" s="1" customFormat="1" ht="30" hidden="1">
      <c r="A62" s="11">
        <v>60</v>
      </c>
      <c r="B62" s="11" t="s">
        <v>1475</v>
      </c>
      <c r="C62" s="11">
        <v>6</v>
      </c>
      <c r="D62" s="11" t="s">
        <v>242</v>
      </c>
      <c r="E62" s="11"/>
      <c r="F62" s="11" t="s">
        <v>1809</v>
      </c>
      <c r="G62" s="11" t="s">
        <v>2969</v>
      </c>
      <c r="H62" s="11"/>
      <c r="I62" s="11"/>
      <c r="J62" s="11"/>
    </row>
    <row r="63" spans="1:10" s="1" customFormat="1" ht="30" hidden="1">
      <c r="A63" s="11">
        <v>61</v>
      </c>
      <c r="B63" s="11" t="s">
        <v>1476</v>
      </c>
      <c r="C63" s="11">
        <v>6</v>
      </c>
      <c r="D63" s="11" t="s">
        <v>242</v>
      </c>
      <c r="E63" s="11"/>
      <c r="F63" s="11" t="s">
        <v>1810</v>
      </c>
      <c r="G63" s="11" t="s">
        <v>2970</v>
      </c>
      <c r="H63" s="11"/>
      <c r="I63" s="11"/>
      <c r="J63" s="11"/>
    </row>
    <row r="64" spans="1:10" s="1" customFormat="1" ht="30" hidden="1">
      <c r="A64" s="11">
        <v>62</v>
      </c>
      <c r="B64" s="11" t="s">
        <v>1477</v>
      </c>
      <c r="C64" s="11">
        <v>6</v>
      </c>
      <c r="D64" s="11" t="s">
        <v>242</v>
      </c>
      <c r="E64" s="11"/>
      <c r="F64" s="11" t="s">
        <v>1811</v>
      </c>
      <c r="G64" s="11" t="s">
        <v>2971</v>
      </c>
      <c r="H64" s="11"/>
      <c r="I64" s="11"/>
      <c r="J64" s="11"/>
    </row>
    <row r="65" spans="1:10" s="1" customFormat="1" ht="30" hidden="1">
      <c r="A65" s="11">
        <v>63</v>
      </c>
      <c r="B65" s="11" t="s">
        <v>1478</v>
      </c>
      <c r="C65" s="11">
        <v>6</v>
      </c>
      <c r="D65" s="11" t="s">
        <v>242</v>
      </c>
      <c r="E65" s="11"/>
      <c r="F65" s="11" t="s">
        <v>1812</v>
      </c>
      <c r="G65" s="11" t="s">
        <v>2972</v>
      </c>
      <c r="H65" s="11"/>
      <c r="I65" s="11"/>
      <c r="J65" s="11"/>
    </row>
    <row r="66" spans="1:10" s="1" customFormat="1" ht="30" hidden="1">
      <c r="A66" s="11">
        <v>64</v>
      </c>
      <c r="B66" s="11" t="s">
        <v>1479</v>
      </c>
      <c r="C66" s="11">
        <v>6</v>
      </c>
      <c r="D66" s="11" t="s">
        <v>242</v>
      </c>
      <c r="E66" s="11"/>
      <c r="F66" s="11" t="s">
        <v>1813</v>
      </c>
      <c r="G66" s="11" t="s">
        <v>2973</v>
      </c>
      <c r="H66" s="11"/>
      <c r="I66" s="11"/>
      <c r="J66" s="11"/>
    </row>
    <row r="67" spans="1:10" s="1" customFormat="1" ht="75" hidden="1">
      <c r="A67" s="11">
        <v>65</v>
      </c>
      <c r="B67" s="11" t="s">
        <v>1480</v>
      </c>
      <c r="C67" s="11">
        <v>1</v>
      </c>
      <c r="D67" s="11" t="s">
        <v>242</v>
      </c>
      <c r="E67" s="11"/>
      <c r="F67" s="11" t="s">
        <v>1814</v>
      </c>
      <c r="G67" s="11" t="s">
        <v>1820</v>
      </c>
      <c r="H67" s="11"/>
      <c r="I67" s="11"/>
      <c r="J67" s="11"/>
    </row>
    <row r="68" spans="1:10" s="1" customFormat="1" ht="90" hidden="1">
      <c r="A68" s="11">
        <v>66</v>
      </c>
      <c r="B68" s="11" t="s">
        <v>1481</v>
      </c>
      <c r="C68" s="11">
        <v>1</v>
      </c>
      <c r="D68" s="11" t="s">
        <v>242</v>
      </c>
      <c r="E68" s="11"/>
      <c r="F68" s="11" t="s">
        <v>1815</v>
      </c>
      <c r="G68" s="11" t="s">
        <v>2974</v>
      </c>
      <c r="H68" s="11"/>
      <c r="I68" s="11"/>
      <c r="J68" s="11"/>
    </row>
    <row r="69" spans="1:10" s="1" customFormat="1" ht="30" hidden="1">
      <c r="A69" s="11">
        <v>67</v>
      </c>
      <c r="B69" s="11" t="s">
        <v>1482</v>
      </c>
      <c r="C69" s="11">
        <v>19</v>
      </c>
      <c r="D69" s="11" t="s">
        <v>242</v>
      </c>
      <c r="E69" s="11"/>
      <c r="F69" s="11" t="s">
        <v>1816</v>
      </c>
      <c r="G69" s="11" t="s">
        <v>2975</v>
      </c>
      <c r="H69" s="11"/>
      <c r="I69" s="11"/>
      <c r="J69" s="11"/>
    </row>
    <row r="70" spans="1:10" s="1" customFormat="1" ht="30" hidden="1">
      <c r="A70" s="11">
        <v>68</v>
      </c>
      <c r="B70" s="11" t="s">
        <v>1483</v>
      </c>
      <c r="C70" s="11">
        <v>4</v>
      </c>
      <c r="D70" s="11" t="s">
        <v>242</v>
      </c>
      <c r="E70" s="11"/>
      <c r="F70" s="11" t="s">
        <v>1817</v>
      </c>
      <c r="G70" s="11" t="s">
        <v>2976</v>
      </c>
      <c r="H70" s="11"/>
      <c r="I70" s="11"/>
      <c r="J70" s="11"/>
    </row>
    <row r="71" spans="1:10" s="1" customFormat="1" ht="30" hidden="1">
      <c r="A71" s="11">
        <v>69</v>
      </c>
      <c r="B71" s="11" t="s">
        <v>105</v>
      </c>
      <c r="C71" s="11">
        <v>10</v>
      </c>
      <c r="D71" s="11" t="s">
        <v>242</v>
      </c>
      <c r="E71" s="11"/>
      <c r="F71" s="11" t="s">
        <v>1716</v>
      </c>
      <c r="G71" s="11" t="s">
        <v>2977</v>
      </c>
      <c r="H71" s="11"/>
      <c r="I71" s="11"/>
      <c r="J71" s="11"/>
    </row>
    <row r="72" spans="1:10" s="1" customFormat="1" ht="30" hidden="1">
      <c r="A72" s="11">
        <v>70</v>
      </c>
      <c r="B72" s="11" t="s">
        <v>163</v>
      </c>
      <c r="C72" s="11">
        <v>14</v>
      </c>
      <c r="D72" s="11" t="s">
        <v>1032</v>
      </c>
      <c r="E72" s="11" t="s">
        <v>1033</v>
      </c>
      <c r="F72" s="11" t="s">
        <v>1717</v>
      </c>
      <c r="G72" s="11" t="s">
        <v>2978</v>
      </c>
      <c r="H72" s="11"/>
      <c r="I72" s="11"/>
      <c r="J72" s="11"/>
    </row>
    <row r="73" spans="1:10" s="1" customFormat="1" ht="30" hidden="1">
      <c r="A73" s="11">
        <v>71</v>
      </c>
      <c r="B73" s="11" t="s">
        <v>1484</v>
      </c>
      <c r="C73" s="11">
        <v>14</v>
      </c>
      <c r="D73" s="11" t="s">
        <v>1032</v>
      </c>
      <c r="E73" s="11" t="s">
        <v>1033</v>
      </c>
      <c r="F73" s="11" t="s">
        <v>1818</v>
      </c>
      <c r="G73" s="11" t="s">
        <v>2979</v>
      </c>
      <c r="H73" s="11"/>
      <c r="I73" s="11"/>
      <c r="J73" s="11"/>
    </row>
    <row r="74" spans="1:10" s="1" customFormat="1" hidden="1">
      <c r="A74" s="11">
        <v>72</v>
      </c>
      <c r="B74" s="11" t="s">
        <v>5684</v>
      </c>
      <c r="C74" s="11">
        <v>16</v>
      </c>
      <c r="D74" s="11" t="s">
        <v>242</v>
      </c>
      <c r="E74" s="11"/>
      <c r="F74" s="11" t="s">
        <v>5686</v>
      </c>
      <c r="G74" s="11" t="s">
        <v>5687</v>
      </c>
      <c r="H74" s="11"/>
      <c r="I74" s="11"/>
      <c r="J74" s="11"/>
    </row>
    <row r="75" spans="1:10" s="1" customFormat="1" ht="30" hidden="1">
      <c r="A75" s="11">
        <v>73</v>
      </c>
      <c r="B75" s="11" t="s">
        <v>1485</v>
      </c>
      <c r="C75" s="11">
        <v>19</v>
      </c>
      <c r="D75" s="11" t="s">
        <v>242</v>
      </c>
      <c r="E75" s="11"/>
      <c r="F75" s="11" t="s">
        <v>1819</v>
      </c>
      <c r="G75" s="11" t="s">
        <v>2980</v>
      </c>
      <c r="H75" s="11"/>
      <c r="I75" s="11"/>
      <c r="J75" s="11"/>
    </row>
    <row r="76" spans="1:10" s="1" customFormat="1" ht="30" hidden="1">
      <c r="A76" s="11">
        <v>74</v>
      </c>
      <c r="B76" s="11" t="s">
        <v>5685</v>
      </c>
      <c r="C76" s="11">
        <v>8</v>
      </c>
      <c r="D76" s="11" t="s">
        <v>242</v>
      </c>
      <c r="E76" s="11"/>
      <c r="F76" s="11" t="s">
        <v>1819</v>
      </c>
      <c r="G76" s="11" t="s">
        <v>5688</v>
      </c>
      <c r="H76" s="11"/>
      <c r="I76" s="11"/>
      <c r="J76" s="11"/>
    </row>
    <row r="77" spans="1:10" s="1" customFormat="1" hidden="1">
      <c r="A77" s="11">
        <v>75</v>
      </c>
      <c r="B77" s="11" t="s">
        <v>1182</v>
      </c>
      <c r="C77" s="11">
        <v>12</v>
      </c>
      <c r="D77" s="11" t="s">
        <v>189</v>
      </c>
      <c r="E77" s="11" t="s">
        <v>5576</v>
      </c>
      <c r="F77" s="11" t="s">
        <v>1688</v>
      </c>
      <c r="G77" s="11" t="s">
        <v>1689</v>
      </c>
      <c r="H77" s="11"/>
      <c r="I77" s="11"/>
      <c r="J77" s="11"/>
    </row>
    <row r="78" spans="1:10" s="1" customFormat="1" ht="30" hidden="1">
      <c r="A78" s="11">
        <v>76</v>
      </c>
      <c r="B78" s="11" t="s">
        <v>1183</v>
      </c>
      <c r="C78" s="11">
        <v>30</v>
      </c>
      <c r="D78" s="11" t="s">
        <v>242</v>
      </c>
      <c r="E78" s="11" t="s">
        <v>5576</v>
      </c>
      <c r="F78" s="11" t="s">
        <v>1690</v>
      </c>
      <c r="G78" s="11" t="s">
        <v>1691</v>
      </c>
      <c r="H78" s="11"/>
      <c r="I78" s="11"/>
      <c r="J78" s="11"/>
    </row>
    <row r="79" spans="1:10" s="1" customFormat="1" hidden="1"/>
    <row r="80" spans="1:10" s="1" customFormat="1" hidden="1"/>
    <row r="81" s="1" customFormat="1" hidden="1"/>
    <row r="82" s="1" customFormat="1" hidden="1"/>
    <row r="83" s="1" customFormat="1" hidden="1"/>
    <row r="84" s="1" customFormat="1" hidden="1"/>
    <row r="85" s="1" customFormat="1" hidden="1"/>
    <row r="86" s="1" customFormat="1" hidden="1"/>
    <row r="87" s="1" customFormat="1" hidden="1"/>
    <row r="88" s="1" customFormat="1" hidden="1"/>
    <row r="89" s="1" customFormat="1" hidden="1"/>
    <row r="90" s="1" customFormat="1" hidden="1"/>
    <row r="91" s="1" customFormat="1" hidden="1"/>
    <row r="92" s="1" customFormat="1" hidden="1"/>
    <row r="93" s="1" customFormat="1" hidden="1"/>
    <row r="94" s="1" customFormat="1" hidden="1"/>
    <row r="95" s="1" customFormat="1" hidden="1"/>
    <row r="96" s="1" customFormat="1" hidden="1"/>
    <row r="97" s="1" customFormat="1" hidden="1"/>
    <row r="98" s="1" customFormat="1" hidden="1"/>
    <row r="99" s="1" customFormat="1" hidden="1"/>
    <row r="100" s="1" customFormat="1" hidden="1"/>
    <row r="101" s="1" customFormat="1" hidden="1"/>
    <row r="102" s="1" customFormat="1" hidden="1"/>
    <row r="103" s="1" customFormat="1" hidden="1"/>
    <row r="104" s="1" customFormat="1" hidden="1"/>
    <row r="105" s="1" customFormat="1" hidden="1"/>
    <row r="106" s="1" customFormat="1" hidden="1"/>
    <row r="107" s="1" customFormat="1" hidden="1"/>
    <row r="108" s="1" customFormat="1" hidden="1"/>
    <row r="109" s="1" customFormat="1" hidden="1"/>
    <row r="110" s="1" customFormat="1" hidden="1"/>
    <row r="111" s="1" customFormat="1" hidden="1"/>
    <row r="112" s="1" customFormat="1" hidden="1"/>
    <row r="113" s="1" customFormat="1" hidden="1"/>
    <row r="114" s="1" customFormat="1" hidden="1"/>
    <row r="115" s="1" customFormat="1" hidden="1"/>
    <row r="116" s="1" customFormat="1" hidden="1"/>
    <row r="117" s="1" customFormat="1" hidden="1"/>
    <row r="118" s="1" customFormat="1" hidden="1"/>
    <row r="119" s="1" customFormat="1" hidden="1"/>
    <row r="120" s="1" customFormat="1" hidden="1"/>
    <row r="121" s="1" customFormat="1" hidden="1"/>
    <row r="122" s="1" customFormat="1" hidden="1"/>
    <row r="123" s="1" customFormat="1" hidden="1"/>
    <row r="124" s="1" customFormat="1" hidden="1"/>
    <row r="125" s="1" customFormat="1" hidden="1"/>
    <row r="126" s="1" customFormat="1" hidden="1"/>
    <row r="127" s="1" customFormat="1" hidden="1"/>
    <row r="128" s="1" customFormat="1" hidden="1"/>
    <row r="129" s="1" customFormat="1" hidden="1"/>
    <row r="130" s="1" customFormat="1" hidden="1"/>
    <row r="131" s="1" customFormat="1" hidden="1"/>
    <row r="132" s="1" customFormat="1" hidden="1"/>
    <row r="133" s="1" customFormat="1" hidden="1"/>
    <row r="134" s="1" customFormat="1" hidden="1"/>
    <row r="135" s="1" customFormat="1" hidden="1"/>
    <row r="136" s="1" customFormat="1" hidden="1"/>
    <row r="137" s="1" customFormat="1" hidden="1"/>
    <row r="138" s="1" customFormat="1" hidden="1"/>
    <row r="139" s="1" customFormat="1" hidden="1"/>
    <row r="140" s="1" customFormat="1" hidden="1"/>
    <row r="141" s="1" customFormat="1" hidden="1"/>
    <row r="142" s="1" customFormat="1" hidden="1"/>
    <row r="143" s="1" customFormat="1" hidden="1"/>
    <row r="144" s="1" customFormat="1" hidden="1"/>
    <row r="145" s="1" customFormat="1" hidden="1"/>
    <row r="146" s="1" customFormat="1" hidden="1"/>
    <row r="147" s="1" customFormat="1" hidden="1"/>
    <row r="148" s="1" customFormat="1" hidden="1"/>
    <row r="149" s="1" customFormat="1" hidden="1"/>
    <row r="150" s="1" customFormat="1" hidden="1"/>
    <row r="151" s="1" customFormat="1" hidden="1"/>
    <row r="152" s="1" customFormat="1" hidden="1"/>
    <row r="153" s="1" customFormat="1" hidden="1"/>
    <row r="154" s="1" customFormat="1" hidden="1"/>
    <row r="155" s="1" customFormat="1" hidden="1"/>
    <row r="156" s="1" customFormat="1" hidden="1"/>
    <row r="157" s="1" customFormat="1" hidden="1"/>
    <row r="158" s="1" customFormat="1" hidden="1"/>
    <row r="159" s="1" customFormat="1" hidden="1"/>
    <row r="160" s="1" customFormat="1" hidden="1"/>
    <row r="161" s="1" customFormat="1" hidden="1"/>
    <row r="162" s="1" customFormat="1" hidden="1"/>
    <row r="163" s="1" customFormat="1" hidden="1"/>
    <row r="164" s="1" customFormat="1" hidden="1"/>
    <row r="165" s="1" customFormat="1" hidden="1"/>
    <row r="166" s="1" customFormat="1" hidden="1"/>
    <row r="167" s="1" customFormat="1" hidden="1"/>
    <row r="168" s="1" customFormat="1" hidden="1"/>
    <row r="169" s="1" customFormat="1" hidden="1"/>
    <row r="170" s="1" customFormat="1" hidden="1"/>
    <row r="171" s="1" customFormat="1" hidden="1"/>
    <row r="172" s="1" customFormat="1" hidden="1"/>
    <row r="173" s="1" customFormat="1" hidden="1"/>
    <row r="174" s="1" customFormat="1" hidden="1"/>
    <row r="175" s="1" customFormat="1" hidden="1"/>
    <row r="176" s="1" customFormat="1" hidden="1"/>
    <row r="177" s="1" customFormat="1" hidden="1"/>
    <row r="178" s="1" customFormat="1" hidden="1"/>
    <row r="179" s="1" customFormat="1" hidden="1"/>
    <row r="180" s="1" customFormat="1" hidden="1"/>
    <row r="181" s="1" customFormat="1" hidden="1"/>
    <row r="182" s="1" customFormat="1" hidden="1"/>
    <row r="183" s="1" customFormat="1" hidden="1"/>
    <row r="184" s="1" customFormat="1" hidden="1"/>
    <row r="185" s="1" customFormat="1" hidden="1"/>
    <row r="186" s="1" customFormat="1" hidden="1"/>
    <row r="187" s="1" customFormat="1" hidden="1"/>
    <row r="188" s="1" customFormat="1" hidden="1"/>
    <row r="189" s="1" customFormat="1" hidden="1"/>
    <row r="190" s="1" customFormat="1" hidden="1"/>
    <row r="191" s="1" customFormat="1" hidden="1"/>
    <row r="192" s="1" customFormat="1" hidden="1"/>
    <row r="193" s="1" customFormat="1" hidden="1"/>
    <row r="194" s="1" customFormat="1" hidden="1"/>
    <row r="195" s="1" customFormat="1" hidden="1"/>
    <row r="196" s="1" customFormat="1" hidden="1"/>
    <row r="197" s="1" customFormat="1" hidden="1"/>
    <row r="198" s="1" customFormat="1" hidden="1"/>
    <row r="199" s="1" customFormat="1" hidden="1"/>
    <row r="200" s="1" customFormat="1" hidden="1"/>
    <row r="201" s="1" customFormat="1" hidden="1"/>
    <row r="202" s="1" customFormat="1" hidden="1"/>
    <row r="203" s="1" customFormat="1" hidden="1"/>
    <row r="204" s="1" customFormat="1" hidden="1"/>
    <row r="205" s="1" customFormat="1" hidden="1"/>
    <row r="206" s="1" customFormat="1" hidden="1"/>
    <row r="207" s="1" customFormat="1" hidden="1"/>
    <row r="208" s="1" customFormat="1" hidden="1"/>
    <row r="209" s="1" customFormat="1" hidden="1"/>
    <row r="210" s="1" customFormat="1" hidden="1"/>
    <row r="211" s="1" customFormat="1" hidden="1"/>
    <row r="212" s="1" customFormat="1" hidden="1"/>
    <row r="213" s="1" customFormat="1" hidden="1"/>
    <row r="214" s="1" customFormat="1" hidden="1"/>
    <row r="215" s="1" customFormat="1" hidden="1"/>
    <row r="216" s="1" customFormat="1" hidden="1"/>
    <row r="217" s="1" customFormat="1" hidden="1"/>
    <row r="218" s="1" customFormat="1" hidden="1"/>
    <row r="219" s="1" customFormat="1" hidden="1"/>
    <row r="220" s="1" customFormat="1" hidden="1"/>
    <row r="221" s="1" customFormat="1" hidden="1"/>
    <row r="222" s="1" customFormat="1" hidden="1"/>
    <row r="223" s="1" customFormat="1" hidden="1"/>
    <row r="224" s="1" customFormat="1" hidden="1"/>
    <row r="225" s="1" customFormat="1" hidden="1"/>
    <row r="226" s="1" customFormat="1" hidden="1"/>
    <row r="227" s="1" customFormat="1" hidden="1"/>
    <row r="228" s="1" customFormat="1" hidden="1"/>
    <row r="229" s="1" customFormat="1" hidden="1"/>
    <row r="230" s="1" customFormat="1" hidden="1"/>
    <row r="231" s="1" customFormat="1" hidden="1"/>
    <row r="232" s="1" customFormat="1" hidden="1"/>
    <row r="233" s="1" customFormat="1" hidden="1"/>
    <row r="234" s="1" customFormat="1" hidden="1"/>
    <row r="235" s="1" customFormat="1" hidden="1"/>
    <row r="236" s="1" customFormat="1" hidden="1"/>
    <row r="237" s="1" customFormat="1" hidden="1"/>
    <row r="238" s="1" customFormat="1" hidden="1"/>
    <row r="239" s="1" customFormat="1" hidden="1"/>
    <row r="240" s="1" customFormat="1" hidden="1"/>
    <row r="241" s="1" customFormat="1" hidden="1"/>
    <row r="242" s="1" customFormat="1" hidden="1"/>
    <row r="243" s="1" customFormat="1" hidden="1"/>
    <row r="244" s="1" customFormat="1" hidden="1"/>
    <row r="245" s="1" customFormat="1" hidden="1"/>
    <row r="246" s="1" customFormat="1" hidden="1"/>
    <row r="247" s="1" customFormat="1" hidden="1"/>
    <row r="248" s="1" customFormat="1" hidden="1"/>
    <row r="249" s="1" customFormat="1" hidden="1"/>
    <row r="250" s="1" customFormat="1" hidden="1"/>
    <row r="251" s="1" customFormat="1" hidden="1"/>
  </sheetData>
  <autoFilter ref="A1:XFC251" xr:uid="{26ED90B4-D125-4701-8D78-C5BA8DE50B51}">
    <filterColumn colId="3">
      <filters>
        <filter val="Date"/>
      </filters>
    </filterColumn>
  </autoFilter>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80586-7CAA-4C23-B37F-57108488F6D1}">
  <sheetPr codeName="Sheet93"/>
  <dimension ref="A1:XFC248"/>
  <sheetViews>
    <sheetView workbookViewId="0">
      <selection activeCell="C22" sqref="C22"/>
    </sheetView>
  </sheetViews>
  <sheetFormatPr defaultColWidth="32.140625" defaultRowHeight="15"/>
  <cols>
    <col min="1" max="1" width="9.42578125" style="1" bestFit="1" customWidth="1"/>
    <col min="2" max="2" width="24" style="1" bestFit="1" customWidth="1"/>
    <col min="3" max="3" width="4.5703125" style="1" bestFit="1" customWidth="1"/>
    <col min="4" max="4" width="9" style="1" bestFit="1" customWidth="1"/>
    <col min="5" max="5" width="24.42578125" style="1" bestFit="1" customWidth="1"/>
    <col min="6" max="6" width="41.5703125" style="1" bestFit="1" customWidth="1"/>
    <col min="7" max="7" width="57.42578125" style="1" customWidth="1"/>
    <col min="8" max="8" width="5.7109375" style="2" bestFit="1" customWidth="1"/>
    <col min="9" max="9" width="5.28515625" style="2" bestFit="1" customWidth="1"/>
    <col min="10" max="16382" width="32.140625" style="2"/>
    <col min="16383" max="16383" width="1.7109375" style="2" customWidth="1"/>
    <col min="16384" max="16384" width="17.7109375" style="1" customWidth="1"/>
  </cols>
  <sheetData>
    <row r="1" spans="1:10" s="1" customFormat="1">
      <c r="A1" s="12" t="s">
        <v>238</v>
      </c>
      <c r="B1" s="12"/>
      <c r="C1" s="12"/>
      <c r="D1" s="12"/>
      <c r="E1" s="12"/>
      <c r="F1" s="12"/>
      <c r="G1" s="12"/>
      <c r="H1" s="12"/>
      <c r="I1" s="12"/>
    </row>
    <row r="2" spans="1:10" s="1" customFormat="1">
      <c r="A2" s="10" t="s">
        <v>350</v>
      </c>
      <c r="B2" s="10" t="s">
        <v>156</v>
      </c>
      <c r="C2" s="10" t="s">
        <v>157</v>
      </c>
      <c r="D2" s="10" t="s">
        <v>239</v>
      </c>
      <c r="E2" s="10" t="s">
        <v>159</v>
      </c>
      <c r="F2" s="10" t="s">
        <v>1684</v>
      </c>
      <c r="G2" s="10" t="s">
        <v>1685</v>
      </c>
      <c r="H2" s="10" t="s">
        <v>5378</v>
      </c>
      <c r="I2" s="10" t="s">
        <v>5366</v>
      </c>
    </row>
    <row r="3" spans="1:10" s="1" customFormat="1">
      <c r="A3" s="11">
        <v>1</v>
      </c>
      <c r="B3" s="11" t="s">
        <v>240</v>
      </c>
      <c r="C3" s="11">
        <v>8</v>
      </c>
      <c r="D3" s="11" t="s">
        <v>160</v>
      </c>
      <c r="E3" s="11" t="s">
        <v>177</v>
      </c>
      <c r="F3" s="11" t="s">
        <v>1686</v>
      </c>
      <c r="G3" s="11" t="s">
        <v>1687</v>
      </c>
      <c r="H3" s="11" t="s">
        <v>5382</v>
      </c>
      <c r="I3" s="11" t="s">
        <v>5386</v>
      </c>
    </row>
    <row r="4" spans="1:10" s="1" customFormat="1" ht="30">
      <c r="A4" s="11">
        <v>2</v>
      </c>
      <c r="B4" s="11" t="s">
        <v>1484</v>
      </c>
      <c r="C4" s="11">
        <v>14</v>
      </c>
      <c r="D4" s="11" t="s">
        <v>1032</v>
      </c>
      <c r="E4" s="11" t="s">
        <v>1033</v>
      </c>
      <c r="F4" s="11" t="s">
        <v>1709</v>
      </c>
      <c r="G4" s="11" t="s">
        <v>2914</v>
      </c>
      <c r="H4" s="11"/>
      <c r="I4" s="11"/>
    </row>
    <row r="5" spans="1:10" s="1" customFormat="1" ht="30">
      <c r="A5" s="11">
        <v>3</v>
      </c>
      <c r="B5" s="11" t="s">
        <v>1436</v>
      </c>
      <c r="C5" s="11">
        <v>19</v>
      </c>
      <c r="D5" s="11" t="s">
        <v>242</v>
      </c>
      <c r="E5" s="11"/>
      <c r="F5" s="11" t="s">
        <v>1762</v>
      </c>
      <c r="G5" s="11" t="s">
        <v>2918</v>
      </c>
      <c r="H5" s="11" t="s">
        <v>5384</v>
      </c>
      <c r="I5" s="11"/>
    </row>
    <row r="6" spans="1:10" s="1" customFormat="1" ht="30">
      <c r="A6" s="11">
        <v>4</v>
      </c>
      <c r="B6" s="11" t="s">
        <v>1486</v>
      </c>
      <c r="C6" s="11">
        <v>14</v>
      </c>
      <c r="D6" s="11" t="s">
        <v>1032</v>
      </c>
      <c r="E6" s="11" t="s">
        <v>1033</v>
      </c>
      <c r="F6" s="11" t="s">
        <v>1709</v>
      </c>
      <c r="G6" s="11" t="s">
        <v>2914</v>
      </c>
      <c r="H6" s="11"/>
      <c r="I6" s="11"/>
    </row>
    <row r="7" spans="1:10" s="1" customFormat="1" ht="150">
      <c r="A7" s="11">
        <v>5</v>
      </c>
      <c r="B7" s="11" t="s">
        <v>1437</v>
      </c>
      <c r="C7" s="11">
        <v>1</v>
      </c>
      <c r="D7" s="11" t="s">
        <v>242</v>
      </c>
      <c r="E7" s="11"/>
      <c r="F7" s="11" t="s">
        <v>1763</v>
      </c>
      <c r="G7" s="11" t="s">
        <v>2919</v>
      </c>
      <c r="H7" s="11"/>
      <c r="I7" s="11"/>
    </row>
    <row r="8" spans="1:10" s="1" customFormat="1" ht="30">
      <c r="A8" s="11">
        <v>6</v>
      </c>
      <c r="B8" s="11" t="s">
        <v>1431</v>
      </c>
      <c r="C8" s="11">
        <v>4</v>
      </c>
      <c r="D8" s="11" t="s">
        <v>242</v>
      </c>
      <c r="E8" s="11"/>
      <c r="F8" s="11" t="s">
        <v>1821</v>
      </c>
      <c r="G8" s="11" t="s">
        <v>2912</v>
      </c>
      <c r="H8" s="11"/>
      <c r="I8" s="11"/>
    </row>
    <row r="9" spans="1:10" s="1" customFormat="1" ht="30">
      <c r="A9" s="11">
        <v>7</v>
      </c>
      <c r="B9" s="11" t="s">
        <v>1430</v>
      </c>
      <c r="C9" s="11">
        <v>10</v>
      </c>
      <c r="D9" s="11" t="s">
        <v>242</v>
      </c>
      <c r="E9" s="11"/>
      <c r="F9" s="11" t="s">
        <v>1822</v>
      </c>
      <c r="G9" s="11" t="s">
        <v>2913</v>
      </c>
      <c r="H9" s="11"/>
      <c r="I9" s="11"/>
    </row>
    <row r="10" spans="1:10" s="1" customFormat="1" ht="135">
      <c r="A10" s="11">
        <v>8</v>
      </c>
      <c r="B10" s="11" t="s">
        <v>37</v>
      </c>
      <c r="C10" s="11">
        <v>1</v>
      </c>
      <c r="D10" s="11" t="s">
        <v>242</v>
      </c>
      <c r="E10" s="11"/>
      <c r="F10" s="11" t="s">
        <v>1764</v>
      </c>
      <c r="G10" s="11" t="s">
        <v>2920</v>
      </c>
      <c r="H10" s="11"/>
      <c r="I10" s="11"/>
    </row>
    <row r="11" spans="1:10" s="1" customFormat="1" ht="75">
      <c r="A11" s="11">
        <v>9</v>
      </c>
      <c r="B11" s="11" t="s">
        <v>1438</v>
      </c>
      <c r="C11" s="11">
        <v>1</v>
      </c>
      <c r="D11" s="11" t="s">
        <v>242</v>
      </c>
      <c r="E11" s="11"/>
      <c r="F11" s="11" t="s">
        <v>1765</v>
      </c>
      <c r="G11" s="11" t="s">
        <v>2921</v>
      </c>
      <c r="H11" s="11"/>
      <c r="I11" s="11"/>
    </row>
    <row r="12" spans="1:10" s="1" customFormat="1" ht="75">
      <c r="A12" s="11">
        <v>10</v>
      </c>
      <c r="B12" s="11" t="s">
        <v>1439</v>
      </c>
      <c r="C12" s="11">
        <v>1</v>
      </c>
      <c r="D12" s="11" t="s">
        <v>242</v>
      </c>
      <c r="E12" s="11"/>
      <c r="F12" s="11" t="s">
        <v>1766</v>
      </c>
      <c r="G12" s="11" t="s">
        <v>2922</v>
      </c>
      <c r="H12" s="11"/>
      <c r="I12" s="11"/>
    </row>
    <row r="13" spans="1:10" s="1" customFormat="1" ht="120">
      <c r="A13" s="11">
        <v>11</v>
      </c>
      <c r="B13" s="11" t="s">
        <v>1440</v>
      </c>
      <c r="C13" s="11">
        <v>1</v>
      </c>
      <c r="D13" s="11" t="s">
        <v>242</v>
      </c>
      <c r="E13" s="11"/>
      <c r="F13" s="11" t="s">
        <v>1767</v>
      </c>
      <c r="G13" s="11" t="s">
        <v>2923</v>
      </c>
      <c r="H13" s="11"/>
      <c r="I13" s="11"/>
    </row>
    <row r="14" spans="1:10" s="1" customFormat="1" ht="90">
      <c r="A14" s="11">
        <v>12</v>
      </c>
      <c r="B14" s="11" t="s">
        <v>618</v>
      </c>
      <c r="C14" s="11">
        <v>1</v>
      </c>
      <c r="D14" s="11" t="s">
        <v>242</v>
      </c>
      <c r="E14" s="11"/>
      <c r="F14" s="11" t="s">
        <v>1768</v>
      </c>
      <c r="G14" s="11" t="s">
        <v>2924</v>
      </c>
      <c r="H14" s="11"/>
      <c r="I14" s="11"/>
      <c r="J14"/>
    </row>
    <row r="15" spans="1:10" s="1" customFormat="1" ht="30">
      <c r="A15" s="11">
        <v>13</v>
      </c>
      <c r="B15" s="11" t="s">
        <v>1428</v>
      </c>
      <c r="C15" s="11">
        <v>14</v>
      </c>
      <c r="D15" s="11" t="s">
        <v>242</v>
      </c>
      <c r="E15" s="11"/>
      <c r="F15" s="11" t="s">
        <v>1769</v>
      </c>
      <c r="G15" s="11" t="s">
        <v>2925</v>
      </c>
      <c r="H15" s="11"/>
      <c r="I15" s="11"/>
      <c r="J15"/>
    </row>
    <row r="16" spans="1:10" s="1" customFormat="1" ht="45">
      <c r="A16" s="11">
        <v>14</v>
      </c>
      <c r="B16" s="11" t="s">
        <v>151</v>
      </c>
      <c r="C16" s="11">
        <v>7</v>
      </c>
      <c r="D16" s="11" t="s">
        <v>158</v>
      </c>
      <c r="E16" s="11"/>
      <c r="F16" s="11" t="s">
        <v>1725</v>
      </c>
      <c r="G16" s="11" t="s">
        <v>1726</v>
      </c>
      <c r="H16" s="11"/>
      <c r="I16" s="11" t="s">
        <v>5387</v>
      </c>
      <c r="J16"/>
    </row>
    <row r="17" spans="1:10" s="1" customFormat="1" ht="90">
      <c r="A17" s="11">
        <v>15</v>
      </c>
      <c r="B17" s="11" t="s">
        <v>1441</v>
      </c>
      <c r="C17" s="11">
        <v>1</v>
      </c>
      <c r="D17" s="11" t="s">
        <v>242</v>
      </c>
      <c r="E17" s="11"/>
      <c r="F17" s="11" t="s">
        <v>1770</v>
      </c>
      <c r="G17" s="11" t="s">
        <v>2926</v>
      </c>
      <c r="H17" s="11"/>
      <c r="I17" s="11"/>
      <c r="J17"/>
    </row>
    <row r="18" spans="1:10" s="1" customFormat="1" ht="30">
      <c r="A18" s="11">
        <v>16</v>
      </c>
      <c r="B18" s="11" t="s">
        <v>1442</v>
      </c>
      <c r="C18" s="11">
        <v>4</v>
      </c>
      <c r="D18" s="11" t="s">
        <v>242</v>
      </c>
      <c r="E18" s="11"/>
      <c r="F18" s="11" t="s">
        <v>1771</v>
      </c>
      <c r="G18" s="11" t="s">
        <v>2927</v>
      </c>
      <c r="H18" s="11"/>
      <c r="I18" s="11"/>
      <c r="J18"/>
    </row>
    <row r="19" spans="1:10" s="1" customFormat="1" ht="30">
      <c r="A19" s="11">
        <v>17</v>
      </c>
      <c r="B19" s="11" t="s">
        <v>1443</v>
      </c>
      <c r="C19" s="11">
        <v>26</v>
      </c>
      <c r="D19" s="11" t="s">
        <v>242</v>
      </c>
      <c r="E19" s="11"/>
      <c r="F19" s="11" t="s">
        <v>1772</v>
      </c>
      <c r="G19" s="11" t="s">
        <v>2928</v>
      </c>
      <c r="H19" s="11"/>
      <c r="I19" s="11"/>
    </row>
    <row r="20" spans="1:10" s="1" customFormat="1" ht="30">
      <c r="A20" s="11">
        <v>18</v>
      </c>
      <c r="B20" s="11" t="s">
        <v>114</v>
      </c>
      <c r="C20" s="11">
        <v>30</v>
      </c>
      <c r="D20" s="11" t="s">
        <v>242</v>
      </c>
      <c r="E20" s="11"/>
      <c r="F20" s="11" t="s">
        <v>1773</v>
      </c>
      <c r="G20" s="11" t="s">
        <v>2929</v>
      </c>
      <c r="H20" s="11"/>
      <c r="I20" s="11"/>
    </row>
    <row r="21" spans="1:10" s="1" customFormat="1">
      <c r="A21" s="11">
        <v>19</v>
      </c>
      <c r="B21" s="11" t="s">
        <v>115</v>
      </c>
      <c r="C21" s="11">
        <v>30</v>
      </c>
      <c r="D21" s="11" t="s">
        <v>242</v>
      </c>
      <c r="E21" s="11"/>
      <c r="F21" s="11" t="s">
        <v>1774</v>
      </c>
      <c r="G21" s="11" t="s">
        <v>2930</v>
      </c>
      <c r="H21" s="11"/>
      <c r="I21" s="11"/>
    </row>
    <row r="22" spans="1:10" s="1" customFormat="1" ht="30">
      <c r="A22" s="11">
        <v>20</v>
      </c>
      <c r="B22" s="11" t="s">
        <v>91</v>
      </c>
      <c r="C22" s="11">
        <v>10</v>
      </c>
      <c r="D22" s="11" t="s">
        <v>242</v>
      </c>
      <c r="E22" s="11"/>
      <c r="F22" s="11" t="s">
        <v>1735</v>
      </c>
      <c r="G22" s="11" t="s">
        <v>2931</v>
      </c>
      <c r="H22" s="11"/>
      <c r="I22" s="11"/>
    </row>
    <row r="23" spans="1:10" s="1" customFormat="1" ht="30">
      <c r="A23" s="11">
        <v>21</v>
      </c>
      <c r="B23" s="11" t="s">
        <v>123</v>
      </c>
      <c r="C23" s="11">
        <v>20</v>
      </c>
      <c r="D23" s="11" t="s">
        <v>242</v>
      </c>
      <c r="E23" s="11"/>
      <c r="F23" s="11" t="s">
        <v>1736</v>
      </c>
      <c r="G23" s="11" t="s">
        <v>2932</v>
      </c>
      <c r="H23" s="11"/>
      <c r="I23" s="11"/>
    </row>
    <row r="24" spans="1:10" s="1" customFormat="1" ht="30">
      <c r="A24" s="11">
        <v>22</v>
      </c>
      <c r="B24" s="11" t="s">
        <v>92</v>
      </c>
      <c r="C24" s="11">
        <v>10</v>
      </c>
      <c r="D24" s="11" t="s">
        <v>242</v>
      </c>
      <c r="E24" s="11"/>
      <c r="F24" s="11" t="s">
        <v>1737</v>
      </c>
      <c r="G24" s="11" t="s">
        <v>2933</v>
      </c>
      <c r="H24" s="11"/>
      <c r="I24" s="11"/>
    </row>
    <row r="25" spans="1:10" s="1" customFormat="1" ht="30">
      <c r="A25" s="11">
        <v>23</v>
      </c>
      <c r="B25" s="11" t="s">
        <v>1444</v>
      </c>
      <c r="C25" s="11">
        <v>8</v>
      </c>
      <c r="D25" s="11" t="s">
        <v>160</v>
      </c>
      <c r="E25" s="11" t="s">
        <v>177</v>
      </c>
      <c r="F25" s="11" t="s">
        <v>1775</v>
      </c>
      <c r="G25" s="11" t="s">
        <v>2934</v>
      </c>
      <c r="H25" s="11"/>
      <c r="I25" s="11"/>
    </row>
    <row r="26" spans="1:10" s="1" customFormat="1" ht="30">
      <c r="A26" s="11">
        <v>24</v>
      </c>
      <c r="B26" s="11" t="s">
        <v>1445</v>
      </c>
      <c r="C26" s="11">
        <v>8</v>
      </c>
      <c r="D26" s="11" t="s">
        <v>160</v>
      </c>
      <c r="E26" s="11" t="s">
        <v>177</v>
      </c>
      <c r="F26" s="11" t="s">
        <v>1776</v>
      </c>
      <c r="G26" s="11" t="s">
        <v>2935</v>
      </c>
      <c r="H26" s="11"/>
      <c r="I26" s="11"/>
    </row>
    <row r="27" spans="1:10" s="1" customFormat="1">
      <c r="A27" s="11">
        <v>25</v>
      </c>
      <c r="B27" s="11" t="s">
        <v>1446</v>
      </c>
      <c r="C27" s="11">
        <v>8</v>
      </c>
      <c r="D27" s="11" t="s">
        <v>160</v>
      </c>
      <c r="E27" s="11" t="s">
        <v>177</v>
      </c>
      <c r="F27" s="11" t="s">
        <v>1777</v>
      </c>
      <c r="G27" s="11" t="s">
        <v>2936</v>
      </c>
      <c r="H27" s="11"/>
      <c r="I27" s="11"/>
    </row>
    <row r="28" spans="1:10" s="1" customFormat="1" ht="30">
      <c r="A28" s="11">
        <v>26</v>
      </c>
      <c r="B28" s="11" t="s">
        <v>1447</v>
      </c>
      <c r="C28" s="11">
        <v>8</v>
      </c>
      <c r="D28" s="11" t="s">
        <v>160</v>
      </c>
      <c r="E28" s="11" t="s">
        <v>177</v>
      </c>
      <c r="F28" s="11" t="s">
        <v>1778</v>
      </c>
      <c r="G28" s="11" t="s">
        <v>2937</v>
      </c>
      <c r="H28" s="11"/>
      <c r="I28" s="11"/>
    </row>
    <row r="29" spans="1:10" s="1" customFormat="1">
      <c r="A29" s="11">
        <v>27</v>
      </c>
      <c r="B29" s="11" t="s">
        <v>1448</v>
      </c>
      <c r="C29" s="11">
        <v>10</v>
      </c>
      <c r="D29" s="11" t="s">
        <v>242</v>
      </c>
      <c r="E29" s="11"/>
      <c r="F29" s="11" t="s">
        <v>1779</v>
      </c>
      <c r="G29" s="11" t="s">
        <v>2938</v>
      </c>
      <c r="H29" s="11"/>
      <c r="I29" s="11"/>
    </row>
    <row r="30" spans="1:10" s="1" customFormat="1" ht="30">
      <c r="A30" s="11">
        <v>28</v>
      </c>
      <c r="B30" s="11" t="s">
        <v>1449</v>
      </c>
      <c r="C30" s="11">
        <v>20</v>
      </c>
      <c r="D30" s="11" t="s">
        <v>242</v>
      </c>
      <c r="E30" s="11"/>
      <c r="F30" s="11" t="s">
        <v>1780</v>
      </c>
      <c r="G30" s="11" t="s">
        <v>2939</v>
      </c>
      <c r="H30" s="11"/>
      <c r="I30" s="11"/>
    </row>
    <row r="31" spans="1:10" s="1" customFormat="1">
      <c r="A31" s="11">
        <v>29</v>
      </c>
      <c r="B31" s="11" t="s">
        <v>1450</v>
      </c>
      <c r="C31" s="11">
        <v>8</v>
      </c>
      <c r="D31" s="11" t="s">
        <v>160</v>
      </c>
      <c r="E31" s="11" t="s">
        <v>177</v>
      </c>
      <c r="F31" s="11" t="s">
        <v>1781</v>
      </c>
      <c r="G31" s="11" t="s">
        <v>2940</v>
      </c>
      <c r="H31" s="11"/>
      <c r="I31" s="11"/>
    </row>
    <row r="32" spans="1:10" s="1" customFormat="1" ht="30">
      <c r="A32" s="11">
        <v>30</v>
      </c>
      <c r="B32" s="11" t="s">
        <v>1451</v>
      </c>
      <c r="C32" s="11">
        <v>10</v>
      </c>
      <c r="D32" s="11" t="s">
        <v>242</v>
      </c>
      <c r="E32" s="11"/>
      <c r="F32" s="11" t="s">
        <v>1782</v>
      </c>
      <c r="G32" s="11" t="s">
        <v>2941</v>
      </c>
      <c r="H32" s="11"/>
      <c r="I32" s="11"/>
    </row>
    <row r="33" spans="1:9" s="1" customFormat="1" ht="30">
      <c r="A33" s="11">
        <v>31</v>
      </c>
      <c r="B33" s="11" t="s">
        <v>133</v>
      </c>
      <c r="C33" s="11">
        <v>2</v>
      </c>
      <c r="D33" s="11" t="s">
        <v>242</v>
      </c>
      <c r="E33" s="11"/>
      <c r="F33" s="11" t="s">
        <v>1783</v>
      </c>
      <c r="G33" s="11" t="s">
        <v>2942</v>
      </c>
      <c r="H33" s="11"/>
      <c r="I33" s="11"/>
    </row>
    <row r="34" spans="1:9" s="1" customFormat="1" ht="30">
      <c r="A34" s="11">
        <v>32</v>
      </c>
      <c r="B34" s="11" t="s">
        <v>44</v>
      </c>
      <c r="C34" s="11">
        <v>15</v>
      </c>
      <c r="D34" s="11" t="s">
        <v>242</v>
      </c>
      <c r="E34" s="11"/>
      <c r="F34" s="11" t="s">
        <v>1697</v>
      </c>
      <c r="G34" s="11" t="s">
        <v>2943</v>
      </c>
      <c r="H34" s="11"/>
      <c r="I34" s="11"/>
    </row>
    <row r="35" spans="1:9" s="1" customFormat="1" ht="75">
      <c r="A35" s="11">
        <v>33</v>
      </c>
      <c r="B35" s="11" t="s">
        <v>18</v>
      </c>
      <c r="C35" s="11">
        <v>1</v>
      </c>
      <c r="D35" s="11" t="s">
        <v>242</v>
      </c>
      <c r="E35" s="11"/>
      <c r="F35" s="11" t="s">
        <v>1784</v>
      </c>
      <c r="G35" s="11" t="s">
        <v>2944</v>
      </c>
      <c r="H35" s="11"/>
      <c r="I35" s="11"/>
    </row>
    <row r="36" spans="1:9" s="1" customFormat="1" ht="30">
      <c r="A36" s="11">
        <v>34</v>
      </c>
      <c r="B36" s="11" t="s">
        <v>1452</v>
      </c>
      <c r="C36" s="11">
        <v>4</v>
      </c>
      <c r="D36" s="11" t="s">
        <v>242</v>
      </c>
      <c r="E36" s="11"/>
      <c r="F36" s="11" t="s">
        <v>1785</v>
      </c>
      <c r="G36" s="11" t="s">
        <v>2945</v>
      </c>
      <c r="H36" s="11"/>
      <c r="I36" s="11"/>
    </row>
    <row r="37" spans="1:9" s="1" customFormat="1" ht="30">
      <c r="A37" s="11">
        <v>35</v>
      </c>
      <c r="B37" s="11" t="s">
        <v>1453</v>
      </c>
      <c r="C37" s="11">
        <v>5</v>
      </c>
      <c r="D37" s="11" t="s">
        <v>242</v>
      </c>
      <c r="E37" s="11"/>
      <c r="F37" s="11" t="s">
        <v>1786</v>
      </c>
      <c r="G37" s="11" t="s">
        <v>2946</v>
      </c>
      <c r="H37" s="11"/>
      <c r="I37" s="11"/>
    </row>
    <row r="38" spans="1:9" s="1" customFormat="1" ht="30">
      <c r="A38" s="11">
        <v>36</v>
      </c>
      <c r="B38" s="11" t="s">
        <v>1454</v>
      </c>
      <c r="C38" s="11">
        <v>3</v>
      </c>
      <c r="D38" s="11" t="s">
        <v>242</v>
      </c>
      <c r="E38" s="11"/>
      <c r="F38" s="11" t="s">
        <v>1787</v>
      </c>
      <c r="G38" s="11" t="s">
        <v>2947</v>
      </c>
      <c r="H38" s="11"/>
      <c r="I38" s="11"/>
    </row>
    <row r="39" spans="1:9" s="1" customFormat="1" ht="30">
      <c r="A39" s="11">
        <v>37</v>
      </c>
      <c r="B39" s="11" t="s">
        <v>1455</v>
      </c>
      <c r="C39" s="11">
        <v>4</v>
      </c>
      <c r="D39" s="11" t="s">
        <v>242</v>
      </c>
      <c r="E39" s="11"/>
      <c r="F39" s="11" t="s">
        <v>1788</v>
      </c>
      <c r="G39" s="11" t="s">
        <v>2948</v>
      </c>
      <c r="H39" s="11"/>
      <c r="I39" s="11"/>
    </row>
    <row r="40" spans="1:9" s="1" customFormat="1" ht="195">
      <c r="A40" s="11">
        <v>38</v>
      </c>
      <c r="B40" s="11" t="s">
        <v>1456</v>
      </c>
      <c r="C40" s="11">
        <v>1</v>
      </c>
      <c r="D40" s="11" t="s">
        <v>242</v>
      </c>
      <c r="E40" s="11"/>
      <c r="F40" s="11" t="s">
        <v>1789</v>
      </c>
      <c r="G40" s="11" t="s">
        <v>2949</v>
      </c>
      <c r="H40" s="11"/>
      <c r="I40" s="11"/>
    </row>
    <row r="41" spans="1:9" s="1" customFormat="1" ht="150">
      <c r="A41" s="11">
        <v>39</v>
      </c>
      <c r="B41" s="11" t="s">
        <v>1457</v>
      </c>
      <c r="C41" s="11">
        <v>1</v>
      </c>
      <c r="D41" s="11" t="s">
        <v>242</v>
      </c>
      <c r="E41" s="11"/>
      <c r="F41" s="11" t="s">
        <v>1790</v>
      </c>
      <c r="G41" s="11" t="s">
        <v>2950</v>
      </c>
      <c r="H41" s="11"/>
      <c r="I41" s="11"/>
    </row>
    <row r="42" spans="1:9" s="1" customFormat="1" ht="30">
      <c r="A42" s="11">
        <v>40</v>
      </c>
      <c r="B42" s="11" t="s">
        <v>1458</v>
      </c>
      <c r="C42" s="11">
        <v>8</v>
      </c>
      <c r="D42" s="11" t="s">
        <v>160</v>
      </c>
      <c r="E42" s="11" t="s">
        <v>177</v>
      </c>
      <c r="F42" s="11" t="s">
        <v>1791</v>
      </c>
      <c r="G42" s="11" t="s">
        <v>2951</v>
      </c>
      <c r="H42" s="11"/>
      <c r="I42" s="11"/>
    </row>
    <row r="43" spans="1:9" s="1" customFormat="1" ht="30">
      <c r="A43" s="11">
        <v>41</v>
      </c>
      <c r="B43" s="11" t="s">
        <v>1459</v>
      </c>
      <c r="C43" s="11">
        <v>10</v>
      </c>
      <c r="D43" s="11" t="s">
        <v>242</v>
      </c>
      <c r="E43" s="11"/>
      <c r="F43" s="11" t="s">
        <v>1792</v>
      </c>
      <c r="G43" s="11" t="s">
        <v>2952</v>
      </c>
      <c r="H43" s="11"/>
      <c r="I43" s="11"/>
    </row>
    <row r="44" spans="1:9" s="1" customFormat="1" ht="30">
      <c r="A44" s="11">
        <v>42</v>
      </c>
      <c r="B44" s="11" t="s">
        <v>1460</v>
      </c>
      <c r="C44" s="11">
        <v>8</v>
      </c>
      <c r="D44" s="11" t="s">
        <v>160</v>
      </c>
      <c r="E44" s="11" t="s">
        <v>177</v>
      </c>
      <c r="F44" s="11" t="s">
        <v>1793</v>
      </c>
      <c r="G44" s="11" t="s">
        <v>2953</v>
      </c>
      <c r="H44" s="11"/>
      <c r="I44" s="11"/>
    </row>
    <row r="45" spans="1:9" s="1" customFormat="1" ht="30">
      <c r="A45" s="11">
        <v>43</v>
      </c>
      <c r="B45" s="11" t="s">
        <v>1461</v>
      </c>
      <c r="C45" s="11">
        <v>10</v>
      </c>
      <c r="D45" s="11" t="s">
        <v>242</v>
      </c>
      <c r="E45" s="11"/>
      <c r="F45" s="11" t="s">
        <v>1794</v>
      </c>
      <c r="G45" s="11" t="s">
        <v>2954</v>
      </c>
      <c r="H45" s="11"/>
      <c r="I45" s="11"/>
    </row>
    <row r="46" spans="1:9" s="1" customFormat="1" ht="30">
      <c r="A46" s="11">
        <v>44</v>
      </c>
      <c r="B46" s="11" t="s">
        <v>1462</v>
      </c>
      <c r="C46" s="11">
        <v>8</v>
      </c>
      <c r="D46" s="11" t="s">
        <v>160</v>
      </c>
      <c r="E46" s="11" t="s">
        <v>177</v>
      </c>
      <c r="F46" s="11" t="s">
        <v>1795</v>
      </c>
      <c r="G46" s="11" t="s">
        <v>2955</v>
      </c>
      <c r="H46" s="11"/>
      <c r="I46" s="11"/>
    </row>
    <row r="47" spans="1:9" s="1" customFormat="1" ht="30">
      <c r="A47" s="11">
        <v>45</v>
      </c>
      <c r="B47" s="11" t="s">
        <v>1463</v>
      </c>
      <c r="C47" s="11">
        <v>10</v>
      </c>
      <c r="D47" s="11" t="s">
        <v>242</v>
      </c>
      <c r="E47" s="11"/>
      <c r="F47" s="11" t="s">
        <v>1796</v>
      </c>
      <c r="G47" s="11" t="s">
        <v>2956</v>
      </c>
      <c r="H47" s="11"/>
      <c r="I47" s="11"/>
    </row>
    <row r="48" spans="1:9" s="1" customFormat="1" ht="30">
      <c r="A48" s="11">
        <v>46</v>
      </c>
      <c r="B48" s="11" t="s">
        <v>1464</v>
      </c>
      <c r="C48" s="11">
        <v>8</v>
      </c>
      <c r="D48" s="11" t="s">
        <v>160</v>
      </c>
      <c r="E48" s="11" t="s">
        <v>177</v>
      </c>
      <c r="F48" s="11" t="s">
        <v>1797</v>
      </c>
      <c r="G48" s="11" t="s">
        <v>2957</v>
      </c>
      <c r="H48" s="11"/>
      <c r="I48" s="11"/>
    </row>
    <row r="49" spans="1:9" s="1" customFormat="1" ht="30">
      <c r="A49" s="11">
        <v>47</v>
      </c>
      <c r="B49" s="11" t="s">
        <v>1465</v>
      </c>
      <c r="C49" s="11">
        <v>10</v>
      </c>
      <c r="D49" s="11" t="s">
        <v>242</v>
      </c>
      <c r="E49" s="11"/>
      <c r="F49" s="11" t="s">
        <v>1798</v>
      </c>
      <c r="G49" s="11" t="s">
        <v>2958</v>
      </c>
      <c r="H49" s="11"/>
      <c r="I49" s="11"/>
    </row>
    <row r="50" spans="1:9" s="1" customFormat="1" ht="30">
      <c r="A50" s="11">
        <v>48</v>
      </c>
      <c r="B50" s="11" t="s">
        <v>1466</v>
      </c>
      <c r="C50" s="11">
        <v>8</v>
      </c>
      <c r="D50" s="11" t="s">
        <v>160</v>
      </c>
      <c r="E50" s="11" t="s">
        <v>177</v>
      </c>
      <c r="F50" s="11" t="s">
        <v>1799</v>
      </c>
      <c r="G50" s="11" t="s">
        <v>2959</v>
      </c>
      <c r="H50" s="11"/>
      <c r="I50" s="11"/>
    </row>
    <row r="51" spans="1:9" s="1" customFormat="1" ht="30">
      <c r="A51" s="11">
        <v>49</v>
      </c>
      <c r="B51" s="11" t="s">
        <v>1467</v>
      </c>
      <c r="C51" s="11">
        <v>10</v>
      </c>
      <c r="D51" s="11" t="s">
        <v>242</v>
      </c>
      <c r="E51" s="11"/>
      <c r="F51" s="11" t="s">
        <v>1800</v>
      </c>
      <c r="G51" s="11" t="s">
        <v>2960</v>
      </c>
      <c r="H51" s="11"/>
      <c r="I51" s="11"/>
    </row>
    <row r="52" spans="1:9" s="1" customFormat="1" ht="30">
      <c r="A52" s="11">
        <v>50</v>
      </c>
      <c r="B52" s="11" t="s">
        <v>1468</v>
      </c>
      <c r="C52" s="11">
        <v>8</v>
      </c>
      <c r="D52" s="11" t="s">
        <v>160</v>
      </c>
      <c r="E52" s="11" t="s">
        <v>177</v>
      </c>
      <c r="F52" s="11" t="s">
        <v>1801</v>
      </c>
      <c r="G52" s="11" t="s">
        <v>2961</v>
      </c>
      <c r="H52" s="11"/>
      <c r="I52" s="11"/>
    </row>
    <row r="53" spans="1:9" s="1" customFormat="1" ht="30">
      <c r="A53" s="11">
        <v>51</v>
      </c>
      <c r="B53" s="11" t="s">
        <v>1469</v>
      </c>
      <c r="C53" s="11">
        <v>10</v>
      </c>
      <c r="D53" s="11" t="s">
        <v>242</v>
      </c>
      <c r="E53" s="11"/>
      <c r="F53" s="11" t="s">
        <v>1802</v>
      </c>
      <c r="G53" s="11" t="s">
        <v>2962</v>
      </c>
      <c r="H53" s="11"/>
      <c r="I53" s="11"/>
    </row>
    <row r="54" spans="1:9" s="1" customFormat="1" ht="30">
      <c r="A54" s="11">
        <v>52</v>
      </c>
      <c r="B54" s="11" t="s">
        <v>1487</v>
      </c>
      <c r="C54" s="11">
        <v>6</v>
      </c>
      <c r="D54" s="11" t="s">
        <v>242</v>
      </c>
      <c r="E54" s="11"/>
      <c r="F54" s="11" t="s">
        <v>1823</v>
      </c>
      <c r="G54" s="11" t="s">
        <v>2981</v>
      </c>
      <c r="H54" s="11"/>
      <c r="I54" s="11"/>
    </row>
    <row r="55" spans="1:9" s="1" customFormat="1" ht="30">
      <c r="A55" s="11">
        <v>53</v>
      </c>
      <c r="B55" s="11" t="s">
        <v>1488</v>
      </c>
      <c r="C55" s="11">
        <v>6</v>
      </c>
      <c r="D55" s="11" t="s">
        <v>242</v>
      </c>
      <c r="E55" s="11"/>
      <c r="F55" s="11" t="s">
        <v>1824</v>
      </c>
      <c r="G55" s="11" t="s">
        <v>2982</v>
      </c>
      <c r="H55" s="11"/>
      <c r="I55" s="11"/>
    </row>
    <row r="56" spans="1:9" s="1" customFormat="1" ht="30">
      <c r="A56" s="11">
        <v>54</v>
      </c>
      <c r="B56" s="11" t="s">
        <v>1489</v>
      </c>
      <c r="C56" s="11">
        <v>1</v>
      </c>
      <c r="D56" s="11" t="s">
        <v>242</v>
      </c>
      <c r="E56" s="11"/>
      <c r="F56" s="11" t="s">
        <v>1825</v>
      </c>
      <c r="G56" s="11" t="s">
        <v>2983</v>
      </c>
      <c r="H56" s="11"/>
      <c r="I56" s="11"/>
    </row>
    <row r="57" spans="1:9" s="1" customFormat="1" ht="90">
      <c r="A57" s="11">
        <v>55</v>
      </c>
      <c r="B57" s="11" t="s">
        <v>1490</v>
      </c>
      <c r="C57" s="11">
        <v>1</v>
      </c>
      <c r="D57" s="11" t="s">
        <v>242</v>
      </c>
      <c r="E57" s="11"/>
      <c r="F57" s="11" t="s">
        <v>1826</v>
      </c>
      <c r="G57" s="11" t="s">
        <v>2984</v>
      </c>
      <c r="H57" s="11"/>
      <c r="I57" s="11"/>
    </row>
    <row r="58" spans="1:9" s="1" customFormat="1" ht="30">
      <c r="A58" s="11">
        <v>56</v>
      </c>
      <c r="B58" s="11" t="s">
        <v>1482</v>
      </c>
      <c r="C58" s="11">
        <v>19</v>
      </c>
      <c r="D58" s="11" t="s">
        <v>242</v>
      </c>
      <c r="E58" s="11"/>
      <c r="F58" s="11" t="s">
        <v>1816</v>
      </c>
      <c r="G58" s="11" t="s">
        <v>2985</v>
      </c>
      <c r="H58" s="11"/>
      <c r="I58" s="11"/>
    </row>
    <row r="59" spans="1:9" s="1" customFormat="1" ht="60">
      <c r="A59" s="11">
        <v>57</v>
      </c>
      <c r="B59" s="11" t="s">
        <v>1470</v>
      </c>
      <c r="C59" s="11">
        <v>1</v>
      </c>
      <c r="D59" s="11" t="s">
        <v>242</v>
      </c>
      <c r="E59" s="11"/>
      <c r="F59" s="11" t="s">
        <v>1804</v>
      </c>
      <c r="G59" s="11" t="s">
        <v>2964</v>
      </c>
      <c r="H59" s="11"/>
      <c r="I59" s="11"/>
    </row>
    <row r="60" spans="1:9" s="1" customFormat="1" ht="60">
      <c r="A60" s="11">
        <v>58</v>
      </c>
      <c r="B60" s="11" t="s">
        <v>1471</v>
      </c>
      <c r="C60" s="11">
        <v>1</v>
      </c>
      <c r="D60" s="11" t="s">
        <v>242</v>
      </c>
      <c r="E60" s="11"/>
      <c r="F60" s="11" t="s">
        <v>1805</v>
      </c>
      <c r="G60" s="11" t="s">
        <v>2965</v>
      </c>
      <c r="H60" s="11"/>
      <c r="I60" s="11"/>
    </row>
    <row r="61" spans="1:9" s="1" customFormat="1" ht="30">
      <c r="A61" s="11">
        <v>59</v>
      </c>
      <c r="B61" s="11" t="s">
        <v>1491</v>
      </c>
      <c r="C61" s="11">
        <v>2</v>
      </c>
      <c r="D61" s="11" t="s">
        <v>242</v>
      </c>
      <c r="E61" s="11"/>
      <c r="F61" s="11" t="s">
        <v>1827</v>
      </c>
      <c r="G61" s="11" t="s">
        <v>2986</v>
      </c>
      <c r="H61" s="11"/>
      <c r="I61" s="11"/>
    </row>
    <row r="62" spans="1:9" s="1" customFormat="1" ht="30">
      <c r="A62" s="11">
        <v>60</v>
      </c>
      <c r="B62" s="11" t="s">
        <v>1492</v>
      </c>
      <c r="C62" s="11">
        <v>1</v>
      </c>
      <c r="D62" s="11" t="s">
        <v>242</v>
      </c>
      <c r="E62" s="11"/>
      <c r="F62" s="11" t="s">
        <v>1828</v>
      </c>
      <c r="G62" s="11" t="s">
        <v>2987</v>
      </c>
      <c r="H62" s="11"/>
      <c r="I62" s="11"/>
    </row>
    <row r="63" spans="1:9" s="1" customFormat="1" ht="90">
      <c r="A63" s="11">
        <v>61</v>
      </c>
      <c r="B63" s="11" t="s">
        <v>1480</v>
      </c>
      <c r="C63" s="11">
        <v>1</v>
      </c>
      <c r="D63" s="11" t="s">
        <v>242</v>
      </c>
      <c r="E63" s="11"/>
      <c r="F63" s="11" t="s">
        <v>1814</v>
      </c>
      <c r="G63" s="11" t="s">
        <v>2988</v>
      </c>
      <c r="H63" s="11"/>
      <c r="I63" s="11"/>
    </row>
    <row r="64" spans="1:9" s="1" customFormat="1" ht="30">
      <c r="A64" s="11">
        <v>62</v>
      </c>
      <c r="B64" s="11" t="s">
        <v>1493</v>
      </c>
      <c r="C64" s="11">
        <v>4</v>
      </c>
      <c r="D64" s="11" t="s">
        <v>242</v>
      </c>
      <c r="E64" s="11"/>
      <c r="F64" s="11" t="s">
        <v>1829</v>
      </c>
      <c r="G64" s="11" t="s">
        <v>2989</v>
      </c>
      <c r="H64" s="11"/>
      <c r="I64" s="11"/>
    </row>
    <row r="65" spans="1:9" s="1" customFormat="1" ht="30">
      <c r="A65" s="11">
        <v>63</v>
      </c>
      <c r="B65" s="11" t="s">
        <v>1494</v>
      </c>
      <c r="C65" s="11">
        <v>4</v>
      </c>
      <c r="D65" s="11" t="s">
        <v>242</v>
      </c>
      <c r="E65" s="11"/>
      <c r="F65" s="11" t="s">
        <v>1830</v>
      </c>
      <c r="G65" s="11" t="s">
        <v>2990</v>
      </c>
      <c r="H65" s="11"/>
      <c r="I65" s="11"/>
    </row>
    <row r="66" spans="1:9" s="1" customFormat="1" ht="30">
      <c r="A66" s="11">
        <v>64</v>
      </c>
      <c r="B66" s="11" t="s">
        <v>1495</v>
      </c>
      <c r="C66" s="11">
        <v>1</v>
      </c>
      <c r="D66" s="11" t="s">
        <v>242</v>
      </c>
      <c r="E66" s="11"/>
      <c r="F66" s="11" t="s">
        <v>1831</v>
      </c>
      <c r="G66" s="11" t="s">
        <v>2991</v>
      </c>
      <c r="H66" s="11"/>
      <c r="I66" s="11"/>
    </row>
    <row r="67" spans="1:9" s="1" customFormat="1" ht="30">
      <c r="A67" s="11">
        <v>65</v>
      </c>
      <c r="B67" s="11" t="s">
        <v>1496</v>
      </c>
      <c r="C67" s="11">
        <v>3</v>
      </c>
      <c r="D67" s="11" t="s">
        <v>242</v>
      </c>
      <c r="E67" s="11"/>
      <c r="F67" s="11" t="s">
        <v>1832</v>
      </c>
      <c r="G67" s="11" t="s">
        <v>2992</v>
      </c>
      <c r="H67" s="11"/>
      <c r="I67" s="11"/>
    </row>
    <row r="68" spans="1:9" s="1" customFormat="1" ht="30">
      <c r="A68" s="11">
        <v>66</v>
      </c>
      <c r="B68" s="11" t="s">
        <v>105</v>
      </c>
      <c r="C68" s="11">
        <v>10</v>
      </c>
      <c r="D68" s="11" t="s">
        <v>242</v>
      </c>
      <c r="E68" s="11"/>
      <c r="F68" s="11" t="s">
        <v>1716</v>
      </c>
      <c r="G68" s="11" t="s">
        <v>2993</v>
      </c>
      <c r="H68" s="11"/>
      <c r="I68" s="11"/>
    </row>
    <row r="69" spans="1:9" s="1" customFormat="1" ht="30">
      <c r="A69" s="11">
        <v>67</v>
      </c>
      <c r="B69" s="11" t="s">
        <v>163</v>
      </c>
      <c r="C69" s="11">
        <v>14</v>
      </c>
      <c r="D69" s="11" t="s">
        <v>1032</v>
      </c>
      <c r="E69" s="11" t="s">
        <v>1033</v>
      </c>
      <c r="F69" s="11" t="s">
        <v>1717</v>
      </c>
      <c r="G69" s="11" t="s">
        <v>2994</v>
      </c>
      <c r="H69" s="11"/>
      <c r="I69" s="11"/>
    </row>
    <row r="70" spans="1:9" s="1" customFormat="1" ht="75">
      <c r="A70" s="11">
        <v>68</v>
      </c>
      <c r="B70" s="11" t="s">
        <v>1481</v>
      </c>
      <c r="C70" s="11">
        <v>1</v>
      </c>
      <c r="D70" s="11" t="s">
        <v>242</v>
      </c>
      <c r="E70" s="11"/>
      <c r="F70" s="11" t="s">
        <v>1815</v>
      </c>
      <c r="G70" s="11" t="s">
        <v>2995</v>
      </c>
      <c r="H70" s="11"/>
      <c r="I70" s="11"/>
    </row>
    <row r="71" spans="1:9" s="1" customFormat="1" ht="30">
      <c r="A71" s="11">
        <v>69</v>
      </c>
      <c r="B71" s="11" t="s">
        <v>1497</v>
      </c>
      <c r="C71" s="11">
        <v>8</v>
      </c>
      <c r="D71" s="11" t="s">
        <v>160</v>
      </c>
      <c r="E71" s="11" t="s">
        <v>177</v>
      </c>
      <c r="F71" s="11" t="s">
        <v>1833</v>
      </c>
      <c r="G71" s="11" t="s">
        <v>2996</v>
      </c>
      <c r="H71" s="11"/>
      <c r="I71" s="11"/>
    </row>
    <row r="72" spans="1:9" s="1" customFormat="1" ht="30">
      <c r="A72" s="11">
        <v>70</v>
      </c>
      <c r="B72" s="11" t="s">
        <v>1498</v>
      </c>
      <c r="C72" s="11">
        <v>8</v>
      </c>
      <c r="D72" s="11" t="s">
        <v>160</v>
      </c>
      <c r="E72" s="11" t="s">
        <v>177</v>
      </c>
      <c r="F72" s="11" t="s">
        <v>1834</v>
      </c>
      <c r="G72" s="11" t="s">
        <v>2997</v>
      </c>
      <c r="H72" s="11"/>
      <c r="I72" s="11"/>
    </row>
    <row r="73" spans="1:9" s="1" customFormat="1" ht="30">
      <c r="A73" s="11">
        <v>71</v>
      </c>
      <c r="B73" s="11" t="s">
        <v>1499</v>
      </c>
      <c r="C73" s="11">
        <v>1</v>
      </c>
      <c r="D73" s="11" t="s">
        <v>242</v>
      </c>
      <c r="E73" s="11"/>
      <c r="F73" s="11" t="s">
        <v>1835</v>
      </c>
      <c r="G73" s="11" t="s">
        <v>2998</v>
      </c>
      <c r="H73" s="11"/>
      <c r="I73" s="11"/>
    </row>
    <row r="74" spans="1:9" s="1" customFormat="1" ht="30">
      <c r="A74" s="11">
        <v>72</v>
      </c>
      <c r="B74" s="11" t="s">
        <v>1500</v>
      </c>
      <c r="C74" s="11">
        <v>4</v>
      </c>
      <c r="D74" s="11" t="s">
        <v>242</v>
      </c>
      <c r="E74" s="11"/>
      <c r="F74" s="11" t="s">
        <v>1836</v>
      </c>
      <c r="G74" s="11" t="s">
        <v>2999</v>
      </c>
      <c r="H74" s="11"/>
      <c r="I74" s="11"/>
    </row>
    <row r="75" spans="1:9" s="1" customFormat="1" ht="30">
      <c r="A75" s="11">
        <v>73</v>
      </c>
      <c r="B75" s="11" t="s">
        <v>1501</v>
      </c>
      <c r="C75" s="11">
        <v>30</v>
      </c>
      <c r="D75" s="11" t="s">
        <v>242</v>
      </c>
      <c r="E75" s="11"/>
      <c r="F75" s="11" t="s">
        <v>1837</v>
      </c>
      <c r="G75" s="11" t="s">
        <v>3000</v>
      </c>
      <c r="H75" s="11"/>
      <c r="I75" s="11"/>
    </row>
    <row r="76" spans="1:9" s="1" customFormat="1" ht="30">
      <c r="A76" s="11">
        <v>74</v>
      </c>
      <c r="B76" s="11" t="s">
        <v>1502</v>
      </c>
      <c r="C76" s="11">
        <v>15</v>
      </c>
      <c r="D76" s="11" t="s">
        <v>242</v>
      </c>
      <c r="E76" s="11"/>
      <c r="F76" s="11" t="s">
        <v>1838</v>
      </c>
      <c r="G76" s="11" t="s">
        <v>3001</v>
      </c>
      <c r="H76" s="11"/>
      <c r="I76" s="11"/>
    </row>
    <row r="77" spans="1:9" s="1" customFormat="1" ht="30">
      <c r="A77" s="11">
        <v>75</v>
      </c>
      <c r="B77" s="11" t="s">
        <v>1483</v>
      </c>
      <c r="C77" s="11">
        <v>4</v>
      </c>
      <c r="D77" s="11" t="s">
        <v>242</v>
      </c>
      <c r="E77" s="11"/>
      <c r="F77" s="11" t="s">
        <v>1817</v>
      </c>
      <c r="G77" s="11" t="s">
        <v>3002</v>
      </c>
      <c r="H77" s="11"/>
      <c r="I77" s="11"/>
    </row>
    <row r="78" spans="1:9" s="1" customFormat="1">
      <c r="A78" s="11">
        <v>76</v>
      </c>
      <c r="B78" s="11" t="s">
        <v>5684</v>
      </c>
      <c r="C78" s="11">
        <v>16</v>
      </c>
      <c r="D78" s="11" t="s">
        <v>242</v>
      </c>
      <c r="E78" s="11"/>
      <c r="F78" s="11" t="s">
        <v>5686</v>
      </c>
      <c r="G78" s="11" t="s">
        <v>5687</v>
      </c>
      <c r="H78" s="11"/>
      <c r="I78" s="11"/>
    </row>
    <row r="79" spans="1:9" s="1" customFormat="1" ht="30">
      <c r="A79" s="11">
        <v>77</v>
      </c>
      <c r="B79" s="11" t="s">
        <v>1485</v>
      </c>
      <c r="C79" s="11">
        <v>19</v>
      </c>
      <c r="D79" s="11" t="s">
        <v>242</v>
      </c>
      <c r="E79" s="11"/>
      <c r="F79" s="11" t="s">
        <v>1819</v>
      </c>
      <c r="G79" s="11" t="s">
        <v>2980</v>
      </c>
      <c r="H79" s="11"/>
      <c r="I79" s="11"/>
    </row>
    <row r="80" spans="1:9" s="1" customFormat="1" ht="30">
      <c r="A80" s="11">
        <v>78</v>
      </c>
      <c r="B80" s="11" t="s">
        <v>5685</v>
      </c>
      <c r="C80" s="11">
        <v>8</v>
      </c>
      <c r="D80" s="11" t="s">
        <v>242</v>
      </c>
      <c r="E80" s="11"/>
      <c r="F80" s="11" t="s">
        <v>1819</v>
      </c>
      <c r="G80" s="11" t="s">
        <v>5688</v>
      </c>
      <c r="H80" s="11"/>
      <c r="I80" s="11"/>
    </row>
    <row r="81" spans="1:9" s="1" customFormat="1" ht="45">
      <c r="A81" s="11">
        <v>79</v>
      </c>
      <c r="B81" s="11" t="s">
        <v>5689</v>
      </c>
      <c r="C81" s="11">
        <v>10</v>
      </c>
      <c r="D81" s="11" t="s">
        <v>242</v>
      </c>
      <c r="E81" s="11"/>
      <c r="F81" s="11" t="s">
        <v>5692</v>
      </c>
      <c r="G81" s="11" t="s">
        <v>5690</v>
      </c>
      <c r="H81" s="11"/>
      <c r="I81" s="11"/>
    </row>
    <row r="82" spans="1:9" s="1" customFormat="1">
      <c r="A82" s="11">
        <v>80</v>
      </c>
      <c r="B82" s="11" t="s">
        <v>5691</v>
      </c>
      <c r="C82" s="11">
        <v>3</v>
      </c>
      <c r="D82" s="11" t="s">
        <v>242</v>
      </c>
      <c r="E82" s="11"/>
      <c r="F82" s="11" t="s">
        <v>5693</v>
      </c>
      <c r="G82" s="11" t="s">
        <v>5694</v>
      </c>
      <c r="H82" s="11"/>
      <c r="I82" s="11"/>
    </row>
    <row r="83" spans="1:9" s="1" customFormat="1">
      <c r="A83" s="11">
        <v>81</v>
      </c>
      <c r="B83" s="11" t="s">
        <v>1182</v>
      </c>
      <c r="C83" s="11">
        <v>12</v>
      </c>
      <c r="D83" s="11" t="s">
        <v>189</v>
      </c>
      <c r="E83" s="11" t="s">
        <v>5576</v>
      </c>
      <c r="F83" s="11" t="s">
        <v>1688</v>
      </c>
      <c r="G83" s="11" t="s">
        <v>1689</v>
      </c>
      <c r="H83" s="11"/>
      <c r="I83" s="11"/>
    </row>
    <row r="84" spans="1:9" s="1" customFormat="1" ht="30">
      <c r="A84" s="11">
        <v>82</v>
      </c>
      <c r="B84" s="11" t="s">
        <v>1183</v>
      </c>
      <c r="C84" s="11">
        <v>30</v>
      </c>
      <c r="D84" s="11" t="s">
        <v>242</v>
      </c>
      <c r="E84" s="11" t="s">
        <v>5576</v>
      </c>
      <c r="F84" s="11" t="s">
        <v>1690</v>
      </c>
      <c r="G84" s="11" t="s">
        <v>1691</v>
      </c>
      <c r="H84" s="11"/>
      <c r="I84" s="11"/>
    </row>
    <row r="85" spans="1:9" s="1" customFormat="1"/>
    <row r="86" spans="1:9" s="1" customFormat="1"/>
    <row r="87" spans="1:9" s="1" customFormat="1"/>
    <row r="88" spans="1:9" s="1" customFormat="1"/>
    <row r="89" spans="1:9" s="1" customFormat="1"/>
    <row r="90" spans="1:9" s="1" customFormat="1"/>
    <row r="91" spans="1:9" s="1" customFormat="1"/>
    <row r="92" spans="1:9" s="1" customFormat="1"/>
    <row r="93" spans="1:9" s="1" customFormat="1"/>
    <row r="94" spans="1:9" s="1" customFormat="1"/>
    <row r="95" spans="1:9" s="1" customFormat="1"/>
    <row r="96" spans="1:9"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sheetData>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4B67F-1099-4BAA-ABBA-D2B1395D8081}">
  <sheetPr codeName="Sheet94"/>
  <dimension ref="A1:XFB250"/>
  <sheetViews>
    <sheetView workbookViewId="0">
      <selection activeCell="C22" sqref="C22"/>
    </sheetView>
  </sheetViews>
  <sheetFormatPr defaultColWidth="32.140625" defaultRowHeight="15"/>
  <cols>
    <col min="1" max="1" width="7.140625" style="1" bestFit="1" customWidth="1"/>
    <col min="2" max="2" width="19.42578125" style="1" bestFit="1" customWidth="1"/>
    <col min="3" max="3" width="4.5703125" style="1" bestFit="1" customWidth="1"/>
    <col min="4" max="4" width="9" style="1" bestFit="1" customWidth="1"/>
    <col min="5" max="5" width="24.42578125" style="1" bestFit="1" customWidth="1"/>
    <col min="6" max="6" width="31.140625" style="1" bestFit="1" customWidth="1"/>
    <col min="7" max="7" width="57.28515625" style="1" bestFit="1" customWidth="1"/>
    <col min="8" max="9" width="5.7109375" style="2" bestFit="1" customWidth="1"/>
    <col min="10" max="16381" width="32.140625" style="2"/>
    <col min="16382" max="16382" width="1.7109375" style="2" customWidth="1"/>
    <col min="16383" max="16384" width="17.7109375" style="1" customWidth="1"/>
  </cols>
  <sheetData>
    <row r="1" spans="1:9" s="1" customFormat="1">
      <c r="A1" s="12" t="s">
        <v>238</v>
      </c>
      <c r="B1" s="12"/>
      <c r="C1" s="12"/>
      <c r="D1" s="12"/>
      <c r="E1" s="12"/>
      <c r="F1" s="12"/>
      <c r="G1" s="12"/>
      <c r="H1" s="12"/>
      <c r="I1" s="12"/>
    </row>
    <row r="2" spans="1:9" s="1" customFormat="1">
      <c r="A2" s="10" t="s">
        <v>350</v>
      </c>
      <c r="B2" s="10" t="s">
        <v>156</v>
      </c>
      <c r="C2" s="10" t="s">
        <v>157</v>
      </c>
      <c r="D2" s="10" t="s">
        <v>239</v>
      </c>
      <c r="E2" s="10" t="s">
        <v>159</v>
      </c>
      <c r="F2" s="10" t="s">
        <v>1684</v>
      </c>
      <c r="G2" s="10" t="s">
        <v>1685</v>
      </c>
      <c r="H2" s="10" t="s">
        <v>5378</v>
      </c>
      <c r="I2" s="10" t="s">
        <v>5379</v>
      </c>
    </row>
    <row r="3" spans="1:9" s="1" customFormat="1">
      <c r="A3" s="11">
        <v>1</v>
      </c>
      <c r="B3" s="11" t="s">
        <v>240</v>
      </c>
      <c r="C3" s="11">
        <v>8</v>
      </c>
      <c r="D3" s="11" t="s">
        <v>160</v>
      </c>
      <c r="E3" s="11" t="s">
        <v>177</v>
      </c>
      <c r="F3" s="11" t="s">
        <v>1686</v>
      </c>
      <c r="G3" s="11" t="s">
        <v>1687</v>
      </c>
      <c r="H3" s="11" t="s">
        <v>5382</v>
      </c>
      <c r="I3" s="11"/>
    </row>
    <row r="4" spans="1:9" s="1" customFormat="1" ht="30">
      <c r="A4" s="11">
        <v>2</v>
      </c>
      <c r="B4" s="11" t="s">
        <v>241</v>
      </c>
      <c r="C4" s="11">
        <v>14</v>
      </c>
      <c r="D4" s="11" t="s">
        <v>242</v>
      </c>
      <c r="E4" s="11"/>
      <c r="F4" s="11" t="s">
        <v>1711</v>
      </c>
      <c r="G4" s="11" t="s">
        <v>3003</v>
      </c>
      <c r="H4" s="11" t="s">
        <v>5384</v>
      </c>
      <c r="I4" s="11" t="s">
        <v>5387</v>
      </c>
    </row>
    <row r="5" spans="1:9" s="1" customFormat="1" ht="30">
      <c r="A5" s="11">
        <v>3</v>
      </c>
      <c r="B5" s="11" t="s">
        <v>78</v>
      </c>
      <c r="C5" s="11">
        <v>4</v>
      </c>
      <c r="D5" s="11" t="s">
        <v>242</v>
      </c>
      <c r="E5" s="11"/>
      <c r="F5" s="11" t="s">
        <v>1707</v>
      </c>
      <c r="G5" s="11" t="s">
        <v>3004</v>
      </c>
      <c r="H5" s="11"/>
      <c r="I5" s="11"/>
    </row>
    <row r="6" spans="1:9" s="1" customFormat="1" ht="30">
      <c r="A6" s="11">
        <v>4</v>
      </c>
      <c r="B6" s="11" t="s">
        <v>1503</v>
      </c>
      <c r="C6" s="11">
        <v>1</v>
      </c>
      <c r="D6" s="11" t="s">
        <v>242</v>
      </c>
      <c r="E6" s="11"/>
      <c r="F6" s="11" t="s">
        <v>1839</v>
      </c>
      <c r="G6" s="11" t="s">
        <v>3005</v>
      </c>
      <c r="H6" s="11"/>
      <c r="I6" s="11"/>
    </row>
    <row r="7" spans="1:9" s="1" customFormat="1" ht="30">
      <c r="A7" s="11">
        <v>5</v>
      </c>
      <c r="B7" s="11" t="s">
        <v>1504</v>
      </c>
      <c r="C7" s="11">
        <v>2</v>
      </c>
      <c r="D7" s="11" t="s">
        <v>242</v>
      </c>
      <c r="E7" s="11"/>
      <c r="F7" s="11" t="s">
        <v>1840</v>
      </c>
      <c r="G7" s="11" t="s">
        <v>3006</v>
      </c>
      <c r="H7" s="11"/>
      <c r="I7" s="11"/>
    </row>
    <row r="8" spans="1:9" s="1" customFormat="1" ht="30">
      <c r="A8" s="11">
        <v>6</v>
      </c>
      <c r="B8" s="11" t="s">
        <v>1430</v>
      </c>
      <c r="C8" s="11">
        <v>10</v>
      </c>
      <c r="D8" s="11" t="s">
        <v>242</v>
      </c>
      <c r="E8" s="11"/>
      <c r="F8" s="11" t="s">
        <v>1703</v>
      </c>
      <c r="G8" s="11" t="s">
        <v>3007</v>
      </c>
      <c r="H8" s="11"/>
      <c r="I8" s="11"/>
    </row>
    <row r="9" spans="1:9" s="1" customFormat="1" ht="30">
      <c r="A9" s="11">
        <v>7</v>
      </c>
      <c r="B9" s="11" t="s">
        <v>1486</v>
      </c>
      <c r="C9" s="11">
        <v>14</v>
      </c>
      <c r="D9" s="11" t="s">
        <v>1032</v>
      </c>
      <c r="E9" s="11" t="s">
        <v>1033</v>
      </c>
      <c r="F9" s="11" t="s">
        <v>1841</v>
      </c>
      <c r="G9" s="11" t="s">
        <v>3008</v>
      </c>
      <c r="H9" s="11"/>
      <c r="I9" s="11"/>
    </row>
    <row r="10" spans="1:9" s="1" customFormat="1" ht="90">
      <c r="A10" s="11">
        <v>8</v>
      </c>
      <c r="B10" s="11" t="s">
        <v>1437</v>
      </c>
      <c r="C10" s="11">
        <v>1</v>
      </c>
      <c r="D10" s="11" t="s">
        <v>242</v>
      </c>
      <c r="E10" s="11"/>
      <c r="F10" s="11" t="s">
        <v>1842</v>
      </c>
      <c r="G10" s="11" t="s">
        <v>3009</v>
      </c>
      <c r="H10" s="11"/>
      <c r="I10" s="11"/>
    </row>
    <row r="11" spans="1:9" s="1" customFormat="1" ht="30">
      <c r="A11" s="11">
        <v>9</v>
      </c>
      <c r="B11" s="11" t="s">
        <v>79</v>
      </c>
      <c r="C11" s="11">
        <v>4</v>
      </c>
      <c r="D11" s="11" t="s">
        <v>242</v>
      </c>
      <c r="E11" s="11"/>
      <c r="F11" s="11" t="s">
        <v>1715</v>
      </c>
      <c r="G11" s="11" t="s">
        <v>3010</v>
      </c>
      <c r="H11" s="11"/>
      <c r="I11" s="11"/>
    </row>
    <row r="12" spans="1:9" s="1" customFormat="1" ht="30">
      <c r="A12" s="11">
        <v>10</v>
      </c>
      <c r="B12" s="11" t="s">
        <v>1505</v>
      </c>
      <c r="C12" s="11">
        <v>14</v>
      </c>
      <c r="D12" s="11" t="s">
        <v>1032</v>
      </c>
      <c r="E12" s="11" t="s">
        <v>1033</v>
      </c>
      <c r="F12" s="11" t="s">
        <v>1843</v>
      </c>
      <c r="G12" s="11" t="s">
        <v>3011</v>
      </c>
      <c r="H12" s="11"/>
      <c r="I12" s="11"/>
    </row>
    <row r="13" spans="1:9" s="1" customFormat="1" ht="30">
      <c r="A13" s="11">
        <v>11</v>
      </c>
      <c r="B13" s="11" t="s">
        <v>1506</v>
      </c>
      <c r="C13" s="11">
        <v>10</v>
      </c>
      <c r="D13" s="11" t="s">
        <v>242</v>
      </c>
      <c r="E13" s="11"/>
      <c r="F13" s="11" t="s">
        <v>1844</v>
      </c>
      <c r="G13" s="11" t="s">
        <v>3012</v>
      </c>
      <c r="H13" s="11"/>
      <c r="I13" s="11"/>
    </row>
    <row r="14" spans="1:9" s="1" customFormat="1" ht="30">
      <c r="A14" s="11">
        <v>12</v>
      </c>
      <c r="B14" s="11" t="s">
        <v>1507</v>
      </c>
      <c r="C14" s="11">
        <v>20</v>
      </c>
      <c r="D14" s="11" t="s">
        <v>242</v>
      </c>
      <c r="E14" s="11"/>
      <c r="F14" s="11" t="s">
        <v>1845</v>
      </c>
      <c r="G14" s="11" t="s">
        <v>3013</v>
      </c>
      <c r="H14" s="11"/>
      <c r="I14" s="11"/>
    </row>
    <row r="15" spans="1:9" s="1" customFormat="1" ht="30">
      <c r="A15" s="11">
        <v>13</v>
      </c>
      <c r="B15" s="11" t="s">
        <v>105</v>
      </c>
      <c r="C15" s="11">
        <v>10</v>
      </c>
      <c r="D15" s="11" t="s">
        <v>242</v>
      </c>
      <c r="E15" s="11"/>
      <c r="F15" s="11" t="s">
        <v>1716</v>
      </c>
      <c r="G15" s="11" t="s">
        <v>3014</v>
      </c>
      <c r="H15" s="11"/>
      <c r="I15" s="11"/>
    </row>
    <row r="16" spans="1:9" s="1" customFormat="1" ht="30">
      <c r="A16" s="11">
        <v>14</v>
      </c>
      <c r="B16" s="11" t="s">
        <v>163</v>
      </c>
      <c r="C16" s="11">
        <v>14</v>
      </c>
      <c r="D16" s="11" t="s">
        <v>1032</v>
      </c>
      <c r="E16" s="11" t="s">
        <v>1033</v>
      </c>
      <c r="F16" s="11" t="s">
        <v>1717</v>
      </c>
      <c r="G16" s="11" t="s">
        <v>3015</v>
      </c>
      <c r="H16" s="11"/>
      <c r="I16" s="11"/>
    </row>
    <row r="17" spans="1:9" s="1" customFormat="1">
      <c r="A17" s="11">
        <v>15</v>
      </c>
      <c r="B17" s="11" t="s">
        <v>1182</v>
      </c>
      <c r="C17" s="11">
        <v>12</v>
      </c>
      <c r="D17" s="11" t="s">
        <v>189</v>
      </c>
      <c r="E17" s="11" t="s">
        <v>5576</v>
      </c>
      <c r="F17" s="11" t="s">
        <v>1688</v>
      </c>
      <c r="G17" s="11" t="s">
        <v>1689</v>
      </c>
      <c r="H17" s="11"/>
      <c r="I17" s="11"/>
    </row>
    <row r="18" spans="1:9" s="1" customFormat="1" ht="30">
      <c r="A18" s="11">
        <v>16</v>
      </c>
      <c r="B18" s="11" t="s">
        <v>1183</v>
      </c>
      <c r="C18" s="11">
        <v>30</v>
      </c>
      <c r="D18" s="11" t="s">
        <v>242</v>
      </c>
      <c r="E18" s="11" t="s">
        <v>5576</v>
      </c>
      <c r="F18" s="11" t="s">
        <v>1690</v>
      </c>
      <c r="G18" s="11" t="s">
        <v>1691</v>
      </c>
      <c r="H18" s="11"/>
      <c r="I18" s="11"/>
    </row>
    <row r="19" spans="1:9" s="1" customFormat="1"/>
    <row r="20" spans="1:9" s="1" customFormat="1"/>
    <row r="21" spans="1:9" s="1" customFormat="1"/>
    <row r="22" spans="1:9" s="1" customFormat="1"/>
    <row r="23" spans="1:9" s="1" customFormat="1"/>
    <row r="24" spans="1:9" s="1" customFormat="1"/>
    <row r="25" spans="1:9" s="1" customFormat="1"/>
    <row r="26" spans="1:9" s="1" customFormat="1"/>
    <row r="27" spans="1:9" s="1" customFormat="1"/>
    <row r="28" spans="1:9" s="1" customFormat="1"/>
    <row r="29" spans="1:9" s="1" customFormat="1"/>
    <row r="30" spans="1:9" s="1" customFormat="1"/>
    <row r="31" spans="1:9" s="1" customFormat="1"/>
    <row r="32" spans="1:9"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0C5A4-3756-4C31-9AC0-6F5C77F38DE1}">
  <sheetPr codeName="Sheet95"/>
  <dimension ref="A1:XFC250"/>
  <sheetViews>
    <sheetView topLeftCell="A19" workbookViewId="0">
      <selection activeCell="C22" sqref="C22"/>
    </sheetView>
  </sheetViews>
  <sheetFormatPr defaultColWidth="32.140625" defaultRowHeight="15"/>
  <cols>
    <col min="1" max="1" width="9.42578125" style="1" bestFit="1" customWidth="1"/>
    <col min="2" max="2" width="19.42578125" style="1" bestFit="1" customWidth="1"/>
    <col min="3" max="3" width="4.5703125" style="1" bestFit="1" customWidth="1"/>
    <col min="4" max="4" width="9" style="1" bestFit="1" customWidth="1"/>
    <col min="5" max="5" width="24.42578125" style="1" bestFit="1" customWidth="1"/>
    <col min="6" max="6" width="45.28515625" style="1" bestFit="1" customWidth="1"/>
    <col min="7" max="7" width="57.28515625" style="1" bestFit="1" customWidth="1"/>
    <col min="8" max="9" width="5.7109375" style="2" bestFit="1" customWidth="1"/>
    <col min="10" max="16382" width="32.140625" style="2"/>
    <col min="16383" max="16383" width="1.7109375" style="2" customWidth="1"/>
    <col min="16384" max="16384" width="17.7109375" style="1" customWidth="1"/>
  </cols>
  <sheetData>
    <row r="1" spans="1:9" s="1" customFormat="1">
      <c r="A1" s="12" t="s">
        <v>238</v>
      </c>
      <c r="B1" s="12"/>
      <c r="C1" s="12"/>
      <c r="D1" s="12"/>
      <c r="E1" s="12"/>
      <c r="F1" s="12"/>
      <c r="G1" s="12"/>
      <c r="H1" s="12"/>
      <c r="I1" s="12"/>
    </row>
    <row r="2" spans="1:9" s="1" customFormat="1">
      <c r="A2" s="10" t="s">
        <v>350</v>
      </c>
      <c r="B2" s="10" t="s">
        <v>156</v>
      </c>
      <c r="C2" s="10" t="s">
        <v>157</v>
      </c>
      <c r="D2" s="10" t="s">
        <v>239</v>
      </c>
      <c r="E2" s="10" t="s">
        <v>159</v>
      </c>
      <c r="F2" s="10" t="s">
        <v>1684</v>
      </c>
      <c r="G2" s="10" t="s">
        <v>1685</v>
      </c>
      <c r="H2" s="10" t="s">
        <v>5378</v>
      </c>
      <c r="I2" s="10" t="s">
        <v>5379</v>
      </c>
    </row>
    <row r="3" spans="1:9" s="1" customFormat="1">
      <c r="A3" s="11">
        <v>1</v>
      </c>
      <c r="B3" s="11" t="s">
        <v>240</v>
      </c>
      <c r="C3" s="11">
        <v>8</v>
      </c>
      <c r="D3" s="11" t="s">
        <v>160</v>
      </c>
      <c r="E3" s="11" t="s">
        <v>177</v>
      </c>
      <c r="F3" s="11" t="s">
        <v>1686</v>
      </c>
      <c r="G3" s="11" t="s">
        <v>1687</v>
      </c>
      <c r="H3" s="11" t="s">
        <v>5382</v>
      </c>
      <c r="I3" s="11"/>
    </row>
    <row r="4" spans="1:9" s="1" customFormat="1" ht="30">
      <c r="A4" s="11">
        <v>2</v>
      </c>
      <c r="B4" s="11" t="s">
        <v>241</v>
      </c>
      <c r="C4" s="11">
        <v>14</v>
      </c>
      <c r="D4" s="11" t="s">
        <v>242</v>
      </c>
      <c r="E4" s="11"/>
      <c r="F4" s="11" t="s">
        <v>1711</v>
      </c>
      <c r="G4" s="11" t="s">
        <v>3016</v>
      </c>
      <c r="H4" s="11" t="s">
        <v>5384</v>
      </c>
      <c r="I4" s="11"/>
    </row>
    <row r="5" spans="1:9" s="1" customFormat="1" ht="30">
      <c r="A5" s="11">
        <v>3</v>
      </c>
      <c r="B5" s="11" t="s">
        <v>78</v>
      </c>
      <c r="C5" s="11">
        <v>4</v>
      </c>
      <c r="D5" s="11" t="s">
        <v>242</v>
      </c>
      <c r="E5" s="11"/>
      <c r="F5" s="11" t="s">
        <v>1707</v>
      </c>
      <c r="G5" s="11" t="s">
        <v>3017</v>
      </c>
      <c r="H5" s="11"/>
      <c r="I5" s="11" t="s">
        <v>5387</v>
      </c>
    </row>
    <row r="6" spans="1:9" s="1" customFormat="1" ht="30">
      <c r="A6" s="11">
        <v>4</v>
      </c>
      <c r="B6" s="11" t="s">
        <v>1503</v>
      </c>
      <c r="C6" s="11">
        <v>1</v>
      </c>
      <c r="D6" s="11" t="s">
        <v>242</v>
      </c>
      <c r="E6" s="11"/>
      <c r="F6" s="11" t="s">
        <v>1839</v>
      </c>
      <c r="G6" s="11" t="s">
        <v>3005</v>
      </c>
      <c r="H6" s="11"/>
      <c r="I6" s="11"/>
    </row>
    <row r="7" spans="1:9" s="1" customFormat="1" ht="30">
      <c r="A7" s="11">
        <v>5</v>
      </c>
      <c r="B7" s="11" t="s">
        <v>1504</v>
      </c>
      <c r="C7" s="11">
        <v>2</v>
      </c>
      <c r="D7" s="11" t="s">
        <v>242</v>
      </c>
      <c r="E7" s="11"/>
      <c r="F7" s="11" t="s">
        <v>1846</v>
      </c>
      <c r="G7" s="11" t="s">
        <v>3018</v>
      </c>
      <c r="H7" s="11"/>
      <c r="I7" s="11"/>
    </row>
    <row r="8" spans="1:9" s="1" customFormat="1" ht="30">
      <c r="A8" s="11">
        <v>6</v>
      </c>
      <c r="B8" s="11" t="s">
        <v>1430</v>
      </c>
      <c r="C8" s="11">
        <v>10</v>
      </c>
      <c r="D8" s="11" t="s">
        <v>242</v>
      </c>
      <c r="E8" s="11"/>
      <c r="F8" s="11" t="s">
        <v>1703</v>
      </c>
      <c r="G8" s="11" t="s">
        <v>3019</v>
      </c>
      <c r="H8" s="11"/>
      <c r="I8" s="11"/>
    </row>
    <row r="9" spans="1:9" s="1" customFormat="1" ht="30">
      <c r="A9" s="11">
        <v>7</v>
      </c>
      <c r="B9" s="11" t="s">
        <v>1486</v>
      </c>
      <c r="C9" s="11">
        <v>14</v>
      </c>
      <c r="D9" s="11" t="s">
        <v>161</v>
      </c>
      <c r="E9" s="11" t="s">
        <v>1033</v>
      </c>
      <c r="F9" s="11" t="s">
        <v>1841</v>
      </c>
      <c r="G9" s="11" t="s">
        <v>3020</v>
      </c>
      <c r="H9" s="11"/>
      <c r="I9" s="11" t="s">
        <v>5386</v>
      </c>
    </row>
    <row r="10" spans="1:9" s="1" customFormat="1" ht="105">
      <c r="A10" s="11">
        <v>8</v>
      </c>
      <c r="B10" s="11" t="s">
        <v>1437</v>
      </c>
      <c r="C10" s="11">
        <v>1</v>
      </c>
      <c r="D10" s="11" t="s">
        <v>242</v>
      </c>
      <c r="E10" s="11"/>
      <c r="F10" s="11" t="s">
        <v>1847</v>
      </c>
      <c r="G10" s="11" t="s">
        <v>5679</v>
      </c>
      <c r="H10" s="11"/>
      <c r="I10" s="11"/>
    </row>
    <row r="11" spans="1:9" s="1" customFormat="1" ht="30">
      <c r="A11" s="11">
        <v>9</v>
      </c>
      <c r="B11" s="11" t="s">
        <v>1508</v>
      </c>
      <c r="C11" s="11">
        <v>8</v>
      </c>
      <c r="D11" s="11" t="s">
        <v>160</v>
      </c>
      <c r="E11" s="11" t="s">
        <v>177</v>
      </c>
      <c r="F11" s="11" t="s">
        <v>1848</v>
      </c>
      <c r="G11" s="11" t="s">
        <v>3021</v>
      </c>
      <c r="H11" s="11"/>
      <c r="I11" s="11"/>
    </row>
    <row r="12" spans="1:9" s="1" customFormat="1" ht="30">
      <c r="A12" s="11">
        <v>10</v>
      </c>
      <c r="B12" s="11" t="s">
        <v>1509</v>
      </c>
      <c r="C12" s="11">
        <v>10</v>
      </c>
      <c r="D12" s="11" t="s">
        <v>242</v>
      </c>
      <c r="E12" s="11"/>
      <c r="F12" s="11" t="s">
        <v>1849</v>
      </c>
      <c r="G12" s="11" t="s">
        <v>3022</v>
      </c>
      <c r="H12" s="11"/>
      <c r="I12" s="11"/>
    </row>
    <row r="13" spans="1:9" s="1" customFormat="1" ht="30">
      <c r="A13" s="11">
        <v>11</v>
      </c>
      <c r="B13" s="11" t="s">
        <v>1510</v>
      </c>
      <c r="C13" s="11">
        <v>8</v>
      </c>
      <c r="D13" s="11" t="s">
        <v>160</v>
      </c>
      <c r="E13" s="11" t="s">
        <v>177</v>
      </c>
      <c r="F13" s="11" t="s">
        <v>1850</v>
      </c>
      <c r="G13" s="11" t="s">
        <v>3023</v>
      </c>
      <c r="H13" s="11"/>
      <c r="I13" s="11"/>
    </row>
    <row r="14" spans="1:9" s="1" customFormat="1" ht="30">
      <c r="A14" s="11">
        <v>12</v>
      </c>
      <c r="B14" s="11" t="s">
        <v>1511</v>
      </c>
      <c r="C14" s="11">
        <v>10</v>
      </c>
      <c r="D14" s="11" t="s">
        <v>242</v>
      </c>
      <c r="E14" s="11"/>
      <c r="F14" s="11" t="s">
        <v>1794</v>
      </c>
      <c r="G14" s="11" t="s">
        <v>3024</v>
      </c>
      <c r="H14" s="11"/>
      <c r="I14" s="11"/>
    </row>
    <row r="15" spans="1:9" s="1" customFormat="1" ht="30">
      <c r="A15" s="11">
        <v>13</v>
      </c>
      <c r="B15" s="11" t="s">
        <v>1512</v>
      </c>
      <c r="C15" s="11">
        <v>8</v>
      </c>
      <c r="D15" s="11" t="s">
        <v>160</v>
      </c>
      <c r="E15" s="11" t="s">
        <v>177</v>
      </c>
      <c r="F15" s="11" t="s">
        <v>1851</v>
      </c>
      <c r="G15" s="11" t="s">
        <v>3025</v>
      </c>
      <c r="H15" s="11"/>
      <c r="I15" s="11"/>
    </row>
    <row r="16" spans="1:9" s="1" customFormat="1" ht="30">
      <c r="A16" s="11">
        <v>14</v>
      </c>
      <c r="B16" s="11" t="s">
        <v>1513</v>
      </c>
      <c r="C16" s="11">
        <v>10</v>
      </c>
      <c r="D16" s="11" t="s">
        <v>242</v>
      </c>
      <c r="E16" s="11"/>
      <c r="F16" s="11" t="s">
        <v>1852</v>
      </c>
      <c r="G16" s="11" t="s">
        <v>3026</v>
      </c>
      <c r="H16" s="11"/>
      <c r="I16" s="11"/>
    </row>
    <row r="17" spans="1:9" s="1" customFormat="1" ht="30">
      <c r="A17" s="11">
        <v>15</v>
      </c>
      <c r="B17" s="11" t="s">
        <v>79</v>
      </c>
      <c r="C17" s="11">
        <v>4</v>
      </c>
      <c r="D17" s="11" t="s">
        <v>242</v>
      </c>
      <c r="E17" s="11"/>
      <c r="F17" s="11" t="s">
        <v>1715</v>
      </c>
      <c r="G17" s="11" t="s">
        <v>3027</v>
      </c>
      <c r="H17" s="11"/>
      <c r="I17" s="11"/>
    </row>
    <row r="18" spans="1:9" s="1" customFormat="1" ht="30">
      <c r="A18" s="11">
        <v>16</v>
      </c>
      <c r="B18" s="11" t="s">
        <v>1514</v>
      </c>
      <c r="C18" s="11">
        <v>8</v>
      </c>
      <c r="D18" s="11" t="s">
        <v>160</v>
      </c>
      <c r="E18" s="11" t="s">
        <v>177</v>
      </c>
      <c r="F18" s="11" t="s">
        <v>1853</v>
      </c>
      <c r="G18" s="11" t="s">
        <v>3028</v>
      </c>
      <c r="H18" s="11"/>
      <c r="I18" s="11"/>
    </row>
    <row r="19" spans="1:9" s="1" customFormat="1" ht="30">
      <c r="A19" s="11">
        <v>17</v>
      </c>
      <c r="B19" s="11" t="s">
        <v>1515</v>
      </c>
      <c r="C19" s="11">
        <v>8</v>
      </c>
      <c r="D19" s="11" t="s">
        <v>160</v>
      </c>
      <c r="E19" s="11" t="s">
        <v>177</v>
      </c>
      <c r="F19" s="11" t="s">
        <v>1854</v>
      </c>
      <c r="G19" s="11" t="s">
        <v>3029</v>
      </c>
      <c r="H19" s="11"/>
      <c r="I19" s="11"/>
    </row>
    <row r="20" spans="1:9" s="1" customFormat="1" ht="30">
      <c r="A20" s="11">
        <v>18</v>
      </c>
      <c r="B20" s="11" t="s">
        <v>1516</v>
      </c>
      <c r="C20" s="11">
        <v>8</v>
      </c>
      <c r="D20" s="11" t="s">
        <v>160</v>
      </c>
      <c r="E20" s="11" t="s">
        <v>177</v>
      </c>
      <c r="F20" s="11" t="s">
        <v>1855</v>
      </c>
      <c r="G20" s="11" t="s">
        <v>3030</v>
      </c>
      <c r="H20" s="11"/>
      <c r="I20" s="11"/>
    </row>
    <row r="21" spans="1:9" s="1" customFormat="1" ht="30">
      <c r="A21" s="11">
        <v>19</v>
      </c>
      <c r="B21" s="11" t="s">
        <v>1447</v>
      </c>
      <c r="C21" s="11">
        <v>8</v>
      </c>
      <c r="D21" s="11" t="s">
        <v>160</v>
      </c>
      <c r="E21" s="11" t="s">
        <v>177</v>
      </c>
      <c r="F21" s="11" t="s">
        <v>1856</v>
      </c>
      <c r="G21" s="11" t="s">
        <v>3031</v>
      </c>
      <c r="H21" s="11"/>
      <c r="I21" s="11"/>
    </row>
    <row r="22" spans="1:9" s="1" customFormat="1" ht="30">
      <c r="A22" s="11">
        <v>20</v>
      </c>
      <c r="B22" s="11" t="s">
        <v>1448</v>
      </c>
      <c r="C22" s="11">
        <v>10</v>
      </c>
      <c r="D22" s="11" t="s">
        <v>242</v>
      </c>
      <c r="E22" s="11"/>
      <c r="F22" s="11" t="s">
        <v>1857</v>
      </c>
      <c r="G22" s="11" t="s">
        <v>3032</v>
      </c>
      <c r="H22" s="11"/>
      <c r="I22" s="11"/>
    </row>
    <row r="23" spans="1:9" s="1" customFormat="1" ht="30">
      <c r="A23" s="11">
        <v>21</v>
      </c>
      <c r="B23" s="11" t="s">
        <v>1449</v>
      </c>
      <c r="C23" s="11">
        <v>20</v>
      </c>
      <c r="D23" s="11" t="s">
        <v>242</v>
      </c>
      <c r="E23" s="11"/>
      <c r="F23" s="11" t="s">
        <v>1858</v>
      </c>
      <c r="G23" s="11" t="s">
        <v>3033</v>
      </c>
      <c r="H23" s="11"/>
      <c r="I23" s="11"/>
    </row>
    <row r="24" spans="1:9" s="1" customFormat="1" ht="30">
      <c r="A24" s="11">
        <v>22</v>
      </c>
      <c r="B24" s="11" t="s">
        <v>1517</v>
      </c>
      <c r="C24" s="11">
        <v>6</v>
      </c>
      <c r="D24" s="11" t="s">
        <v>242</v>
      </c>
      <c r="E24" s="11"/>
      <c r="F24" s="11" t="s">
        <v>1859</v>
      </c>
      <c r="G24" s="11" t="s">
        <v>3034</v>
      </c>
      <c r="H24" s="11"/>
      <c r="I24" s="11"/>
    </row>
    <row r="25" spans="1:9" s="1" customFormat="1" ht="30">
      <c r="A25" s="11">
        <v>23</v>
      </c>
      <c r="B25" s="11" t="s">
        <v>1518</v>
      </c>
      <c r="C25" s="11">
        <v>6</v>
      </c>
      <c r="D25" s="11" t="s">
        <v>242</v>
      </c>
      <c r="E25" s="11"/>
      <c r="F25" s="11" t="s">
        <v>1860</v>
      </c>
      <c r="G25" s="11" t="s">
        <v>3035</v>
      </c>
      <c r="H25" s="11"/>
      <c r="I25" s="11"/>
    </row>
    <row r="26" spans="1:9" s="1" customFormat="1" ht="30">
      <c r="A26" s="11">
        <v>24</v>
      </c>
      <c r="B26" s="11" t="s">
        <v>1519</v>
      </c>
      <c r="C26" s="11">
        <v>6</v>
      </c>
      <c r="D26" s="11" t="s">
        <v>242</v>
      </c>
      <c r="E26" s="11"/>
      <c r="F26" s="11" t="s">
        <v>1861</v>
      </c>
      <c r="G26" s="11" t="s">
        <v>3036</v>
      </c>
      <c r="H26" s="11"/>
      <c r="I26" s="11"/>
    </row>
    <row r="27" spans="1:9" s="1" customFormat="1" ht="30">
      <c r="A27" s="11">
        <v>25</v>
      </c>
      <c r="B27" s="11" t="s">
        <v>1472</v>
      </c>
      <c r="C27" s="11">
        <v>6</v>
      </c>
      <c r="D27" s="11" t="s">
        <v>242</v>
      </c>
      <c r="E27" s="11"/>
      <c r="F27" s="11" t="s">
        <v>1862</v>
      </c>
      <c r="G27" s="11" t="s">
        <v>3037</v>
      </c>
      <c r="H27" s="11"/>
      <c r="I27" s="11"/>
    </row>
    <row r="28" spans="1:9" s="1" customFormat="1" ht="30">
      <c r="A28" s="11">
        <v>26</v>
      </c>
      <c r="B28" s="11" t="s">
        <v>1500</v>
      </c>
      <c r="C28" s="11">
        <v>4</v>
      </c>
      <c r="D28" s="11" t="s">
        <v>242</v>
      </c>
      <c r="E28" s="11"/>
      <c r="F28" s="11" t="s">
        <v>1863</v>
      </c>
      <c r="G28" s="11" t="s">
        <v>3038</v>
      </c>
      <c r="H28" s="11"/>
      <c r="I28" s="11"/>
    </row>
    <row r="29" spans="1:9" s="1" customFormat="1" ht="30">
      <c r="A29" s="11">
        <v>27</v>
      </c>
      <c r="B29" s="11" t="s">
        <v>105</v>
      </c>
      <c r="C29" s="11">
        <v>10</v>
      </c>
      <c r="D29" s="11" t="s">
        <v>242</v>
      </c>
      <c r="E29" s="11"/>
      <c r="F29" s="11" t="s">
        <v>1716</v>
      </c>
      <c r="G29" s="11" t="s">
        <v>3039</v>
      </c>
      <c r="H29" s="11"/>
      <c r="I29" s="11"/>
    </row>
    <row r="30" spans="1:9" s="1" customFormat="1" ht="30">
      <c r="A30" s="11">
        <v>28</v>
      </c>
      <c r="B30" s="11" t="s">
        <v>163</v>
      </c>
      <c r="C30" s="11">
        <v>14</v>
      </c>
      <c r="D30" s="11" t="s">
        <v>161</v>
      </c>
      <c r="E30" s="11" t="s">
        <v>1033</v>
      </c>
      <c r="F30" s="11" t="s">
        <v>1717</v>
      </c>
      <c r="G30" s="11" t="s">
        <v>3040</v>
      </c>
      <c r="H30" s="11"/>
      <c r="I30" s="11"/>
    </row>
    <row r="31" spans="1:9" s="1" customFormat="1">
      <c r="A31" s="11">
        <v>29</v>
      </c>
      <c r="B31" s="11" t="s">
        <v>1182</v>
      </c>
      <c r="C31" s="11">
        <v>12</v>
      </c>
      <c r="D31" s="11" t="s">
        <v>189</v>
      </c>
      <c r="E31" s="11" t="s">
        <v>5576</v>
      </c>
      <c r="F31" s="11" t="s">
        <v>1688</v>
      </c>
      <c r="G31" s="11" t="s">
        <v>1689</v>
      </c>
      <c r="H31" s="11"/>
      <c r="I31" s="11"/>
    </row>
    <row r="32" spans="1:9" s="1" customFormat="1" ht="30">
      <c r="A32" s="11">
        <v>30</v>
      </c>
      <c r="B32" s="11" t="s">
        <v>1183</v>
      </c>
      <c r="C32" s="11">
        <v>30</v>
      </c>
      <c r="D32" s="11" t="s">
        <v>242</v>
      </c>
      <c r="E32" s="11" t="s">
        <v>5576</v>
      </c>
      <c r="F32" s="11" t="s">
        <v>1690</v>
      </c>
      <c r="G32" s="11" t="s">
        <v>1691</v>
      </c>
      <c r="H32" s="11"/>
      <c r="I32" s="11"/>
    </row>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autoFilter ref="A1:E32" xr:uid="{8190C5A4-3756-4C31-9AC0-6F5C77F38DE1}"/>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DF9D-AFB1-4133-A448-0C723C150057}">
  <sheetPr codeName="Sheet96"/>
  <dimension ref="A1:XFC250"/>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35.28515625" style="1" bestFit="1" customWidth="1"/>
    <col min="7" max="7" width="57.42578125" style="1" customWidth="1"/>
    <col min="8" max="9" width="5.7109375" style="2" bestFit="1" customWidth="1"/>
    <col min="10" max="16382" width="32.140625" style="2"/>
    <col min="16383" max="16383" width="1.7109375" style="2" customWidth="1"/>
    <col min="16384" max="16384" width="17.7109375" style="1" customWidth="1"/>
  </cols>
  <sheetData>
    <row r="1" spans="1:9" s="1" customFormat="1">
      <c r="A1" s="3" t="s">
        <v>238</v>
      </c>
      <c r="B1" s="3"/>
      <c r="C1" s="3"/>
      <c r="D1" s="3"/>
      <c r="E1" s="3"/>
      <c r="F1" s="3"/>
      <c r="G1" s="3"/>
      <c r="H1" s="3"/>
      <c r="I1" s="3"/>
    </row>
    <row r="2" spans="1:9" s="1" customFormat="1">
      <c r="A2" s="4" t="s">
        <v>350</v>
      </c>
      <c r="B2" s="4" t="s">
        <v>156</v>
      </c>
      <c r="C2" s="4" t="s">
        <v>157</v>
      </c>
      <c r="D2" s="4" t="s">
        <v>239</v>
      </c>
      <c r="E2" s="4" t="s">
        <v>159</v>
      </c>
      <c r="F2" s="4" t="s">
        <v>1684</v>
      </c>
      <c r="G2" s="4" t="s">
        <v>1685</v>
      </c>
      <c r="H2" s="4" t="s">
        <v>5378</v>
      </c>
      <c r="I2" s="4" t="s">
        <v>5379</v>
      </c>
    </row>
    <row r="3" spans="1:9" s="1" customFormat="1">
      <c r="A3" s="1">
        <v>1</v>
      </c>
      <c r="B3" s="1" t="s">
        <v>240</v>
      </c>
      <c r="C3" s="1">
        <v>8</v>
      </c>
      <c r="D3" s="1" t="s">
        <v>160</v>
      </c>
      <c r="E3" s="1" t="s">
        <v>177</v>
      </c>
      <c r="F3" s="1" t="s">
        <v>1686</v>
      </c>
      <c r="G3" s="1" t="s">
        <v>1687</v>
      </c>
      <c r="H3" s="1" t="s">
        <v>5382</v>
      </c>
    </row>
    <row r="4" spans="1:9" s="1" customFormat="1" ht="30">
      <c r="A4" s="1">
        <v>2</v>
      </c>
      <c r="B4" s="1" t="s">
        <v>78</v>
      </c>
      <c r="C4" s="1">
        <v>4</v>
      </c>
      <c r="D4" s="1" t="s">
        <v>242</v>
      </c>
      <c r="F4" s="1" t="s">
        <v>1707</v>
      </c>
      <c r="G4" s="1" t="s">
        <v>3041</v>
      </c>
      <c r="H4" s="1" t="s">
        <v>5384</v>
      </c>
    </row>
    <row r="5" spans="1:9" s="1" customFormat="1" ht="30">
      <c r="A5" s="1">
        <v>3</v>
      </c>
      <c r="B5" s="1" t="s">
        <v>89</v>
      </c>
      <c r="C5" s="1">
        <v>10</v>
      </c>
      <c r="D5" s="1" t="s">
        <v>242</v>
      </c>
      <c r="F5" s="1" t="s">
        <v>1708</v>
      </c>
      <c r="G5" s="1" t="s">
        <v>3042</v>
      </c>
      <c r="H5" s="1" t="s">
        <v>5385</v>
      </c>
    </row>
    <row r="6" spans="1:9" s="1" customFormat="1" ht="30">
      <c r="A6" s="1">
        <v>4</v>
      </c>
      <c r="B6" s="1" t="s">
        <v>87</v>
      </c>
      <c r="C6" s="1">
        <v>14</v>
      </c>
      <c r="D6" s="1" t="s">
        <v>161</v>
      </c>
      <c r="E6" s="1" t="s">
        <v>1033</v>
      </c>
      <c r="F6" s="1" t="s">
        <v>1709</v>
      </c>
      <c r="G6" s="1" t="s">
        <v>3043</v>
      </c>
      <c r="H6" s="1" t="s">
        <v>5402</v>
      </c>
    </row>
    <row r="7" spans="1:9" s="1" customFormat="1" ht="30">
      <c r="A7" s="1">
        <v>5</v>
      </c>
      <c r="B7" s="1" t="s">
        <v>0</v>
      </c>
      <c r="C7" s="1">
        <v>1</v>
      </c>
      <c r="D7" s="1" t="s">
        <v>242</v>
      </c>
      <c r="F7" s="1" t="s">
        <v>1724</v>
      </c>
      <c r="G7" s="1" t="s">
        <v>3044</v>
      </c>
    </row>
    <row r="8" spans="1:9" s="1" customFormat="1" ht="120">
      <c r="A8" s="1">
        <v>6</v>
      </c>
      <c r="B8" s="1" t="s">
        <v>1</v>
      </c>
      <c r="C8" s="1">
        <v>1</v>
      </c>
      <c r="D8" s="1" t="s">
        <v>242</v>
      </c>
      <c r="F8" s="1" t="s">
        <v>1760</v>
      </c>
      <c r="G8" s="1" t="s">
        <v>2317</v>
      </c>
    </row>
    <row r="9" spans="1:9" s="1" customFormat="1" ht="30">
      <c r="A9" s="1">
        <v>7</v>
      </c>
      <c r="B9" s="1" t="s">
        <v>151</v>
      </c>
      <c r="C9" s="1">
        <v>7</v>
      </c>
      <c r="D9" s="1" t="s">
        <v>242</v>
      </c>
      <c r="F9" s="1" t="s">
        <v>1694</v>
      </c>
      <c r="G9" s="1" t="s">
        <v>3045</v>
      </c>
      <c r="H9" s="1" t="s">
        <v>5451</v>
      </c>
      <c r="I9" s="1" t="s">
        <v>5387</v>
      </c>
    </row>
    <row r="10" spans="1:9" s="1" customFormat="1" ht="30">
      <c r="A10" s="1">
        <v>8</v>
      </c>
      <c r="B10" s="1" t="s">
        <v>1520</v>
      </c>
      <c r="C10" s="1">
        <v>4</v>
      </c>
      <c r="D10" s="1" t="s">
        <v>242</v>
      </c>
      <c r="F10" s="1" t="s">
        <v>1864</v>
      </c>
      <c r="G10" s="1" t="s">
        <v>3046</v>
      </c>
      <c r="H10" s="1" t="s">
        <v>5670</v>
      </c>
      <c r="I10" s="1" t="s">
        <v>5386</v>
      </c>
    </row>
    <row r="11" spans="1:9" s="1" customFormat="1" ht="120">
      <c r="A11" s="1">
        <v>9</v>
      </c>
      <c r="B11" s="1" t="s">
        <v>103</v>
      </c>
      <c r="C11" s="1">
        <v>10</v>
      </c>
      <c r="D11" s="1" t="s">
        <v>242</v>
      </c>
      <c r="F11" s="1" t="s">
        <v>1865</v>
      </c>
      <c r="G11" s="1" t="s">
        <v>3047</v>
      </c>
    </row>
    <row r="12" spans="1:9" s="1" customFormat="1" ht="60">
      <c r="A12" s="1">
        <v>10</v>
      </c>
      <c r="B12" s="1" t="s">
        <v>1521</v>
      </c>
      <c r="C12" s="1">
        <v>1</v>
      </c>
      <c r="D12" s="1" t="s">
        <v>242</v>
      </c>
      <c r="F12" s="1" t="s">
        <v>1866</v>
      </c>
      <c r="G12" s="1" t="s">
        <v>3048</v>
      </c>
    </row>
    <row r="13" spans="1:9" s="1" customFormat="1" ht="30">
      <c r="A13" s="1">
        <v>11</v>
      </c>
      <c r="B13" s="1" t="s">
        <v>90</v>
      </c>
      <c r="C13" s="1">
        <v>10</v>
      </c>
      <c r="D13" s="1" t="s">
        <v>242</v>
      </c>
      <c r="F13" s="1" t="s">
        <v>1761</v>
      </c>
      <c r="G13" s="1" t="s">
        <v>3049</v>
      </c>
    </row>
    <row r="14" spans="1:9" s="1" customFormat="1" ht="30">
      <c r="A14" s="1">
        <v>12</v>
      </c>
      <c r="B14" s="1" t="s">
        <v>79</v>
      </c>
      <c r="C14" s="1">
        <v>4</v>
      </c>
      <c r="D14" s="1" t="s">
        <v>242</v>
      </c>
      <c r="F14" s="1" t="s">
        <v>1715</v>
      </c>
      <c r="G14" s="1" t="s">
        <v>3050</v>
      </c>
    </row>
    <row r="15" spans="1:9" s="1" customFormat="1">
      <c r="A15" s="1">
        <v>13</v>
      </c>
      <c r="B15" s="1" t="s">
        <v>47</v>
      </c>
      <c r="C15" s="1">
        <v>15</v>
      </c>
      <c r="D15" s="1" t="s">
        <v>242</v>
      </c>
      <c r="F15" s="1" t="s">
        <v>1867</v>
      </c>
      <c r="G15" s="1" t="s">
        <v>3051</v>
      </c>
    </row>
    <row r="16" spans="1:9" s="1" customFormat="1">
      <c r="A16" s="1">
        <v>14</v>
      </c>
      <c r="B16" s="1" t="s">
        <v>48</v>
      </c>
      <c r="C16" s="1">
        <v>15</v>
      </c>
      <c r="D16" s="1" t="s">
        <v>242</v>
      </c>
      <c r="F16" s="1" t="s">
        <v>1868</v>
      </c>
      <c r="G16" s="1" t="s">
        <v>3052</v>
      </c>
    </row>
    <row r="17" spans="1:7" s="1" customFormat="1">
      <c r="A17" s="1">
        <v>15</v>
      </c>
      <c r="B17" s="1" t="s">
        <v>49</v>
      </c>
      <c r="C17" s="1">
        <v>15</v>
      </c>
      <c r="D17" s="1" t="s">
        <v>242</v>
      </c>
      <c r="F17" s="1" t="s">
        <v>1869</v>
      </c>
      <c r="G17" s="1" t="s">
        <v>3053</v>
      </c>
    </row>
    <row r="18" spans="1:7" s="1" customFormat="1">
      <c r="A18" s="1">
        <v>16</v>
      </c>
      <c r="B18" s="1" t="s">
        <v>50</v>
      </c>
      <c r="C18" s="1">
        <v>15</v>
      </c>
      <c r="D18" s="1" t="s">
        <v>242</v>
      </c>
      <c r="F18" s="1" t="s">
        <v>1870</v>
      </c>
      <c r="G18" s="1" t="s">
        <v>3054</v>
      </c>
    </row>
    <row r="19" spans="1:7" s="1" customFormat="1" ht="30">
      <c r="A19" s="1">
        <v>17</v>
      </c>
      <c r="B19" s="1" t="s">
        <v>112</v>
      </c>
      <c r="C19" s="1">
        <v>30</v>
      </c>
      <c r="D19" s="1" t="s">
        <v>242</v>
      </c>
      <c r="F19" s="1" t="s">
        <v>1871</v>
      </c>
      <c r="G19" s="1" t="s">
        <v>3055</v>
      </c>
    </row>
    <row r="20" spans="1:7" s="1" customFormat="1">
      <c r="A20" s="1">
        <v>18</v>
      </c>
      <c r="B20" s="1" t="s">
        <v>51</v>
      </c>
      <c r="C20" s="1">
        <v>15</v>
      </c>
      <c r="D20" s="1" t="s">
        <v>242</v>
      </c>
      <c r="F20" s="1" t="s">
        <v>1872</v>
      </c>
      <c r="G20" s="1" t="s">
        <v>3056</v>
      </c>
    </row>
    <row r="21" spans="1:7" s="1" customFormat="1">
      <c r="A21" s="1">
        <v>19</v>
      </c>
      <c r="B21" s="1" t="s">
        <v>52</v>
      </c>
      <c r="C21" s="1">
        <v>15</v>
      </c>
      <c r="D21" s="1" t="s">
        <v>242</v>
      </c>
      <c r="F21" s="1" t="s">
        <v>1873</v>
      </c>
      <c r="G21" s="1" t="s">
        <v>3057</v>
      </c>
    </row>
    <row r="22" spans="1:7" s="1" customFormat="1">
      <c r="A22" s="1">
        <v>20</v>
      </c>
      <c r="B22" s="1" t="s">
        <v>53</v>
      </c>
      <c r="C22" s="1">
        <v>15</v>
      </c>
      <c r="D22" s="1" t="s">
        <v>242</v>
      </c>
      <c r="F22" s="1" t="s">
        <v>1874</v>
      </c>
      <c r="G22" s="1" t="s">
        <v>3058</v>
      </c>
    </row>
    <row r="23" spans="1:7" s="1" customFormat="1">
      <c r="A23" s="1">
        <v>21</v>
      </c>
      <c r="B23" s="1" t="s">
        <v>54</v>
      </c>
      <c r="C23" s="1">
        <v>15</v>
      </c>
      <c r="D23" s="1" t="s">
        <v>242</v>
      </c>
      <c r="F23" s="1" t="s">
        <v>1875</v>
      </c>
      <c r="G23" s="1" t="s">
        <v>3059</v>
      </c>
    </row>
    <row r="24" spans="1:7" s="1" customFormat="1">
      <c r="A24" s="1">
        <v>22</v>
      </c>
      <c r="B24" s="1" t="s">
        <v>113</v>
      </c>
      <c r="C24" s="1">
        <v>30</v>
      </c>
      <c r="D24" s="1" t="s">
        <v>242</v>
      </c>
      <c r="F24" s="1" t="s">
        <v>1876</v>
      </c>
      <c r="G24" s="1" t="s">
        <v>3060</v>
      </c>
    </row>
    <row r="25" spans="1:7" s="1" customFormat="1" ht="30">
      <c r="A25" s="1">
        <v>23</v>
      </c>
      <c r="B25" s="1" t="s">
        <v>2</v>
      </c>
      <c r="C25" s="1">
        <v>1</v>
      </c>
      <c r="D25" s="1" t="s">
        <v>242</v>
      </c>
      <c r="F25" s="1" t="s">
        <v>1696</v>
      </c>
      <c r="G25" s="1" t="s">
        <v>5695</v>
      </c>
    </row>
    <row r="26" spans="1:7" s="1" customFormat="1" ht="30">
      <c r="A26" s="1">
        <v>24</v>
      </c>
      <c r="B26" s="1" t="s">
        <v>44</v>
      </c>
      <c r="C26" s="1">
        <v>15</v>
      </c>
      <c r="D26" s="1" t="s">
        <v>242</v>
      </c>
      <c r="F26" s="1" t="s">
        <v>1697</v>
      </c>
      <c r="G26" s="1" t="s">
        <v>3062</v>
      </c>
    </row>
    <row r="27" spans="1:7" s="1" customFormat="1" ht="30">
      <c r="A27" s="1">
        <v>25</v>
      </c>
      <c r="B27" s="1" t="s">
        <v>1522</v>
      </c>
      <c r="C27" s="1">
        <v>1</v>
      </c>
      <c r="D27" s="1" t="s">
        <v>242</v>
      </c>
      <c r="F27" s="1" t="s">
        <v>1877</v>
      </c>
      <c r="G27" s="1" t="s">
        <v>3063</v>
      </c>
    </row>
    <row r="28" spans="1:7" s="1" customFormat="1" ht="30">
      <c r="A28" s="1">
        <v>26</v>
      </c>
      <c r="B28" s="1" t="s">
        <v>1523</v>
      </c>
      <c r="C28" s="1">
        <v>8</v>
      </c>
      <c r="D28" s="1" t="s">
        <v>160</v>
      </c>
      <c r="E28" s="1" t="s">
        <v>177</v>
      </c>
      <c r="F28" s="1" t="s">
        <v>1878</v>
      </c>
      <c r="G28" s="1" t="s">
        <v>3064</v>
      </c>
    </row>
    <row r="29" spans="1:7" s="1" customFormat="1" ht="30">
      <c r="A29" s="1">
        <v>27</v>
      </c>
      <c r="B29" s="1" t="s">
        <v>77</v>
      </c>
      <c r="C29" s="1">
        <v>8</v>
      </c>
      <c r="D29" s="1" t="s">
        <v>160</v>
      </c>
      <c r="E29" s="1" t="s">
        <v>177</v>
      </c>
      <c r="F29" s="1" t="s">
        <v>1751</v>
      </c>
      <c r="G29" s="1" t="s">
        <v>3065</v>
      </c>
    </row>
    <row r="30" spans="1:7" s="1" customFormat="1" ht="30">
      <c r="A30" s="1">
        <v>28</v>
      </c>
      <c r="B30" s="1" t="s">
        <v>175</v>
      </c>
      <c r="C30" s="1">
        <v>1</v>
      </c>
      <c r="D30" s="1" t="s">
        <v>242</v>
      </c>
      <c r="F30" s="1" t="s">
        <v>1879</v>
      </c>
      <c r="G30" s="1" t="s">
        <v>3066</v>
      </c>
    </row>
    <row r="31" spans="1:7" s="1" customFormat="1" ht="30">
      <c r="A31" s="1">
        <v>29</v>
      </c>
      <c r="B31" s="1" t="s">
        <v>38</v>
      </c>
      <c r="C31" s="1">
        <v>1</v>
      </c>
      <c r="D31" s="1" t="s">
        <v>242</v>
      </c>
      <c r="F31" s="1" t="s">
        <v>1880</v>
      </c>
      <c r="G31" s="1" t="s">
        <v>3067</v>
      </c>
    </row>
    <row r="32" spans="1:7" s="1" customFormat="1" ht="45">
      <c r="A32" s="1">
        <v>30</v>
      </c>
      <c r="B32" s="1" t="s">
        <v>105</v>
      </c>
      <c r="C32" s="1">
        <v>10</v>
      </c>
      <c r="D32" s="1" t="s">
        <v>242</v>
      </c>
      <c r="F32" s="1" t="s">
        <v>1716</v>
      </c>
      <c r="G32" s="1" t="s">
        <v>3068</v>
      </c>
    </row>
    <row r="33" spans="1:7" s="1" customFormat="1" ht="30">
      <c r="A33" s="1">
        <v>31</v>
      </c>
      <c r="B33" s="1" t="s">
        <v>163</v>
      </c>
      <c r="C33" s="1">
        <v>14</v>
      </c>
      <c r="D33" s="1" t="s">
        <v>161</v>
      </c>
      <c r="E33" s="1" t="s">
        <v>1033</v>
      </c>
      <c r="F33" s="1" t="s">
        <v>1717</v>
      </c>
      <c r="G33" s="1" t="s">
        <v>3069</v>
      </c>
    </row>
    <row r="34" spans="1:7" s="1" customFormat="1">
      <c r="A34" s="1">
        <v>32</v>
      </c>
      <c r="B34" s="1" t="s">
        <v>1182</v>
      </c>
      <c r="C34" s="1">
        <v>12</v>
      </c>
      <c r="D34" s="1" t="s">
        <v>189</v>
      </c>
      <c r="E34" s="1" t="s">
        <v>5576</v>
      </c>
      <c r="F34" s="1" t="s">
        <v>1688</v>
      </c>
      <c r="G34" s="1" t="s">
        <v>1689</v>
      </c>
    </row>
    <row r="35" spans="1:7" s="1" customFormat="1" ht="30">
      <c r="A35" s="1">
        <v>33</v>
      </c>
      <c r="B35" s="1" t="s">
        <v>1183</v>
      </c>
      <c r="C35" s="1">
        <v>30</v>
      </c>
      <c r="D35" s="1" t="s">
        <v>242</v>
      </c>
      <c r="E35" s="1" t="s">
        <v>5576</v>
      </c>
      <c r="F35" s="1" t="s">
        <v>1690</v>
      </c>
      <c r="G35" s="1" t="s">
        <v>1691</v>
      </c>
    </row>
    <row r="36" spans="1:7" s="1" customFormat="1"/>
    <row r="37" spans="1:7" s="1" customFormat="1"/>
    <row r="38" spans="1:7" s="1" customFormat="1"/>
    <row r="39" spans="1:7" s="1" customFormat="1"/>
    <row r="40" spans="1:7" s="1" customFormat="1"/>
    <row r="41" spans="1:7" s="1" customFormat="1"/>
    <row r="42" spans="1:7" s="1" customFormat="1"/>
    <row r="43" spans="1:7" s="1" customFormat="1"/>
    <row r="44" spans="1:7" s="1" customFormat="1"/>
    <row r="45" spans="1:7" s="1" customFormat="1"/>
    <row r="46" spans="1:7" s="1" customFormat="1"/>
    <row r="47" spans="1:7" s="1" customFormat="1"/>
    <row r="48" spans="1:7"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C86B4-45AA-4091-8B01-540A9466967E}">
  <sheetPr codeName="Sheet97"/>
  <dimension ref="A1:XFC250"/>
  <sheetViews>
    <sheetView workbookViewId="0">
      <selection activeCell="C22" sqref="C22"/>
    </sheetView>
  </sheetViews>
  <sheetFormatPr defaultColWidth="32.140625" defaultRowHeight="15"/>
  <cols>
    <col min="1" max="1" width="7.140625" style="1" bestFit="1" customWidth="1"/>
    <col min="2" max="2" width="19.42578125" style="1" bestFit="1" customWidth="1"/>
    <col min="3" max="3" width="4.5703125" style="1" bestFit="1" customWidth="1"/>
    <col min="4" max="4" width="9" style="1" bestFit="1" customWidth="1"/>
    <col min="5" max="5" width="24.42578125" style="1" bestFit="1" customWidth="1"/>
    <col min="6" max="6" width="25.5703125" style="1" bestFit="1" customWidth="1"/>
    <col min="7" max="7" width="57.7109375" style="1" customWidth="1"/>
    <col min="8" max="9" width="5.7109375" style="2" bestFit="1" customWidth="1"/>
    <col min="10" max="16382" width="32.140625" style="2"/>
    <col min="16383" max="16383" width="1.7109375" style="2" customWidth="1"/>
    <col min="16384" max="16384" width="17.7109375" style="1" customWidth="1"/>
  </cols>
  <sheetData>
    <row r="1" spans="1:9" s="1" customFormat="1">
      <c r="A1" s="3" t="s">
        <v>238</v>
      </c>
      <c r="B1" s="3"/>
      <c r="C1" s="3"/>
      <c r="D1" s="3"/>
      <c r="E1" s="3"/>
      <c r="F1" s="3"/>
      <c r="G1" s="3"/>
      <c r="H1" s="3"/>
      <c r="I1" s="3"/>
    </row>
    <row r="2" spans="1:9" s="1" customFormat="1">
      <c r="A2" s="4" t="s">
        <v>350</v>
      </c>
      <c r="B2" s="4" t="s">
        <v>156</v>
      </c>
      <c r="C2" s="4" t="s">
        <v>157</v>
      </c>
      <c r="D2" s="4" t="s">
        <v>239</v>
      </c>
      <c r="E2" s="4" t="s">
        <v>159</v>
      </c>
      <c r="F2" s="4" t="s">
        <v>1684</v>
      </c>
      <c r="G2" s="4" t="s">
        <v>1685</v>
      </c>
      <c r="H2" s="4" t="s">
        <v>5378</v>
      </c>
      <c r="I2" s="4" t="s">
        <v>5379</v>
      </c>
    </row>
    <row r="3" spans="1:9" s="1" customFormat="1">
      <c r="A3" s="1">
        <v>1</v>
      </c>
      <c r="B3" s="1" t="s">
        <v>240</v>
      </c>
      <c r="C3" s="1">
        <v>8</v>
      </c>
      <c r="D3" s="1" t="s">
        <v>160</v>
      </c>
      <c r="E3" s="1" t="s">
        <v>177</v>
      </c>
      <c r="F3" s="1" t="s">
        <v>1686</v>
      </c>
      <c r="G3" s="1" t="s">
        <v>1687</v>
      </c>
      <c r="H3" s="1" t="s">
        <v>5382</v>
      </c>
    </row>
    <row r="4" spans="1:9" s="1" customFormat="1" ht="30">
      <c r="A4" s="1">
        <v>2</v>
      </c>
      <c r="B4" s="1" t="s">
        <v>151</v>
      </c>
      <c r="C4" s="1">
        <v>7</v>
      </c>
      <c r="D4" s="1" t="s">
        <v>242</v>
      </c>
      <c r="F4" s="1" t="s">
        <v>1694</v>
      </c>
      <c r="G4" s="1" t="s">
        <v>3045</v>
      </c>
      <c r="H4" s="1" t="s">
        <v>5384</v>
      </c>
    </row>
    <row r="5" spans="1:9" s="1" customFormat="1" ht="30">
      <c r="A5" s="1">
        <v>3</v>
      </c>
      <c r="B5" s="1" t="s">
        <v>1520</v>
      </c>
      <c r="C5" s="1">
        <v>4</v>
      </c>
      <c r="D5" s="1" t="s">
        <v>242</v>
      </c>
      <c r="F5" s="1" t="s">
        <v>1864</v>
      </c>
      <c r="G5" s="1" t="s">
        <v>3046</v>
      </c>
      <c r="H5" s="1" t="s">
        <v>5385</v>
      </c>
    </row>
    <row r="6" spans="1:9" s="1" customFormat="1" ht="120">
      <c r="A6" s="1">
        <v>4</v>
      </c>
      <c r="B6" s="1" t="s">
        <v>103</v>
      </c>
      <c r="C6" s="1">
        <v>10</v>
      </c>
      <c r="D6" s="1" t="s">
        <v>242</v>
      </c>
      <c r="F6" s="1" t="s">
        <v>1865</v>
      </c>
      <c r="G6" s="1" t="s">
        <v>3047</v>
      </c>
    </row>
    <row r="7" spans="1:9" s="1" customFormat="1" ht="60">
      <c r="A7" s="1">
        <v>5</v>
      </c>
      <c r="B7" s="1" t="s">
        <v>1521</v>
      </c>
      <c r="C7" s="1">
        <v>1</v>
      </c>
      <c r="D7" s="1" t="s">
        <v>242</v>
      </c>
      <c r="F7" s="1" t="s">
        <v>1866</v>
      </c>
      <c r="G7" s="1" t="s">
        <v>3048</v>
      </c>
    </row>
    <row r="8" spans="1:9" s="1" customFormat="1">
      <c r="A8" s="1">
        <v>6</v>
      </c>
      <c r="B8" s="1" t="s">
        <v>47</v>
      </c>
      <c r="C8" s="1">
        <v>15</v>
      </c>
      <c r="D8" s="1" t="s">
        <v>242</v>
      </c>
      <c r="F8" s="1" t="s">
        <v>1867</v>
      </c>
      <c r="G8" s="1" t="s">
        <v>3051</v>
      </c>
    </row>
    <row r="9" spans="1:9" s="1" customFormat="1">
      <c r="A9" s="1">
        <v>7</v>
      </c>
      <c r="B9" s="1" t="s">
        <v>183</v>
      </c>
      <c r="C9" s="1">
        <v>15</v>
      </c>
      <c r="D9" s="1" t="s">
        <v>242</v>
      </c>
      <c r="F9" s="1" t="s">
        <v>1868</v>
      </c>
      <c r="G9" s="1" t="s">
        <v>3052</v>
      </c>
    </row>
    <row r="10" spans="1:9" s="1" customFormat="1">
      <c r="A10" s="1">
        <v>8</v>
      </c>
      <c r="B10" s="1" t="s">
        <v>184</v>
      </c>
      <c r="C10" s="1">
        <v>15</v>
      </c>
      <c r="D10" s="1" t="s">
        <v>242</v>
      </c>
      <c r="F10" s="1" t="s">
        <v>1869</v>
      </c>
      <c r="G10" s="1" t="s">
        <v>3053</v>
      </c>
    </row>
    <row r="11" spans="1:9" s="1" customFormat="1">
      <c r="A11" s="1">
        <v>9</v>
      </c>
      <c r="B11" s="1" t="s">
        <v>50</v>
      </c>
      <c r="C11" s="1">
        <v>15</v>
      </c>
      <c r="D11" s="1" t="s">
        <v>242</v>
      </c>
      <c r="F11" s="1" t="s">
        <v>1870</v>
      </c>
      <c r="G11" s="1" t="s">
        <v>3054</v>
      </c>
    </row>
    <row r="12" spans="1:9" s="1" customFormat="1" ht="30">
      <c r="A12" s="1">
        <v>10</v>
      </c>
      <c r="B12" s="1" t="s">
        <v>112</v>
      </c>
      <c r="C12" s="1">
        <v>30</v>
      </c>
      <c r="D12" s="1" t="s">
        <v>242</v>
      </c>
      <c r="F12" s="1" t="s">
        <v>1871</v>
      </c>
      <c r="G12" s="1" t="s">
        <v>3055</v>
      </c>
    </row>
    <row r="13" spans="1:9" s="1" customFormat="1">
      <c r="A13" s="1">
        <v>11</v>
      </c>
      <c r="B13" s="1" t="s">
        <v>51</v>
      </c>
      <c r="C13" s="1">
        <v>15</v>
      </c>
      <c r="D13" s="1" t="s">
        <v>242</v>
      </c>
      <c r="F13" s="1" t="s">
        <v>1872</v>
      </c>
      <c r="G13" s="1" t="s">
        <v>3056</v>
      </c>
    </row>
    <row r="14" spans="1:9" s="1" customFormat="1">
      <c r="A14" s="1">
        <v>12</v>
      </c>
      <c r="B14" s="1" t="s">
        <v>185</v>
      </c>
      <c r="C14" s="1">
        <v>15</v>
      </c>
      <c r="D14" s="1" t="s">
        <v>242</v>
      </c>
      <c r="F14" s="1" t="s">
        <v>1873</v>
      </c>
      <c r="G14" s="1" t="s">
        <v>3057</v>
      </c>
    </row>
    <row r="15" spans="1:9" s="1" customFormat="1">
      <c r="A15" s="1">
        <v>13</v>
      </c>
      <c r="B15" s="1" t="s">
        <v>186</v>
      </c>
      <c r="C15" s="1">
        <v>15</v>
      </c>
      <c r="D15" s="1" t="s">
        <v>242</v>
      </c>
      <c r="F15" s="1" t="s">
        <v>1874</v>
      </c>
      <c r="G15" s="1" t="s">
        <v>3058</v>
      </c>
    </row>
    <row r="16" spans="1:9" s="1" customFormat="1">
      <c r="A16" s="1">
        <v>14</v>
      </c>
      <c r="B16" s="1" t="s">
        <v>54</v>
      </c>
      <c r="C16" s="1">
        <v>15</v>
      </c>
      <c r="D16" s="1" t="s">
        <v>242</v>
      </c>
      <c r="F16" s="1" t="s">
        <v>1875</v>
      </c>
      <c r="G16" s="1" t="s">
        <v>3059</v>
      </c>
    </row>
    <row r="17" spans="1:7" s="1" customFormat="1">
      <c r="A17" s="1">
        <v>15</v>
      </c>
      <c r="B17" s="1" t="s">
        <v>113</v>
      </c>
      <c r="C17" s="1">
        <v>30</v>
      </c>
      <c r="D17" s="1" t="s">
        <v>242</v>
      </c>
      <c r="F17" s="1" t="s">
        <v>1876</v>
      </c>
      <c r="G17" s="1" t="s">
        <v>3060</v>
      </c>
    </row>
    <row r="18" spans="1:7" s="1" customFormat="1" ht="30">
      <c r="A18" s="1">
        <v>16</v>
      </c>
      <c r="B18" s="1" t="s">
        <v>2</v>
      </c>
      <c r="C18" s="1">
        <v>1</v>
      </c>
      <c r="D18" s="1" t="s">
        <v>242</v>
      </c>
      <c r="F18" s="1" t="s">
        <v>1696</v>
      </c>
      <c r="G18" s="1" t="s">
        <v>3061</v>
      </c>
    </row>
    <row r="19" spans="1:7" s="1" customFormat="1" ht="30">
      <c r="A19" s="1">
        <v>17</v>
      </c>
      <c r="B19" s="1" t="s">
        <v>44</v>
      </c>
      <c r="C19" s="1">
        <v>15</v>
      </c>
      <c r="D19" s="1" t="s">
        <v>242</v>
      </c>
      <c r="F19" s="1" t="s">
        <v>1697</v>
      </c>
      <c r="G19" s="1" t="s">
        <v>3062</v>
      </c>
    </row>
    <row r="20" spans="1:7" s="1" customFormat="1" ht="30">
      <c r="A20" s="1">
        <v>18</v>
      </c>
      <c r="B20" s="1" t="s">
        <v>1524</v>
      </c>
      <c r="C20" s="1">
        <v>1</v>
      </c>
      <c r="D20" s="1" t="s">
        <v>242</v>
      </c>
      <c r="F20" s="1" t="s">
        <v>1881</v>
      </c>
      <c r="G20" s="1" t="s">
        <v>3070</v>
      </c>
    </row>
    <row r="21" spans="1:7" s="1" customFormat="1" ht="30">
      <c r="A21" s="1">
        <v>19</v>
      </c>
      <c r="B21" s="1" t="s">
        <v>1525</v>
      </c>
      <c r="C21" s="1">
        <v>8</v>
      </c>
      <c r="D21" s="1" t="s">
        <v>160</v>
      </c>
      <c r="E21" s="1" t="s">
        <v>177</v>
      </c>
      <c r="F21" s="1" t="s">
        <v>1878</v>
      </c>
      <c r="G21" s="1" t="s">
        <v>3071</v>
      </c>
    </row>
    <row r="22" spans="1:7" s="1" customFormat="1" ht="30">
      <c r="A22" s="1">
        <v>20</v>
      </c>
      <c r="B22" s="1" t="s">
        <v>77</v>
      </c>
      <c r="C22" s="1">
        <v>8</v>
      </c>
      <c r="D22" s="1" t="s">
        <v>160</v>
      </c>
      <c r="E22" s="1" t="s">
        <v>177</v>
      </c>
      <c r="F22" s="1" t="s">
        <v>1751</v>
      </c>
      <c r="G22" s="1" t="s">
        <v>3072</v>
      </c>
    </row>
    <row r="23" spans="1:7" s="1" customFormat="1" ht="30">
      <c r="A23" s="1">
        <v>21</v>
      </c>
      <c r="B23" s="1" t="s">
        <v>78</v>
      </c>
      <c r="C23" s="1">
        <v>4</v>
      </c>
      <c r="D23" s="1" t="s">
        <v>242</v>
      </c>
      <c r="F23" s="1" t="s">
        <v>1707</v>
      </c>
      <c r="G23" s="1" t="s">
        <v>3041</v>
      </c>
    </row>
    <row r="24" spans="1:7" s="1" customFormat="1" ht="45">
      <c r="A24" s="1">
        <v>22</v>
      </c>
      <c r="B24" s="1" t="s">
        <v>38</v>
      </c>
      <c r="C24" s="1">
        <v>1</v>
      </c>
      <c r="D24" s="1" t="s">
        <v>242</v>
      </c>
      <c r="F24" s="1" t="s">
        <v>1880</v>
      </c>
      <c r="G24" s="1" t="s">
        <v>3073</v>
      </c>
    </row>
    <row r="25" spans="1:7" s="1" customFormat="1" ht="30">
      <c r="A25" s="1">
        <v>23</v>
      </c>
      <c r="B25" s="1" t="s">
        <v>168</v>
      </c>
      <c r="C25" s="1">
        <v>10</v>
      </c>
      <c r="D25" s="1" t="s">
        <v>242</v>
      </c>
      <c r="F25" s="1" t="s">
        <v>1758</v>
      </c>
      <c r="G25" s="1" t="s">
        <v>3074</v>
      </c>
    </row>
    <row r="26" spans="1:7" s="1" customFormat="1" ht="30">
      <c r="A26" s="1">
        <v>24</v>
      </c>
      <c r="B26" s="1" t="s">
        <v>169</v>
      </c>
      <c r="C26" s="1">
        <v>14</v>
      </c>
      <c r="D26" s="1" t="s">
        <v>161</v>
      </c>
      <c r="E26" s="1" t="s">
        <v>1033</v>
      </c>
      <c r="F26" s="1" t="s">
        <v>1882</v>
      </c>
      <c r="G26" s="1" t="s">
        <v>3075</v>
      </c>
    </row>
    <row r="27" spans="1:7" s="1" customFormat="1" ht="30">
      <c r="A27" s="1">
        <v>25</v>
      </c>
      <c r="B27" s="1" t="s">
        <v>105</v>
      </c>
      <c r="C27" s="1">
        <v>10</v>
      </c>
      <c r="D27" s="1" t="s">
        <v>242</v>
      </c>
      <c r="F27" s="1" t="s">
        <v>1716</v>
      </c>
      <c r="G27" s="1" t="s">
        <v>3076</v>
      </c>
    </row>
    <row r="28" spans="1:7" s="1" customFormat="1" ht="30">
      <c r="A28" s="1">
        <v>24</v>
      </c>
      <c r="B28" s="1" t="s">
        <v>163</v>
      </c>
      <c r="C28" s="1">
        <v>14</v>
      </c>
      <c r="D28" s="1" t="s">
        <v>161</v>
      </c>
      <c r="E28" s="1" t="s">
        <v>1033</v>
      </c>
      <c r="F28" s="1" t="s">
        <v>1717</v>
      </c>
      <c r="G28" s="1" t="s">
        <v>3069</v>
      </c>
    </row>
    <row r="29" spans="1:7" s="1" customFormat="1">
      <c r="A29" s="1">
        <v>26</v>
      </c>
      <c r="B29" s="1" t="s">
        <v>1182</v>
      </c>
      <c r="C29" s="1">
        <v>12</v>
      </c>
      <c r="D29" s="1" t="s">
        <v>189</v>
      </c>
      <c r="E29" s="1" t="s">
        <v>5576</v>
      </c>
      <c r="F29" s="1" t="s">
        <v>1688</v>
      </c>
      <c r="G29" s="1" t="s">
        <v>1689</v>
      </c>
    </row>
    <row r="30" spans="1:7" s="1" customFormat="1" ht="30">
      <c r="A30" s="1">
        <v>27</v>
      </c>
      <c r="B30" s="1" t="s">
        <v>1183</v>
      </c>
      <c r="C30" s="1">
        <v>30</v>
      </c>
      <c r="D30" s="1" t="s">
        <v>242</v>
      </c>
      <c r="E30" s="1" t="s">
        <v>5576</v>
      </c>
      <c r="F30" s="1" t="s">
        <v>1690</v>
      </c>
      <c r="G30" s="1" t="s">
        <v>1691</v>
      </c>
    </row>
    <row r="31" spans="1:7" s="1" customFormat="1"/>
    <row r="32" spans="1:7"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6E1B8-CEDB-4539-9F0A-9F935D222ECD}">
  <sheetPr codeName="Sheet62"/>
  <dimension ref="A1:XFC249"/>
  <sheetViews>
    <sheetView topLeftCell="C1"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5.7109375" style="2" bestFit="1" customWidth="1"/>
    <col min="9" max="16382" width="32.140625" style="2"/>
    <col min="16383" max="16383" width="1.7109375" style="2" customWidth="1"/>
    <col min="16384" max="16384" width="17.7109375" style="1" customWidth="1"/>
  </cols>
  <sheetData>
    <row r="1" spans="1:8" s="1" customFormat="1">
      <c r="A1" s="3" t="s">
        <v>238</v>
      </c>
      <c r="B1" s="3"/>
      <c r="C1" s="3"/>
      <c r="D1" s="3"/>
      <c r="E1" s="3"/>
      <c r="F1" s="3"/>
      <c r="G1" s="3"/>
      <c r="H1" s="3"/>
    </row>
    <row r="2" spans="1:8" s="1" customFormat="1">
      <c r="A2" s="10" t="s">
        <v>350</v>
      </c>
      <c r="B2" s="10" t="s">
        <v>156</v>
      </c>
      <c r="C2" s="10" t="s">
        <v>157</v>
      </c>
      <c r="D2" s="10" t="s">
        <v>239</v>
      </c>
      <c r="E2" s="10" t="s">
        <v>159</v>
      </c>
      <c r="F2" s="10" t="s">
        <v>1684</v>
      </c>
      <c r="G2" s="10" t="s">
        <v>1685</v>
      </c>
      <c r="H2" s="10" t="s">
        <v>5365</v>
      </c>
    </row>
    <row r="3" spans="1:8" s="1" customFormat="1">
      <c r="A3" s="11">
        <v>1</v>
      </c>
      <c r="B3" s="11" t="s">
        <v>240</v>
      </c>
      <c r="C3" s="11">
        <v>8</v>
      </c>
      <c r="D3" s="11" t="s">
        <v>160</v>
      </c>
      <c r="E3" s="11" t="s">
        <v>177</v>
      </c>
      <c r="F3" s="11" t="s">
        <v>1686</v>
      </c>
      <c r="G3" s="11" t="s">
        <v>1687</v>
      </c>
      <c r="H3" s="11" t="s">
        <v>5382</v>
      </c>
    </row>
    <row r="4" spans="1:8" s="1" customFormat="1">
      <c r="A4" s="11">
        <v>2</v>
      </c>
      <c r="B4" s="11" t="s">
        <v>78</v>
      </c>
      <c r="C4" s="11">
        <v>4</v>
      </c>
      <c r="D4" s="11" t="s">
        <v>242</v>
      </c>
      <c r="E4" s="11"/>
      <c r="F4" s="11" t="s">
        <v>1707</v>
      </c>
      <c r="G4" s="11" t="s">
        <v>3077</v>
      </c>
      <c r="H4" s="11" t="s">
        <v>5384</v>
      </c>
    </row>
    <row r="5" spans="1:8" s="1" customFormat="1">
      <c r="A5" s="11">
        <v>3</v>
      </c>
      <c r="B5" s="11" t="s">
        <v>749</v>
      </c>
      <c r="C5" s="11">
        <v>30</v>
      </c>
      <c r="D5" s="11" t="s">
        <v>242</v>
      </c>
      <c r="E5" s="11"/>
      <c r="F5" s="11" t="s">
        <v>1884</v>
      </c>
      <c r="G5" s="11" t="s">
        <v>5580</v>
      </c>
      <c r="H5" s="11"/>
    </row>
    <row r="6" spans="1:8" s="1" customFormat="1">
      <c r="A6" s="11">
        <v>4</v>
      </c>
      <c r="B6" s="11" t="s">
        <v>748</v>
      </c>
      <c r="C6" s="11">
        <v>30</v>
      </c>
      <c r="D6" s="11" t="s">
        <v>242</v>
      </c>
      <c r="E6" s="11"/>
      <c r="F6" s="11" t="s">
        <v>1885</v>
      </c>
      <c r="G6" s="11" t="s">
        <v>5581</v>
      </c>
      <c r="H6" s="11"/>
    </row>
    <row r="7" spans="1:8" s="1" customFormat="1">
      <c r="A7" s="11">
        <v>5</v>
      </c>
      <c r="B7" s="11" t="s">
        <v>1324</v>
      </c>
      <c r="C7" s="11">
        <v>30</v>
      </c>
      <c r="D7" s="11" t="s">
        <v>242</v>
      </c>
      <c r="E7" s="11"/>
      <c r="F7" s="11" t="s">
        <v>1886</v>
      </c>
      <c r="G7" s="11" t="s">
        <v>3078</v>
      </c>
      <c r="H7" s="11"/>
    </row>
    <row r="8" spans="1:8" s="1" customFormat="1" ht="30">
      <c r="A8" s="11">
        <v>6</v>
      </c>
      <c r="B8" s="11" t="s">
        <v>1325</v>
      </c>
      <c r="C8" s="11">
        <v>30</v>
      </c>
      <c r="D8" s="11" t="s">
        <v>242</v>
      </c>
      <c r="E8" s="11"/>
      <c r="F8" s="11" t="s">
        <v>1887</v>
      </c>
      <c r="G8" s="11" t="s">
        <v>3079</v>
      </c>
      <c r="H8" s="11"/>
    </row>
    <row r="9" spans="1:8" s="1" customFormat="1" ht="30">
      <c r="A9" s="11">
        <v>7</v>
      </c>
      <c r="B9" s="11" t="s">
        <v>1326</v>
      </c>
      <c r="C9" s="11">
        <v>4</v>
      </c>
      <c r="D9" s="11" t="s">
        <v>242</v>
      </c>
      <c r="E9" s="11"/>
      <c r="F9" s="11" t="s">
        <v>1888</v>
      </c>
      <c r="G9" s="11" t="s">
        <v>3080</v>
      </c>
      <c r="H9" s="11"/>
    </row>
    <row r="10" spans="1:8" s="1" customFormat="1">
      <c r="A10" s="11">
        <v>8</v>
      </c>
      <c r="B10" s="11" t="s">
        <v>91</v>
      </c>
      <c r="C10" s="11">
        <v>10</v>
      </c>
      <c r="D10" s="11" t="s">
        <v>242</v>
      </c>
      <c r="E10" s="11"/>
      <c r="F10" s="11" t="s">
        <v>1735</v>
      </c>
      <c r="G10" s="11" t="s">
        <v>3081</v>
      </c>
      <c r="H10" s="11"/>
    </row>
    <row r="11" spans="1:8" s="1" customFormat="1" ht="30">
      <c r="A11" s="11">
        <v>9</v>
      </c>
      <c r="B11" s="11" t="s">
        <v>92</v>
      </c>
      <c r="C11" s="11">
        <v>10</v>
      </c>
      <c r="D11" s="11" t="s">
        <v>242</v>
      </c>
      <c r="E11" s="11"/>
      <c r="F11" s="11" t="s">
        <v>1737</v>
      </c>
      <c r="G11" s="11" t="s">
        <v>3082</v>
      </c>
      <c r="H11" s="11"/>
    </row>
    <row r="12" spans="1:8" s="1" customFormat="1" ht="30">
      <c r="A12" s="11">
        <v>10</v>
      </c>
      <c r="B12" s="11" t="s">
        <v>1292</v>
      </c>
      <c r="C12" s="11">
        <v>1</v>
      </c>
      <c r="D12" s="11" t="s">
        <v>242</v>
      </c>
      <c r="E12" s="11"/>
      <c r="F12" s="11" t="s">
        <v>1889</v>
      </c>
      <c r="G12" s="11" t="s">
        <v>3083</v>
      </c>
      <c r="H12" s="11"/>
    </row>
    <row r="13" spans="1:8" s="1" customFormat="1" ht="30">
      <c r="A13" s="11">
        <v>11</v>
      </c>
      <c r="B13" s="11" t="s">
        <v>1327</v>
      </c>
      <c r="C13" s="11">
        <v>14</v>
      </c>
      <c r="D13" s="11" t="s">
        <v>242</v>
      </c>
      <c r="E13" s="11"/>
      <c r="F13" s="11" t="s">
        <v>1890</v>
      </c>
      <c r="G13" s="11" t="s">
        <v>3084</v>
      </c>
      <c r="H13" s="11"/>
    </row>
    <row r="14" spans="1:8" s="1" customFormat="1" ht="30">
      <c r="A14" s="11">
        <v>12</v>
      </c>
      <c r="B14" s="11" t="s">
        <v>1328</v>
      </c>
      <c r="C14" s="11">
        <v>2</v>
      </c>
      <c r="D14" s="11" t="s">
        <v>242</v>
      </c>
      <c r="E14" s="11"/>
      <c r="F14" s="11" t="s">
        <v>1891</v>
      </c>
      <c r="G14" s="11" t="s">
        <v>3085</v>
      </c>
      <c r="H14" s="11"/>
    </row>
    <row r="15" spans="1:8" s="1" customFormat="1" ht="30">
      <c r="A15" s="11">
        <v>13</v>
      </c>
      <c r="B15" s="11" t="s">
        <v>1329</v>
      </c>
      <c r="C15" s="11">
        <v>7</v>
      </c>
      <c r="D15" s="11" t="s">
        <v>242</v>
      </c>
      <c r="E15" s="11"/>
      <c r="F15" s="11" t="s">
        <v>1892</v>
      </c>
      <c r="G15" s="11" t="s">
        <v>3086</v>
      </c>
      <c r="H15" s="11"/>
    </row>
    <row r="16" spans="1:8" s="1" customFormat="1" ht="30">
      <c r="A16" s="11">
        <v>14</v>
      </c>
      <c r="B16" s="11" t="s">
        <v>1330</v>
      </c>
      <c r="C16" s="11">
        <v>4</v>
      </c>
      <c r="D16" s="11" t="s">
        <v>242</v>
      </c>
      <c r="E16" s="11"/>
      <c r="F16" s="11" t="s">
        <v>1893</v>
      </c>
      <c r="G16" s="11" t="s">
        <v>3087</v>
      </c>
      <c r="H16" s="11"/>
    </row>
    <row r="17" spans="1:8" s="1" customFormat="1" ht="75">
      <c r="A17" s="11">
        <v>15</v>
      </c>
      <c r="B17" s="11" t="s">
        <v>1293</v>
      </c>
      <c r="C17" s="11">
        <v>1</v>
      </c>
      <c r="D17" s="11" t="s">
        <v>242</v>
      </c>
      <c r="E17" s="11"/>
      <c r="F17" s="11" t="s">
        <v>1894</v>
      </c>
      <c r="G17" s="11" t="s">
        <v>3088</v>
      </c>
      <c r="H17" s="11"/>
    </row>
    <row r="18" spans="1:8" s="1" customFormat="1" ht="30">
      <c r="A18" s="11">
        <v>16</v>
      </c>
      <c r="B18" s="11" t="s">
        <v>1331</v>
      </c>
      <c r="C18" s="11">
        <v>4</v>
      </c>
      <c r="D18" s="11" t="s">
        <v>242</v>
      </c>
      <c r="E18" s="11"/>
      <c r="F18" s="11" t="s">
        <v>1895</v>
      </c>
      <c r="G18" s="11" t="s">
        <v>3089</v>
      </c>
      <c r="H18" s="11"/>
    </row>
    <row r="19" spans="1:8" s="1" customFormat="1" ht="30">
      <c r="A19" s="11">
        <v>17</v>
      </c>
      <c r="B19" s="11" t="s">
        <v>1294</v>
      </c>
      <c r="C19" s="11">
        <v>1</v>
      </c>
      <c r="D19" s="11" t="s">
        <v>242</v>
      </c>
      <c r="E19" s="11"/>
      <c r="F19" s="11" t="s">
        <v>1896</v>
      </c>
      <c r="G19" s="11" t="s">
        <v>3090</v>
      </c>
      <c r="H19" s="11"/>
    </row>
    <row r="20" spans="1:8" s="1" customFormat="1" ht="90">
      <c r="A20" s="11">
        <v>18</v>
      </c>
      <c r="B20" s="11" t="s">
        <v>1295</v>
      </c>
      <c r="C20" s="11">
        <v>1</v>
      </c>
      <c r="D20" s="11" t="s">
        <v>242</v>
      </c>
      <c r="E20" s="11"/>
      <c r="F20" s="11" t="s">
        <v>1897</v>
      </c>
      <c r="G20" s="11" t="s">
        <v>3091</v>
      </c>
      <c r="H20" s="11"/>
    </row>
    <row r="21" spans="1:8" s="1" customFormat="1" ht="90">
      <c r="A21" s="11">
        <v>19</v>
      </c>
      <c r="B21" s="11" t="s">
        <v>1296</v>
      </c>
      <c r="C21" s="11">
        <v>1</v>
      </c>
      <c r="D21" s="11" t="s">
        <v>242</v>
      </c>
      <c r="E21" s="11"/>
      <c r="F21" s="11" t="s">
        <v>1898</v>
      </c>
      <c r="G21" s="11" t="s">
        <v>3092</v>
      </c>
      <c r="H21" s="11"/>
    </row>
    <row r="22" spans="1:8" s="1" customFormat="1" ht="90">
      <c r="A22" s="11">
        <v>20</v>
      </c>
      <c r="B22" s="11" t="s">
        <v>1297</v>
      </c>
      <c r="C22" s="11">
        <v>1</v>
      </c>
      <c r="D22" s="11" t="s">
        <v>242</v>
      </c>
      <c r="E22" s="11"/>
      <c r="F22" s="11" t="s">
        <v>1899</v>
      </c>
      <c r="G22" s="11" t="s">
        <v>3093</v>
      </c>
      <c r="H22" s="11"/>
    </row>
    <row r="23" spans="1:8" s="1" customFormat="1" ht="90">
      <c r="A23" s="11">
        <v>21</v>
      </c>
      <c r="B23" s="11" t="s">
        <v>1298</v>
      </c>
      <c r="C23" s="11">
        <v>1</v>
      </c>
      <c r="D23" s="11" t="s">
        <v>242</v>
      </c>
      <c r="E23" s="11"/>
      <c r="F23" s="11" t="s">
        <v>1900</v>
      </c>
      <c r="G23" s="11" t="s">
        <v>3094</v>
      </c>
      <c r="H23" s="11"/>
    </row>
    <row r="24" spans="1:8" s="1" customFormat="1" ht="90">
      <c r="A24" s="11">
        <v>22</v>
      </c>
      <c r="B24" s="11" t="s">
        <v>1299</v>
      </c>
      <c r="C24" s="11">
        <v>1</v>
      </c>
      <c r="D24" s="11" t="s">
        <v>242</v>
      </c>
      <c r="E24" s="11"/>
      <c r="F24" s="11" t="s">
        <v>1901</v>
      </c>
      <c r="G24" s="11" t="s">
        <v>3095</v>
      </c>
      <c r="H24" s="11"/>
    </row>
    <row r="25" spans="1:8" s="1" customFormat="1" ht="90">
      <c r="A25" s="11">
        <v>23</v>
      </c>
      <c r="B25" s="11" t="s">
        <v>1300</v>
      </c>
      <c r="C25" s="11">
        <v>1</v>
      </c>
      <c r="D25" s="11" t="s">
        <v>242</v>
      </c>
      <c r="E25" s="11"/>
      <c r="F25" s="11" t="s">
        <v>1902</v>
      </c>
      <c r="G25" s="11" t="s">
        <v>3096</v>
      </c>
      <c r="H25" s="11"/>
    </row>
    <row r="26" spans="1:8" s="1" customFormat="1" ht="90">
      <c r="A26" s="11">
        <v>24</v>
      </c>
      <c r="B26" s="11" t="s">
        <v>1301</v>
      </c>
      <c r="C26" s="11">
        <v>1</v>
      </c>
      <c r="D26" s="11" t="s">
        <v>242</v>
      </c>
      <c r="E26" s="11"/>
      <c r="F26" s="11" t="s">
        <v>1903</v>
      </c>
      <c r="G26" s="11" t="s">
        <v>3097</v>
      </c>
      <c r="H26" s="11"/>
    </row>
    <row r="27" spans="1:8" s="1" customFormat="1" ht="90">
      <c r="A27" s="11">
        <v>25</v>
      </c>
      <c r="B27" s="11" t="s">
        <v>1302</v>
      </c>
      <c r="C27" s="11">
        <v>1</v>
      </c>
      <c r="D27" s="11" t="s">
        <v>242</v>
      </c>
      <c r="E27" s="11"/>
      <c r="F27" s="11" t="s">
        <v>1904</v>
      </c>
      <c r="G27" s="11" t="s">
        <v>3098</v>
      </c>
      <c r="H27" s="11"/>
    </row>
    <row r="28" spans="1:8" s="1" customFormat="1" ht="90">
      <c r="A28" s="11">
        <v>26</v>
      </c>
      <c r="B28" s="11" t="s">
        <v>1303</v>
      </c>
      <c r="C28" s="11">
        <v>1</v>
      </c>
      <c r="D28" s="11" t="s">
        <v>242</v>
      </c>
      <c r="E28" s="11"/>
      <c r="F28" s="11" t="s">
        <v>1905</v>
      </c>
      <c r="G28" s="11" t="s">
        <v>3099</v>
      </c>
      <c r="H28" s="11"/>
    </row>
    <row r="29" spans="1:8" s="1" customFormat="1" ht="90">
      <c r="A29" s="11">
        <v>27</v>
      </c>
      <c r="B29" s="11" t="s">
        <v>1304</v>
      </c>
      <c r="C29" s="11">
        <v>1</v>
      </c>
      <c r="D29" s="11" t="s">
        <v>242</v>
      </c>
      <c r="E29" s="11"/>
      <c r="F29" s="11" t="s">
        <v>1906</v>
      </c>
      <c r="G29" s="11" t="s">
        <v>3100</v>
      </c>
      <c r="H29" s="11"/>
    </row>
    <row r="30" spans="1:8" s="1" customFormat="1" ht="90">
      <c r="A30" s="11">
        <v>28</v>
      </c>
      <c r="B30" s="11" t="s">
        <v>1305</v>
      </c>
      <c r="C30" s="11">
        <v>1</v>
      </c>
      <c r="D30" s="11" t="s">
        <v>242</v>
      </c>
      <c r="E30" s="11"/>
      <c r="F30" s="11" t="s">
        <v>1907</v>
      </c>
      <c r="G30" s="11" t="s">
        <v>3101</v>
      </c>
      <c r="H30" s="11"/>
    </row>
    <row r="31" spans="1:8" s="1" customFormat="1" ht="90">
      <c r="A31" s="11">
        <v>29</v>
      </c>
      <c r="B31" s="11" t="s">
        <v>1306</v>
      </c>
      <c r="C31" s="11">
        <v>1</v>
      </c>
      <c r="D31" s="11" t="s">
        <v>242</v>
      </c>
      <c r="E31" s="11"/>
      <c r="F31" s="11" t="s">
        <v>1908</v>
      </c>
      <c r="G31" s="11" t="s">
        <v>3102</v>
      </c>
      <c r="H31" s="11"/>
    </row>
    <row r="32" spans="1:8" s="1" customFormat="1" ht="90">
      <c r="A32" s="11">
        <v>30</v>
      </c>
      <c r="B32" s="11" t="s">
        <v>1307</v>
      </c>
      <c r="C32" s="11">
        <v>1</v>
      </c>
      <c r="D32" s="11" t="s">
        <v>242</v>
      </c>
      <c r="E32" s="11"/>
      <c r="F32" s="11" t="s">
        <v>1909</v>
      </c>
      <c r="G32" s="11" t="s">
        <v>3103</v>
      </c>
      <c r="H32" s="11"/>
    </row>
    <row r="33" spans="1:8" s="1" customFormat="1" ht="90">
      <c r="A33" s="11">
        <v>31</v>
      </c>
      <c r="B33" s="11" t="s">
        <v>1308</v>
      </c>
      <c r="C33" s="11">
        <v>1</v>
      </c>
      <c r="D33" s="11" t="s">
        <v>242</v>
      </c>
      <c r="E33" s="11"/>
      <c r="F33" s="11" t="s">
        <v>1910</v>
      </c>
      <c r="G33" s="11" t="s">
        <v>3104</v>
      </c>
      <c r="H33" s="11"/>
    </row>
    <row r="34" spans="1:8" s="1" customFormat="1" ht="90">
      <c r="A34" s="11">
        <v>32</v>
      </c>
      <c r="B34" s="11" t="s">
        <v>1309</v>
      </c>
      <c r="C34" s="11">
        <v>1</v>
      </c>
      <c r="D34" s="11" t="s">
        <v>242</v>
      </c>
      <c r="E34" s="11"/>
      <c r="F34" s="11" t="s">
        <v>1911</v>
      </c>
      <c r="G34" s="11" t="s">
        <v>3105</v>
      </c>
      <c r="H34" s="11"/>
    </row>
    <row r="35" spans="1:8" s="1" customFormat="1" ht="90">
      <c r="A35" s="11">
        <v>33</v>
      </c>
      <c r="B35" s="11" t="s">
        <v>1310</v>
      </c>
      <c r="C35" s="11">
        <v>1</v>
      </c>
      <c r="D35" s="11" t="s">
        <v>242</v>
      </c>
      <c r="E35" s="11"/>
      <c r="F35" s="11" t="s">
        <v>1912</v>
      </c>
      <c r="G35" s="11" t="s">
        <v>3106</v>
      </c>
      <c r="H35" s="11"/>
    </row>
    <row r="36" spans="1:8" s="1" customFormat="1" ht="90">
      <c r="A36" s="11">
        <v>34</v>
      </c>
      <c r="B36" s="11" t="s">
        <v>1311</v>
      </c>
      <c r="C36" s="11">
        <v>1</v>
      </c>
      <c r="D36" s="11" t="s">
        <v>242</v>
      </c>
      <c r="E36" s="11"/>
      <c r="F36" s="11" t="s">
        <v>1913</v>
      </c>
      <c r="G36" s="11" t="s">
        <v>3107</v>
      </c>
      <c r="H36" s="11"/>
    </row>
    <row r="37" spans="1:8" s="1" customFormat="1" ht="90">
      <c r="A37" s="11">
        <v>35</v>
      </c>
      <c r="B37" s="11" t="s">
        <v>1312</v>
      </c>
      <c r="C37" s="11">
        <v>1</v>
      </c>
      <c r="D37" s="11" t="s">
        <v>242</v>
      </c>
      <c r="E37" s="11"/>
      <c r="F37" s="11" t="s">
        <v>1914</v>
      </c>
      <c r="G37" s="11" t="s">
        <v>3108</v>
      </c>
      <c r="H37" s="11"/>
    </row>
    <row r="38" spans="1:8" s="1" customFormat="1" ht="90">
      <c r="A38" s="11">
        <v>36</v>
      </c>
      <c r="B38" s="11" t="s">
        <v>1313</v>
      </c>
      <c r="C38" s="11">
        <v>1</v>
      </c>
      <c r="D38" s="11" t="s">
        <v>242</v>
      </c>
      <c r="E38" s="11"/>
      <c r="F38" s="11" t="s">
        <v>1915</v>
      </c>
      <c r="G38" s="11" t="s">
        <v>3109</v>
      </c>
      <c r="H38" s="11"/>
    </row>
    <row r="39" spans="1:8" s="1" customFormat="1" ht="90">
      <c r="A39" s="11">
        <v>37</v>
      </c>
      <c r="B39" s="11" t="s">
        <v>1314</v>
      </c>
      <c r="C39" s="11">
        <v>1</v>
      </c>
      <c r="D39" s="11" t="s">
        <v>242</v>
      </c>
      <c r="E39" s="11"/>
      <c r="F39" s="11" t="s">
        <v>1916</v>
      </c>
      <c r="G39" s="11" t="s">
        <v>3110</v>
      </c>
      <c r="H39" s="11"/>
    </row>
    <row r="40" spans="1:8" s="1" customFormat="1" ht="105">
      <c r="A40" s="11">
        <v>38</v>
      </c>
      <c r="B40" s="11" t="s">
        <v>618</v>
      </c>
      <c r="C40" s="11">
        <v>1</v>
      </c>
      <c r="D40" s="11" t="s">
        <v>242</v>
      </c>
      <c r="E40" s="11"/>
      <c r="F40" s="11" t="s">
        <v>1768</v>
      </c>
      <c r="G40" s="11" t="s">
        <v>3111</v>
      </c>
      <c r="H40" s="11"/>
    </row>
    <row r="41" spans="1:8" s="1" customFormat="1" ht="90">
      <c r="A41" s="11">
        <v>39</v>
      </c>
      <c r="B41" s="11" t="s">
        <v>619</v>
      </c>
      <c r="C41" s="11">
        <v>1</v>
      </c>
      <c r="D41" s="11" t="s">
        <v>242</v>
      </c>
      <c r="E41" s="11"/>
      <c r="F41" s="11" t="s">
        <v>1917</v>
      </c>
      <c r="G41" s="11" t="s">
        <v>3112</v>
      </c>
      <c r="H41" s="11"/>
    </row>
    <row r="42" spans="1:8" s="1" customFormat="1" ht="90">
      <c r="A42" s="11">
        <v>40</v>
      </c>
      <c r="B42" s="11" t="s">
        <v>620</v>
      </c>
      <c r="C42" s="11">
        <v>1</v>
      </c>
      <c r="D42" s="11" t="s">
        <v>242</v>
      </c>
      <c r="E42" s="11"/>
      <c r="F42" s="11" t="s">
        <v>1918</v>
      </c>
      <c r="G42" s="11" t="s">
        <v>3113</v>
      </c>
      <c r="H42" s="11"/>
    </row>
    <row r="43" spans="1:8" s="1" customFormat="1" ht="90">
      <c r="A43" s="11">
        <v>41</v>
      </c>
      <c r="B43" s="11" t="s">
        <v>1315</v>
      </c>
      <c r="C43" s="11">
        <v>1</v>
      </c>
      <c r="D43" s="11" t="s">
        <v>242</v>
      </c>
      <c r="E43" s="11"/>
      <c r="F43" s="11" t="s">
        <v>1919</v>
      </c>
      <c r="G43" s="11" t="s">
        <v>3114</v>
      </c>
      <c r="H43" s="11"/>
    </row>
    <row r="44" spans="1:8" s="1" customFormat="1" ht="90">
      <c r="A44" s="11">
        <v>42</v>
      </c>
      <c r="B44" s="11" t="s">
        <v>1316</v>
      </c>
      <c r="C44" s="11">
        <v>1</v>
      </c>
      <c r="D44" s="11" t="s">
        <v>242</v>
      </c>
      <c r="E44" s="11"/>
      <c r="F44" s="11" t="s">
        <v>1920</v>
      </c>
      <c r="G44" s="11" t="s">
        <v>3115</v>
      </c>
      <c r="H44" s="11"/>
    </row>
    <row r="45" spans="1:8" s="1" customFormat="1" ht="90">
      <c r="A45" s="11">
        <v>43</v>
      </c>
      <c r="B45" s="11" t="s">
        <v>1317</v>
      </c>
      <c r="C45" s="11">
        <v>1</v>
      </c>
      <c r="D45" s="11" t="s">
        <v>242</v>
      </c>
      <c r="E45" s="11"/>
      <c r="F45" s="11" t="s">
        <v>1921</v>
      </c>
      <c r="G45" s="11" t="s">
        <v>3116</v>
      </c>
      <c r="H45" s="11"/>
    </row>
    <row r="46" spans="1:8" s="1" customFormat="1" ht="90">
      <c r="A46" s="11">
        <v>44</v>
      </c>
      <c r="B46" s="11" t="s">
        <v>1318</v>
      </c>
      <c r="C46" s="11">
        <v>1</v>
      </c>
      <c r="D46" s="11" t="s">
        <v>242</v>
      </c>
      <c r="E46" s="11"/>
      <c r="F46" s="11" t="s">
        <v>1922</v>
      </c>
      <c r="G46" s="11" t="s">
        <v>3117</v>
      </c>
      <c r="H46" s="11"/>
    </row>
    <row r="47" spans="1:8" s="1" customFormat="1" ht="90">
      <c r="A47" s="11">
        <v>45</v>
      </c>
      <c r="B47" s="11" t="s">
        <v>1319</v>
      </c>
      <c r="C47" s="11">
        <v>1</v>
      </c>
      <c r="D47" s="11" t="s">
        <v>242</v>
      </c>
      <c r="E47" s="11"/>
      <c r="F47" s="11" t="s">
        <v>1923</v>
      </c>
      <c r="G47" s="11" t="s">
        <v>3118</v>
      </c>
      <c r="H47" s="11"/>
    </row>
    <row r="48" spans="1:8" s="1" customFormat="1" ht="90">
      <c r="A48" s="11">
        <v>46</v>
      </c>
      <c r="B48" s="11" t="s">
        <v>1320</v>
      </c>
      <c r="C48" s="11">
        <v>1</v>
      </c>
      <c r="D48" s="11" t="s">
        <v>242</v>
      </c>
      <c r="E48" s="11"/>
      <c r="F48" s="11" t="s">
        <v>1924</v>
      </c>
      <c r="G48" s="11" t="s">
        <v>3119</v>
      </c>
      <c r="H48" s="11"/>
    </row>
    <row r="49" spans="1:8" s="1" customFormat="1" ht="90">
      <c r="A49" s="11">
        <v>47</v>
      </c>
      <c r="B49" s="11" t="s">
        <v>1321</v>
      </c>
      <c r="C49" s="11">
        <v>1</v>
      </c>
      <c r="D49" s="11" t="s">
        <v>242</v>
      </c>
      <c r="E49" s="11"/>
      <c r="F49" s="11" t="s">
        <v>1925</v>
      </c>
      <c r="G49" s="11" t="s">
        <v>3120</v>
      </c>
      <c r="H49" s="11"/>
    </row>
    <row r="50" spans="1:8" s="1" customFormat="1" ht="90">
      <c r="A50" s="11">
        <v>48</v>
      </c>
      <c r="B50" s="11" t="s">
        <v>1322</v>
      </c>
      <c r="C50" s="11">
        <v>1</v>
      </c>
      <c r="D50" s="11" t="s">
        <v>242</v>
      </c>
      <c r="E50" s="11"/>
      <c r="F50" s="11" t="s">
        <v>1926</v>
      </c>
      <c r="G50" s="11" t="s">
        <v>3121</v>
      </c>
      <c r="H50" s="11"/>
    </row>
    <row r="51" spans="1:8" s="1" customFormat="1" ht="30">
      <c r="A51" s="11">
        <v>49</v>
      </c>
      <c r="B51" s="11" t="s">
        <v>1332</v>
      </c>
      <c r="C51" s="11">
        <v>3</v>
      </c>
      <c r="D51" s="11" t="s">
        <v>242</v>
      </c>
      <c r="E51" s="11"/>
      <c r="F51" s="11" t="s">
        <v>1927</v>
      </c>
      <c r="G51" s="11" t="s">
        <v>3122</v>
      </c>
      <c r="H51" s="11"/>
    </row>
    <row r="52" spans="1:8" s="1" customFormat="1" ht="90">
      <c r="A52" s="11">
        <v>50</v>
      </c>
      <c r="B52" s="11" t="s">
        <v>1323</v>
      </c>
      <c r="C52" s="11">
        <v>1</v>
      </c>
      <c r="D52" s="11" t="s">
        <v>242</v>
      </c>
      <c r="E52" s="11"/>
      <c r="F52" s="11" t="s">
        <v>1928</v>
      </c>
      <c r="G52" s="11" t="s">
        <v>3123</v>
      </c>
      <c r="H52" s="11"/>
    </row>
    <row r="53" spans="1:8" s="1" customFormat="1" ht="30">
      <c r="A53" s="11">
        <v>51</v>
      </c>
      <c r="B53" s="11" t="s">
        <v>105</v>
      </c>
      <c r="C53" s="11">
        <v>10</v>
      </c>
      <c r="D53" s="11" t="s">
        <v>242</v>
      </c>
      <c r="E53" s="11"/>
      <c r="F53" s="11" t="s">
        <v>1716</v>
      </c>
      <c r="G53" s="11" t="s">
        <v>3124</v>
      </c>
      <c r="H53" s="11"/>
    </row>
    <row r="54" spans="1:8" s="1" customFormat="1" ht="30">
      <c r="A54" s="11">
        <v>52</v>
      </c>
      <c r="B54" s="11" t="s">
        <v>163</v>
      </c>
      <c r="C54" s="11">
        <v>14</v>
      </c>
      <c r="D54" s="11" t="s">
        <v>1032</v>
      </c>
      <c r="E54" s="11" t="s">
        <v>1033</v>
      </c>
      <c r="F54" s="11" t="s">
        <v>1717</v>
      </c>
      <c r="G54" s="11" t="s">
        <v>3069</v>
      </c>
      <c r="H54" s="11"/>
    </row>
    <row r="55" spans="1:8" s="1" customFormat="1">
      <c r="A55" s="11">
        <v>53</v>
      </c>
      <c r="B55" s="11" t="s">
        <v>1182</v>
      </c>
      <c r="C55" s="11">
        <v>12</v>
      </c>
      <c r="D55" s="11" t="s">
        <v>189</v>
      </c>
      <c r="E55" s="11" t="s">
        <v>5576</v>
      </c>
      <c r="F55" s="11" t="s">
        <v>1688</v>
      </c>
      <c r="G55" s="11" t="s">
        <v>1689</v>
      </c>
      <c r="H55" s="11"/>
    </row>
    <row r="56" spans="1:8" s="1" customFormat="1" ht="30">
      <c r="A56" s="11">
        <v>54</v>
      </c>
      <c r="B56" s="11" t="s">
        <v>1183</v>
      </c>
      <c r="C56" s="11">
        <v>30</v>
      </c>
      <c r="D56" s="11" t="s">
        <v>242</v>
      </c>
      <c r="E56" s="11" t="s">
        <v>5576</v>
      </c>
      <c r="F56" s="11" t="s">
        <v>1690</v>
      </c>
      <c r="G56" s="11" t="s">
        <v>1691</v>
      </c>
      <c r="H56" s="11"/>
    </row>
    <row r="57" spans="1:8" s="1" customFormat="1"/>
    <row r="58" spans="1:8" s="1" customFormat="1"/>
    <row r="59" spans="1:8" s="1" customFormat="1"/>
    <row r="60" spans="1:8" s="1" customFormat="1"/>
    <row r="61" spans="1:8" s="1" customFormat="1"/>
    <row r="62" spans="1:8" s="1" customFormat="1"/>
    <row r="63" spans="1:8" s="1" customFormat="1"/>
    <row r="64" spans="1:8"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sheetData>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71E28-1806-4894-B4C1-EF1B39B63B0D}">
  <sheetPr codeName="Sheet63"/>
  <dimension ref="A1:XFC249"/>
  <sheetViews>
    <sheetView topLeftCell="A23"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5.7109375" style="2" bestFit="1" customWidth="1"/>
    <col min="9" max="16382" width="32.140625" style="2"/>
    <col min="16383" max="16383" width="1.7109375" style="2" customWidth="1"/>
    <col min="16384" max="16384" width="17.7109375" style="1" customWidth="1"/>
  </cols>
  <sheetData>
    <row r="1" spans="1:8" s="1" customFormat="1">
      <c r="A1" s="3" t="s">
        <v>238</v>
      </c>
      <c r="B1" s="3"/>
      <c r="C1" s="3"/>
      <c r="D1" s="3"/>
      <c r="E1" s="3"/>
      <c r="F1" s="3"/>
      <c r="G1" s="3"/>
      <c r="H1" s="3"/>
    </row>
    <row r="2" spans="1:8" s="1" customFormat="1">
      <c r="A2" s="10" t="s">
        <v>350</v>
      </c>
      <c r="B2" s="10" t="s">
        <v>156</v>
      </c>
      <c r="C2" s="10" t="s">
        <v>157</v>
      </c>
      <c r="D2" s="10" t="s">
        <v>239</v>
      </c>
      <c r="E2" s="10" t="s">
        <v>159</v>
      </c>
      <c r="F2" s="10" t="s">
        <v>1684</v>
      </c>
      <c r="G2" s="10" t="s">
        <v>1685</v>
      </c>
      <c r="H2" s="10" t="s">
        <v>5365</v>
      </c>
    </row>
    <row r="3" spans="1:8" s="1" customFormat="1">
      <c r="A3" s="11">
        <v>1</v>
      </c>
      <c r="B3" s="11" t="s">
        <v>240</v>
      </c>
      <c r="C3" s="11">
        <v>8</v>
      </c>
      <c r="D3" s="11" t="s">
        <v>160</v>
      </c>
      <c r="E3" s="11" t="s">
        <v>177</v>
      </c>
      <c r="F3" s="11" t="s">
        <v>1686</v>
      </c>
      <c r="G3" s="11" t="s">
        <v>1687</v>
      </c>
      <c r="H3" s="11" t="s">
        <v>5382</v>
      </c>
    </row>
    <row r="4" spans="1:8" s="1" customFormat="1" ht="30">
      <c r="A4" s="11">
        <v>2</v>
      </c>
      <c r="B4" s="11" t="s">
        <v>1333</v>
      </c>
      <c r="C4" s="11">
        <v>4</v>
      </c>
      <c r="D4" s="11" t="s">
        <v>242</v>
      </c>
      <c r="E4" s="11"/>
      <c r="F4" s="11" t="s">
        <v>1929</v>
      </c>
      <c r="G4" s="11" t="s">
        <v>3125</v>
      </c>
      <c r="H4" s="11" t="s">
        <v>5384</v>
      </c>
    </row>
    <row r="5" spans="1:8" s="1" customFormat="1">
      <c r="A5" s="11">
        <v>3</v>
      </c>
      <c r="B5" s="11" t="s">
        <v>749</v>
      </c>
      <c r="C5" s="11">
        <v>30</v>
      </c>
      <c r="D5" s="11" t="s">
        <v>242</v>
      </c>
      <c r="E5" s="11"/>
      <c r="F5" s="11" t="s">
        <v>1930</v>
      </c>
      <c r="G5" s="11" t="s">
        <v>5582</v>
      </c>
      <c r="H5" s="11"/>
    </row>
    <row r="6" spans="1:8" s="1" customFormat="1">
      <c r="A6" s="11">
        <v>4</v>
      </c>
      <c r="B6" s="11" t="s">
        <v>748</v>
      </c>
      <c r="C6" s="11">
        <v>30</v>
      </c>
      <c r="D6" s="11" t="s">
        <v>242</v>
      </c>
      <c r="E6" s="11"/>
      <c r="F6" s="11" t="s">
        <v>1931</v>
      </c>
      <c r="G6" s="11" t="s">
        <v>5583</v>
      </c>
      <c r="H6" s="11"/>
    </row>
    <row r="7" spans="1:8" s="1" customFormat="1" ht="30">
      <c r="A7" s="11">
        <v>5</v>
      </c>
      <c r="B7" s="11" t="s">
        <v>426</v>
      </c>
      <c r="C7" s="11">
        <v>2</v>
      </c>
      <c r="D7" s="11" t="s">
        <v>242</v>
      </c>
      <c r="E7" s="11"/>
      <c r="F7" s="11" t="s">
        <v>1932</v>
      </c>
      <c r="G7" s="11" t="s">
        <v>3126</v>
      </c>
      <c r="H7" s="11"/>
    </row>
    <row r="8" spans="1:8" s="1" customFormat="1" ht="30">
      <c r="A8" s="11">
        <v>6</v>
      </c>
      <c r="B8" s="11" t="s">
        <v>422</v>
      </c>
      <c r="C8" s="11">
        <v>14</v>
      </c>
      <c r="D8" s="11" t="s">
        <v>242</v>
      </c>
      <c r="E8" s="11"/>
      <c r="F8" s="11" t="s">
        <v>1933</v>
      </c>
      <c r="G8" s="11" t="s">
        <v>3127</v>
      </c>
      <c r="H8" s="11"/>
    </row>
    <row r="9" spans="1:8" s="1" customFormat="1" ht="30">
      <c r="A9" s="11">
        <v>7</v>
      </c>
      <c r="B9" s="11" t="s">
        <v>1334</v>
      </c>
      <c r="C9" s="11">
        <v>1</v>
      </c>
      <c r="D9" s="11" t="s">
        <v>242</v>
      </c>
      <c r="E9" s="11"/>
      <c r="F9" s="11" t="s">
        <v>1934</v>
      </c>
      <c r="G9" s="11" t="s">
        <v>3128</v>
      </c>
      <c r="H9" s="11"/>
    </row>
    <row r="10" spans="1:8" s="1" customFormat="1" ht="75">
      <c r="A10" s="11">
        <v>8</v>
      </c>
      <c r="B10" s="11" t="s">
        <v>1335</v>
      </c>
      <c r="C10" s="11">
        <v>1</v>
      </c>
      <c r="D10" s="11" t="s">
        <v>242</v>
      </c>
      <c r="E10" s="11"/>
      <c r="F10" s="11" t="s">
        <v>1935</v>
      </c>
      <c r="G10" s="11" t="s">
        <v>3129</v>
      </c>
      <c r="H10" s="11"/>
    </row>
    <row r="11" spans="1:8" s="1" customFormat="1" ht="30">
      <c r="A11" s="11">
        <v>9</v>
      </c>
      <c r="B11" s="11" t="s">
        <v>1336</v>
      </c>
      <c r="C11" s="11">
        <v>20</v>
      </c>
      <c r="D11" s="11" t="s">
        <v>242</v>
      </c>
      <c r="E11" s="11"/>
      <c r="F11" s="11" t="s">
        <v>1936</v>
      </c>
      <c r="G11" s="11" t="s">
        <v>3130</v>
      </c>
      <c r="H11" s="11"/>
    </row>
    <row r="12" spans="1:8" s="1" customFormat="1" ht="30">
      <c r="A12" s="11">
        <v>10</v>
      </c>
      <c r="B12" s="11" t="s">
        <v>1337</v>
      </c>
      <c r="C12" s="11">
        <v>20</v>
      </c>
      <c r="D12" s="11" t="s">
        <v>242</v>
      </c>
      <c r="E12" s="11"/>
      <c r="F12" s="11" t="s">
        <v>1937</v>
      </c>
      <c r="G12" s="11" t="s">
        <v>3131</v>
      </c>
      <c r="H12" s="11"/>
    </row>
    <row r="13" spans="1:8" s="1" customFormat="1" ht="30">
      <c r="A13" s="11">
        <v>11</v>
      </c>
      <c r="B13" s="11" t="s">
        <v>1338</v>
      </c>
      <c r="C13" s="11">
        <v>25</v>
      </c>
      <c r="D13" s="11" t="s">
        <v>242</v>
      </c>
      <c r="E13" s="11"/>
      <c r="F13" s="11" t="s">
        <v>1938</v>
      </c>
      <c r="G13" s="11" t="s">
        <v>3132</v>
      </c>
      <c r="H13" s="11"/>
    </row>
    <row r="14" spans="1:8" s="1" customFormat="1" ht="30">
      <c r="A14" s="11">
        <v>12</v>
      </c>
      <c r="B14" s="11" t="s">
        <v>1339</v>
      </c>
      <c r="C14" s="11">
        <v>25</v>
      </c>
      <c r="D14" s="11" t="s">
        <v>242</v>
      </c>
      <c r="E14" s="11"/>
      <c r="F14" s="11" t="s">
        <v>1939</v>
      </c>
      <c r="G14" s="11" t="s">
        <v>3133</v>
      </c>
      <c r="H14" s="11"/>
    </row>
    <row r="15" spans="1:8" s="1" customFormat="1" ht="30">
      <c r="A15" s="11">
        <v>13</v>
      </c>
      <c r="B15" s="11" t="s">
        <v>1340</v>
      </c>
      <c r="C15" s="11">
        <v>14</v>
      </c>
      <c r="D15" s="11" t="s">
        <v>242</v>
      </c>
      <c r="E15" s="11"/>
      <c r="F15" s="11" t="s">
        <v>1940</v>
      </c>
      <c r="G15" s="11" t="s">
        <v>3134</v>
      </c>
      <c r="H15" s="11"/>
    </row>
    <row r="16" spans="1:8" s="1" customFormat="1" ht="30">
      <c r="A16" s="11">
        <v>14</v>
      </c>
      <c r="B16" s="11" t="s">
        <v>1341</v>
      </c>
      <c r="C16" s="11">
        <v>4</v>
      </c>
      <c r="D16" s="11" t="s">
        <v>242</v>
      </c>
      <c r="E16" s="11"/>
      <c r="F16" s="11" t="s">
        <v>1941</v>
      </c>
      <c r="G16" s="11" t="s">
        <v>3135</v>
      </c>
      <c r="H16" s="11"/>
    </row>
    <row r="17" spans="1:13" s="1" customFormat="1" ht="75">
      <c r="A17" s="11">
        <v>15</v>
      </c>
      <c r="B17" s="11" t="s">
        <v>1342</v>
      </c>
      <c r="C17" s="11">
        <v>1</v>
      </c>
      <c r="D17" s="11" t="s">
        <v>242</v>
      </c>
      <c r="E17" s="11"/>
      <c r="F17" s="11" t="s">
        <v>1942</v>
      </c>
      <c r="G17" s="11" t="s">
        <v>3136</v>
      </c>
      <c r="H17" s="11"/>
    </row>
    <row r="18" spans="1:13" s="1" customFormat="1" ht="30">
      <c r="A18" s="39">
        <v>16</v>
      </c>
      <c r="B18" s="11" t="s">
        <v>105</v>
      </c>
      <c r="C18" s="11">
        <v>10</v>
      </c>
      <c r="D18" s="11" t="s">
        <v>242</v>
      </c>
      <c r="E18" s="11"/>
      <c r="F18" s="11" t="s">
        <v>1716</v>
      </c>
      <c r="G18" s="11" t="s">
        <v>3138</v>
      </c>
      <c r="H18" s="11"/>
    </row>
    <row r="19" spans="1:13" s="1" customFormat="1" ht="30">
      <c r="A19" s="39">
        <v>17</v>
      </c>
      <c r="B19" s="11" t="s">
        <v>163</v>
      </c>
      <c r="C19" s="11">
        <v>14</v>
      </c>
      <c r="D19" s="11" t="s">
        <v>1032</v>
      </c>
      <c r="E19" s="11" t="s">
        <v>1033</v>
      </c>
      <c r="F19" s="11" t="s">
        <v>1717</v>
      </c>
      <c r="G19" s="11" t="s">
        <v>3139</v>
      </c>
      <c r="H19" s="11"/>
    </row>
    <row r="20" spans="1:13" s="1" customFormat="1">
      <c r="A20" s="39">
        <v>18</v>
      </c>
      <c r="B20" s="11" t="s">
        <v>1182</v>
      </c>
      <c r="C20" s="11">
        <v>12</v>
      </c>
      <c r="D20" s="11" t="s">
        <v>189</v>
      </c>
      <c r="E20" s="11" t="s">
        <v>5576</v>
      </c>
      <c r="F20" s="11" t="s">
        <v>1688</v>
      </c>
      <c r="G20" s="11" t="s">
        <v>1689</v>
      </c>
      <c r="H20" s="11"/>
      <c r="M20" s="1" t="s">
        <v>1291</v>
      </c>
    </row>
    <row r="21" spans="1:13" s="1" customFormat="1" ht="30">
      <c r="A21" s="39">
        <v>19</v>
      </c>
      <c r="B21" s="11" t="s">
        <v>1183</v>
      </c>
      <c r="C21" s="11">
        <v>30</v>
      </c>
      <c r="D21" s="11" t="s">
        <v>242</v>
      </c>
      <c r="E21" s="11" t="s">
        <v>5576</v>
      </c>
      <c r="F21" s="11" t="s">
        <v>1690</v>
      </c>
      <c r="G21" s="11" t="s">
        <v>1691</v>
      </c>
      <c r="H21" s="11"/>
    </row>
    <row r="22" spans="1:13" s="1" customFormat="1"/>
    <row r="23" spans="1:13" s="1" customFormat="1"/>
    <row r="24" spans="1:13" s="1" customFormat="1"/>
    <row r="25" spans="1:13" s="1" customFormat="1"/>
    <row r="26" spans="1:13" s="1" customFormat="1" ht="30">
      <c r="A26" s="59">
        <v>16</v>
      </c>
      <c r="B26" s="59" t="s">
        <v>1343</v>
      </c>
      <c r="C26" s="59">
        <v>1</v>
      </c>
      <c r="D26" s="59" t="s">
        <v>242</v>
      </c>
      <c r="E26" s="59"/>
      <c r="F26" s="59" t="s">
        <v>1943</v>
      </c>
      <c r="G26" s="59" t="s">
        <v>3137</v>
      </c>
      <c r="H26" s="59"/>
      <c r="I26" s="31" t="s">
        <v>5970</v>
      </c>
    </row>
    <row r="27" spans="1:13" s="1" customFormat="1">
      <c r="A27" s="31"/>
      <c r="B27" s="31"/>
      <c r="C27" s="31"/>
      <c r="D27" s="31"/>
      <c r="E27" s="31"/>
      <c r="F27" s="31"/>
      <c r="G27" s="31"/>
      <c r="H27" s="31"/>
      <c r="I27" s="31"/>
    </row>
    <row r="28" spans="1:13" s="1" customFormat="1">
      <c r="A28" s="31"/>
      <c r="B28" s="31"/>
      <c r="C28" s="31"/>
      <c r="D28" s="31"/>
      <c r="E28" s="31"/>
      <c r="F28" s="31"/>
      <c r="G28" s="31"/>
      <c r="H28" s="31"/>
      <c r="I28" s="31"/>
    </row>
    <row r="29" spans="1:13" s="1" customFormat="1">
      <c r="A29" s="31"/>
      <c r="B29" s="31"/>
      <c r="C29" s="31"/>
      <c r="D29" s="31"/>
      <c r="E29" s="31"/>
      <c r="F29" s="31"/>
      <c r="G29" s="31"/>
      <c r="H29" s="31"/>
      <c r="I29" s="31"/>
    </row>
    <row r="30" spans="1:13" s="1" customFormat="1">
      <c r="A30" s="31"/>
      <c r="B30" s="31"/>
      <c r="C30" s="31"/>
      <c r="D30" s="31"/>
      <c r="E30" s="31"/>
      <c r="F30" s="31"/>
      <c r="G30" s="31"/>
      <c r="H30" s="31"/>
      <c r="I30" s="31"/>
    </row>
    <row r="31" spans="1:13" s="1" customFormat="1"/>
    <row r="32" spans="1:13"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43890-E0A7-4214-B2FE-816624DF486A}">
  <sheetPr codeName="Sheet64"/>
  <dimension ref="A1:XFC250"/>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5.7109375" style="2" bestFit="1" customWidth="1"/>
    <col min="9" max="16382" width="32.140625" style="2"/>
    <col min="16383" max="16383" width="1.7109375" style="2" customWidth="1"/>
    <col min="16384" max="16384" width="17.7109375" style="1" customWidth="1"/>
  </cols>
  <sheetData>
    <row r="1" spans="1:9" s="1" customFormat="1">
      <c r="A1" s="3" t="s">
        <v>238</v>
      </c>
      <c r="B1" s="3"/>
      <c r="C1" s="3"/>
      <c r="D1" s="3"/>
      <c r="E1" s="3"/>
      <c r="F1" s="3"/>
      <c r="G1" s="3"/>
      <c r="H1" s="3"/>
    </row>
    <row r="2" spans="1:9" s="1" customFormat="1">
      <c r="A2" s="10" t="s">
        <v>350</v>
      </c>
      <c r="B2" s="10" t="s">
        <v>156</v>
      </c>
      <c r="C2" s="10" t="s">
        <v>157</v>
      </c>
      <c r="D2" s="10" t="s">
        <v>239</v>
      </c>
      <c r="E2" s="10" t="s">
        <v>159</v>
      </c>
      <c r="F2" s="10" t="s">
        <v>1684</v>
      </c>
      <c r="G2" s="10" t="s">
        <v>1685</v>
      </c>
      <c r="H2" s="10" t="s">
        <v>5365</v>
      </c>
    </row>
    <row r="3" spans="1:9" s="1" customFormat="1">
      <c r="A3" s="11">
        <v>1</v>
      </c>
      <c r="B3" s="11" t="s">
        <v>240</v>
      </c>
      <c r="C3" s="11">
        <v>8</v>
      </c>
      <c r="D3" s="11" t="s">
        <v>160</v>
      </c>
      <c r="E3" s="11" t="s">
        <v>177</v>
      </c>
      <c r="F3" s="11" t="s">
        <v>1686</v>
      </c>
      <c r="G3" s="11" t="s">
        <v>1687</v>
      </c>
      <c r="H3" s="11" t="s">
        <v>5382</v>
      </c>
    </row>
    <row r="4" spans="1:9" s="30" customFormat="1" ht="390">
      <c r="A4" s="29">
        <v>2</v>
      </c>
      <c r="B4" s="29" t="s">
        <v>7018</v>
      </c>
      <c r="C4" s="29">
        <v>2</v>
      </c>
      <c r="D4" s="29" t="s">
        <v>242</v>
      </c>
      <c r="E4" s="29"/>
      <c r="F4" s="29" t="s">
        <v>2627</v>
      </c>
      <c r="G4" s="29" t="s">
        <v>5917</v>
      </c>
      <c r="H4" s="11" t="s">
        <v>5384</v>
      </c>
      <c r="I4" s="30" t="s">
        <v>7019</v>
      </c>
    </row>
    <row r="5" spans="1:9" s="1" customFormat="1" ht="30">
      <c r="A5" s="29">
        <v>3</v>
      </c>
      <c r="B5" s="11" t="s">
        <v>1572</v>
      </c>
      <c r="C5" s="11">
        <v>4</v>
      </c>
      <c r="D5" s="11" t="s">
        <v>242</v>
      </c>
      <c r="E5" s="11"/>
      <c r="F5" s="11" t="s">
        <v>5919</v>
      </c>
      <c r="G5" s="11" t="s">
        <v>5918</v>
      </c>
      <c r="H5" s="57" t="s">
        <v>5385</v>
      </c>
    </row>
    <row r="6" spans="1:9" s="1" customFormat="1" ht="30">
      <c r="A6" s="29">
        <v>4</v>
      </c>
      <c r="B6" s="11" t="s">
        <v>749</v>
      </c>
      <c r="C6" s="11">
        <v>30</v>
      </c>
      <c r="D6" s="11" t="s">
        <v>242</v>
      </c>
      <c r="E6" s="11"/>
      <c r="F6" s="11" t="s">
        <v>5915</v>
      </c>
      <c r="G6" s="11" t="s">
        <v>5920</v>
      </c>
      <c r="H6" s="11"/>
    </row>
    <row r="7" spans="1:9" s="1" customFormat="1" ht="30">
      <c r="A7" s="29">
        <v>5</v>
      </c>
      <c r="B7" s="11" t="s">
        <v>748</v>
      </c>
      <c r="C7" s="11">
        <v>30</v>
      </c>
      <c r="D7" s="11" t="s">
        <v>242</v>
      </c>
      <c r="E7" s="11"/>
      <c r="F7" s="11" t="s">
        <v>5916</v>
      </c>
      <c r="G7" s="29" t="s">
        <v>5921</v>
      </c>
      <c r="H7" s="11"/>
    </row>
    <row r="8" spans="1:9" s="1" customFormat="1" ht="30">
      <c r="A8" s="29">
        <v>6</v>
      </c>
      <c r="B8" s="11" t="s">
        <v>105</v>
      </c>
      <c r="C8" s="11">
        <v>20</v>
      </c>
      <c r="D8" s="11" t="s">
        <v>242</v>
      </c>
      <c r="E8" s="11"/>
      <c r="F8" s="11" t="s">
        <v>1716</v>
      </c>
      <c r="G8" s="11" t="s">
        <v>3076</v>
      </c>
      <c r="H8" s="11"/>
    </row>
    <row r="9" spans="1:9" s="1" customFormat="1" ht="30">
      <c r="A9" s="29">
        <v>7</v>
      </c>
      <c r="B9" s="11" t="s">
        <v>163</v>
      </c>
      <c r="C9" s="11">
        <v>14</v>
      </c>
      <c r="D9" s="11" t="s">
        <v>1032</v>
      </c>
      <c r="E9" s="11" t="s">
        <v>1033</v>
      </c>
      <c r="F9" s="11" t="s">
        <v>1717</v>
      </c>
      <c r="G9" s="11" t="s">
        <v>3069</v>
      </c>
      <c r="H9" s="11"/>
    </row>
    <row r="10" spans="1:9" s="1" customFormat="1">
      <c r="A10" s="29">
        <v>8</v>
      </c>
      <c r="B10" s="11" t="s">
        <v>1182</v>
      </c>
      <c r="C10" s="11">
        <v>12</v>
      </c>
      <c r="D10" s="11" t="s">
        <v>189</v>
      </c>
      <c r="E10" s="11" t="s">
        <v>5576</v>
      </c>
      <c r="F10" s="11" t="s">
        <v>1688</v>
      </c>
      <c r="G10" s="11" t="s">
        <v>1689</v>
      </c>
      <c r="H10" s="11"/>
    </row>
    <row r="11" spans="1:9" s="1" customFormat="1" ht="30">
      <c r="A11" s="11">
        <v>9</v>
      </c>
      <c r="B11" s="11" t="s">
        <v>1183</v>
      </c>
      <c r="C11" s="11">
        <v>30</v>
      </c>
      <c r="D11" s="11" t="s">
        <v>242</v>
      </c>
      <c r="E11" s="11" t="s">
        <v>5576</v>
      </c>
      <c r="F11" s="11" t="s">
        <v>1690</v>
      </c>
      <c r="G11" s="11" t="s">
        <v>1691</v>
      </c>
      <c r="H11" s="11"/>
    </row>
    <row r="12" spans="1:9" s="1" customFormat="1"/>
    <row r="13" spans="1:9" s="1" customFormat="1"/>
    <row r="14" spans="1:9" s="1" customFormat="1"/>
    <row r="15" spans="1:9" s="1" customFormat="1"/>
    <row r="16" spans="1:9"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690C8-876D-4583-8851-AB9B1A9FD073}">
  <sheetPr codeName="Sheet65"/>
  <dimension ref="A1:XFC249"/>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5.7109375" style="2" bestFit="1" customWidth="1"/>
    <col min="9" max="16382" width="32.140625" style="2"/>
    <col min="16383" max="16383" width="1.7109375" style="2" customWidth="1"/>
    <col min="16384" max="16384" width="17.7109375" style="1" customWidth="1"/>
  </cols>
  <sheetData>
    <row r="1" spans="1:8" s="1" customFormat="1">
      <c r="A1" s="3" t="s">
        <v>238</v>
      </c>
      <c r="B1" s="3"/>
      <c r="C1" s="3"/>
      <c r="D1" s="3"/>
      <c r="E1" s="3"/>
      <c r="F1" s="3"/>
      <c r="G1" s="3"/>
      <c r="H1" s="3"/>
    </row>
    <row r="2" spans="1:8" s="1" customFormat="1">
      <c r="A2" s="10" t="s">
        <v>350</v>
      </c>
      <c r="B2" s="10" t="s">
        <v>156</v>
      </c>
      <c r="C2" s="10" t="s">
        <v>157</v>
      </c>
      <c r="D2" s="10" t="s">
        <v>239</v>
      </c>
      <c r="E2" s="10" t="s">
        <v>159</v>
      </c>
      <c r="F2" s="10" t="s">
        <v>1684</v>
      </c>
      <c r="G2" s="10" t="s">
        <v>1685</v>
      </c>
      <c r="H2" s="10" t="s">
        <v>5365</v>
      </c>
    </row>
    <row r="3" spans="1:8" s="1" customFormat="1">
      <c r="A3" s="11">
        <v>1</v>
      </c>
      <c r="B3" s="11" t="s">
        <v>240</v>
      </c>
      <c r="C3" s="11">
        <v>8</v>
      </c>
      <c r="D3" s="11" t="s">
        <v>160</v>
      </c>
      <c r="E3" s="11" t="s">
        <v>177</v>
      </c>
      <c r="F3" s="11" t="s">
        <v>1686</v>
      </c>
      <c r="G3" s="11" t="s">
        <v>1687</v>
      </c>
      <c r="H3" s="11" t="s">
        <v>5382</v>
      </c>
    </row>
    <row r="4" spans="1:8" s="1" customFormat="1">
      <c r="A4" s="11">
        <v>2</v>
      </c>
      <c r="B4" s="11" t="s">
        <v>1344</v>
      </c>
      <c r="C4" s="11">
        <v>4</v>
      </c>
      <c r="D4" s="11" t="s">
        <v>242</v>
      </c>
      <c r="E4" s="11"/>
      <c r="F4" s="11" t="s">
        <v>1944</v>
      </c>
      <c r="G4" s="11" t="s">
        <v>5600</v>
      </c>
      <c r="H4" s="11" t="s">
        <v>5384</v>
      </c>
    </row>
    <row r="5" spans="1:8" s="1" customFormat="1">
      <c r="A5" s="11">
        <v>3</v>
      </c>
      <c r="B5" s="11" t="s">
        <v>749</v>
      </c>
      <c r="C5" s="11">
        <v>30</v>
      </c>
      <c r="D5" s="11" t="s">
        <v>242</v>
      </c>
      <c r="E5" s="11"/>
      <c r="F5" s="11" t="s">
        <v>1945</v>
      </c>
      <c r="G5" s="11" t="s">
        <v>5601</v>
      </c>
      <c r="H5" s="11"/>
    </row>
    <row r="6" spans="1:8" s="1" customFormat="1">
      <c r="A6" s="11">
        <v>4</v>
      </c>
      <c r="B6" s="11" t="s">
        <v>748</v>
      </c>
      <c r="C6" s="11">
        <v>30</v>
      </c>
      <c r="D6" s="11" t="s">
        <v>242</v>
      </c>
      <c r="E6" s="11"/>
      <c r="F6" s="11" t="s">
        <v>1946</v>
      </c>
      <c r="G6" s="11" t="s">
        <v>5602</v>
      </c>
      <c r="H6" s="11"/>
    </row>
    <row r="7" spans="1:8" s="1" customFormat="1" ht="30">
      <c r="A7" s="11">
        <v>5</v>
      </c>
      <c r="B7" s="11" t="s">
        <v>1324</v>
      </c>
      <c r="C7" s="11">
        <v>30</v>
      </c>
      <c r="D7" s="11" t="s">
        <v>242</v>
      </c>
      <c r="E7" s="11"/>
      <c r="F7" s="11" t="s">
        <v>1947</v>
      </c>
      <c r="G7" s="11" t="s">
        <v>3140</v>
      </c>
      <c r="H7" s="11"/>
    </row>
    <row r="8" spans="1:8" s="1" customFormat="1" ht="30">
      <c r="A8" s="11">
        <v>6</v>
      </c>
      <c r="B8" s="11" t="s">
        <v>1325</v>
      </c>
      <c r="C8" s="11">
        <v>30</v>
      </c>
      <c r="D8" s="11" t="s">
        <v>242</v>
      </c>
      <c r="E8" s="11"/>
      <c r="F8" s="11" t="s">
        <v>1948</v>
      </c>
      <c r="G8" s="11" t="s">
        <v>5603</v>
      </c>
      <c r="H8" s="11"/>
    </row>
    <row r="9" spans="1:8" s="1" customFormat="1">
      <c r="A9" s="11">
        <v>7</v>
      </c>
      <c r="B9" s="11" t="s">
        <v>1345</v>
      </c>
      <c r="C9" s="11">
        <v>14</v>
      </c>
      <c r="D9" s="11" t="s">
        <v>242</v>
      </c>
      <c r="E9" s="11"/>
      <c r="F9" s="11" t="s">
        <v>1949</v>
      </c>
      <c r="G9" s="11" t="s">
        <v>5604</v>
      </c>
      <c r="H9" s="11"/>
    </row>
    <row r="10" spans="1:8" s="1" customFormat="1">
      <c r="A10" s="11">
        <v>8</v>
      </c>
      <c r="B10" s="11" t="s">
        <v>1346</v>
      </c>
      <c r="C10" s="11">
        <v>20</v>
      </c>
      <c r="D10" s="11" t="s">
        <v>242</v>
      </c>
      <c r="E10" s="11"/>
      <c r="F10" s="11" t="s">
        <v>1700</v>
      </c>
      <c r="G10" s="11" t="s">
        <v>5605</v>
      </c>
      <c r="H10" s="11"/>
    </row>
    <row r="11" spans="1:8" s="1" customFormat="1" ht="30">
      <c r="A11" s="11">
        <v>9</v>
      </c>
      <c r="B11" s="11" t="s">
        <v>105</v>
      </c>
      <c r="C11" s="11">
        <v>20</v>
      </c>
      <c r="D11" s="11" t="s">
        <v>242</v>
      </c>
      <c r="E11" s="11"/>
      <c r="F11" s="11" t="s">
        <v>1716</v>
      </c>
      <c r="G11" s="11" t="s">
        <v>3141</v>
      </c>
      <c r="H11" s="11"/>
    </row>
    <row r="12" spans="1:8" s="1" customFormat="1" ht="30">
      <c r="A12" s="11">
        <v>10</v>
      </c>
      <c r="B12" s="11" t="s">
        <v>163</v>
      </c>
      <c r="C12" s="11">
        <v>14</v>
      </c>
      <c r="D12" s="11" t="s">
        <v>1032</v>
      </c>
      <c r="E12" s="11" t="s">
        <v>1033</v>
      </c>
      <c r="F12" s="11" t="s">
        <v>1717</v>
      </c>
      <c r="G12" s="11" t="s">
        <v>3142</v>
      </c>
      <c r="H12" s="11"/>
    </row>
    <row r="13" spans="1:8" s="1" customFormat="1">
      <c r="A13" s="11">
        <v>11</v>
      </c>
      <c r="B13" s="11" t="s">
        <v>1182</v>
      </c>
      <c r="C13" s="11">
        <v>12</v>
      </c>
      <c r="D13" s="11" t="s">
        <v>189</v>
      </c>
      <c r="E13" s="11" t="s">
        <v>5576</v>
      </c>
      <c r="F13" s="11" t="s">
        <v>1688</v>
      </c>
      <c r="G13" s="11" t="s">
        <v>1689</v>
      </c>
      <c r="H13" s="11"/>
    </row>
    <row r="14" spans="1:8" s="1" customFormat="1" ht="30">
      <c r="A14" s="11">
        <v>12</v>
      </c>
      <c r="B14" s="11" t="s">
        <v>1183</v>
      </c>
      <c r="C14" s="11">
        <v>30</v>
      </c>
      <c r="D14" s="11" t="s">
        <v>242</v>
      </c>
      <c r="E14" s="11" t="s">
        <v>5576</v>
      </c>
      <c r="F14" s="11" t="s">
        <v>1690</v>
      </c>
      <c r="G14" s="11" t="s">
        <v>1691</v>
      </c>
      <c r="H14" s="11"/>
    </row>
    <row r="15" spans="1:8" s="1" customFormat="1"/>
    <row r="16" spans="1:8"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3E92E-2F10-4254-BA09-3893179DA0A2}">
  <sheetPr codeName="Sheet66"/>
  <dimension ref="A1:XFC249"/>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5.7109375" style="2" bestFit="1" customWidth="1"/>
    <col min="9" max="16382" width="32.140625" style="2"/>
    <col min="16383" max="16383" width="1.7109375" style="2" customWidth="1"/>
    <col min="16384" max="16384" width="17.7109375" style="1" customWidth="1"/>
  </cols>
  <sheetData>
    <row r="1" spans="1:14" s="1" customFormat="1">
      <c r="A1" s="3" t="s">
        <v>238</v>
      </c>
      <c r="B1" s="3"/>
      <c r="C1" s="3"/>
      <c r="D1" s="3"/>
      <c r="E1" s="3"/>
      <c r="F1" s="3"/>
      <c r="G1" s="3"/>
      <c r="H1" s="3"/>
    </row>
    <row r="2" spans="1:14" s="1" customFormat="1">
      <c r="A2" s="10" t="s">
        <v>350</v>
      </c>
      <c r="B2" s="10" t="s">
        <v>156</v>
      </c>
      <c r="C2" s="10" t="s">
        <v>157</v>
      </c>
      <c r="D2" s="10" t="s">
        <v>239</v>
      </c>
      <c r="E2" s="10" t="s">
        <v>159</v>
      </c>
      <c r="F2" s="10" t="s">
        <v>1684</v>
      </c>
      <c r="G2" s="10" t="s">
        <v>1685</v>
      </c>
      <c r="H2" s="10" t="s">
        <v>5365</v>
      </c>
    </row>
    <row r="3" spans="1:14" s="1" customFormat="1">
      <c r="A3" s="11">
        <v>1</v>
      </c>
      <c r="B3" s="11" t="s">
        <v>240</v>
      </c>
      <c r="C3" s="11">
        <v>8</v>
      </c>
      <c r="D3" s="11" t="s">
        <v>160</v>
      </c>
      <c r="E3" s="11" t="s">
        <v>177</v>
      </c>
      <c r="F3" s="11" t="s">
        <v>1686</v>
      </c>
      <c r="G3" s="11" t="s">
        <v>1687</v>
      </c>
      <c r="H3" s="11" t="s">
        <v>5382</v>
      </c>
      <c r="N3" s="1" t="s">
        <v>1347</v>
      </c>
    </row>
    <row r="4" spans="1:14" s="1" customFormat="1" ht="45">
      <c r="A4" s="11">
        <v>2</v>
      </c>
      <c r="B4" s="11" t="s">
        <v>140</v>
      </c>
      <c r="C4" s="11">
        <v>2</v>
      </c>
      <c r="D4" s="11" t="s">
        <v>242</v>
      </c>
      <c r="E4" s="11"/>
      <c r="F4" s="11" t="s">
        <v>1950</v>
      </c>
      <c r="G4" s="11" t="s">
        <v>3143</v>
      </c>
      <c r="H4" s="11" t="s">
        <v>5384</v>
      </c>
    </row>
    <row r="5" spans="1:14" s="1" customFormat="1" ht="30">
      <c r="A5" s="11">
        <v>3</v>
      </c>
      <c r="B5" s="11" t="s">
        <v>820</v>
      </c>
      <c r="C5" s="11">
        <v>2</v>
      </c>
      <c r="D5" s="11" t="s">
        <v>242</v>
      </c>
      <c r="E5" s="11"/>
      <c r="F5" s="11" t="s">
        <v>1951</v>
      </c>
      <c r="G5" s="11" t="s">
        <v>3144</v>
      </c>
      <c r="H5" s="11" t="s">
        <v>5385</v>
      </c>
    </row>
    <row r="6" spans="1:14" s="1" customFormat="1" ht="30">
      <c r="A6" s="11">
        <v>4</v>
      </c>
      <c r="B6" s="11" t="s">
        <v>1348</v>
      </c>
      <c r="C6" s="11">
        <v>30</v>
      </c>
      <c r="D6" s="11" t="s">
        <v>242</v>
      </c>
      <c r="E6" s="11"/>
      <c r="F6" s="11" t="s">
        <v>1952</v>
      </c>
      <c r="G6" s="11" t="s">
        <v>3145</v>
      </c>
      <c r="H6" s="11"/>
    </row>
    <row r="7" spans="1:14" s="1" customFormat="1" ht="30">
      <c r="A7" s="11">
        <v>5</v>
      </c>
      <c r="B7" s="11" t="s">
        <v>1349</v>
      </c>
      <c r="C7" s="11">
        <v>30</v>
      </c>
      <c r="D7" s="11" t="s">
        <v>242</v>
      </c>
      <c r="E7" s="11"/>
      <c r="F7" s="11" t="s">
        <v>1953</v>
      </c>
      <c r="G7" s="11" t="s">
        <v>3146</v>
      </c>
      <c r="H7" s="11"/>
    </row>
    <row r="8" spans="1:14" s="1" customFormat="1" ht="30">
      <c r="A8" s="11">
        <v>6</v>
      </c>
      <c r="B8" s="11" t="s">
        <v>1350</v>
      </c>
      <c r="C8" s="11">
        <v>3</v>
      </c>
      <c r="D8" s="11" t="s">
        <v>242</v>
      </c>
      <c r="E8" s="11"/>
      <c r="F8" s="11" t="s">
        <v>5606</v>
      </c>
      <c r="G8" s="11" t="s">
        <v>3147</v>
      </c>
      <c r="H8" s="11"/>
    </row>
    <row r="9" spans="1:14" s="1" customFormat="1" ht="30">
      <c r="A9" s="11">
        <v>7</v>
      </c>
      <c r="B9" s="11" t="s">
        <v>1351</v>
      </c>
      <c r="C9" s="11">
        <v>3</v>
      </c>
      <c r="D9" s="11" t="s">
        <v>242</v>
      </c>
      <c r="E9" s="11"/>
      <c r="F9" s="11" t="s">
        <v>5607</v>
      </c>
      <c r="G9" s="11" t="s">
        <v>3148</v>
      </c>
      <c r="H9" s="11"/>
    </row>
    <row r="10" spans="1:14" s="1" customFormat="1" ht="30">
      <c r="A10" s="11">
        <v>8</v>
      </c>
      <c r="B10" s="11" t="s">
        <v>1352</v>
      </c>
      <c r="C10" s="11">
        <v>3</v>
      </c>
      <c r="D10" s="11" t="s">
        <v>242</v>
      </c>
      <c r="E10" s="11"/>
      <c r="F10" s="11" t="s">
        <v>5608</v>
      </c>
      <c r="G10" s="11" t="s">
        <v>3149</v>
      </c>
      <c r="H10" s="11"/>
    </row>
    <row r="11" spans="1:14" s="1" customFormat="1" ht="75">
      <c r="A11" s="11">
        <v>9</v>
      </c>
      <c r="B11" s="11" t="s">
        <v>1353</v>
      </c>
      <c r="C11" s="11">
        <v>1</v>
      </c>
      <c r="D11" s="11" t="s">
        <v>242</v>
      </c>
      <c r="E11" s="11"/>
      <c r="F11" s="11" t="s">
        <v>1954</v>
      </c>
      <c r="G11" s="11" t="s">
        <v>3150</v>
      </c>
      <c r="H11" s="11"/>
    </row>
    <row r="12" spans="1:14" s="1" customFormat="1" ht="30">
      <c r="A12" s="11">
        <v>10</v>
      </c>
      <c r="B12" s="11" t="s">
        <v>1354</v>
      </c>
      <c r="C12" s="11">
        <v>1</v>
      </c>
      <c r="D12" s="11" t="s">
        <v>242</v>
      </c>
      <c r="E12" s="11"/>
      <c r="F12" s="11" t="s">
        <v>1955</v>
      </c>
      <c r="G12" s="11" t="s">
        <v>3151</v>
      </c>
      <c r="H12" s="11"/>
    </row>
    <row r="13" spans="1:14" s="1" customFormat="1" ht="30">
      <c r="A13" s="11">
        <v>11</v>
      </c>
      <c r="B13" s="11" t="s">
        <v>819</v>
      </c>
      <c r="C13" s="11">
        <v>3</v>
      </c>
      <c r="D13" s="11" t="s">
        <v>242</v>
      </c>
      <c r="E13" s="11"/>
      <c r="F13" s="11" t="s">
        <v>1956</v>
      </c>
      <c r="G13" s="11" t="s">
        <v>3152</v>
      </c>
      <c r="H13" s="11"/>
    </row>
    <row r="14" spans="1:14" s="1" customFormat="1" ht="30">
      <c r="A14" s="11">
        <v>12</v>
      </c>
      <c r="B14" s="11" t="s">
        <v>1355</v>
      </c>
      <c r="C14" s="11">
        <v>3</v>
      </c>
      <c r="D14" s="11" t="s">
        <v>242</v>
      </c>
      <c r="E14" s="11"/>
      <c r="F14" s="11" t="s">
        <v>1957</v>
      </c>
      <c r="G14" s="11" t="s">
        <v>3153</v>
      </c>
      <c r="H14" s="11"/>
    </row>
    <row r="15" spans="1:14" s="1" customFormat="1" ht="75">
      <c r="A15" s="11">
        <v>13</v>
      </c>
      <c r="B15" s="11" t="s">
        <v>1356</v>
      </c>
      <c r="C15" s="11">
        <v>1</v>
      </c>
      <c r="D15" s="11" t="s">
        <v>242</v>
      </c>
      <c r="E15" s="11"/>
      <c r="F15" s="11" t="s">
        <v>1958</v>
      </c>
      <c r="G15" s="11" t="s">
        <v>3154</v>
      </c>
      <c r="H15" s="11"/>
    </row>
    <row r="16" spans="1:14" s="1" customFormat="1" ht="75">
      <c r="A16" s="11">
        <v>14</v>
      </c>
      <c r="B16" s="11" t="s">
        <v>1357</v>
      </c>
      <c r="C16" s="11">
        <v>1</v>
      </c>
      <c r="D16" s="11" t="s">
        <v>242</v>
      </c>
      <c r="E16" s="11"/>
      <c r="F16" s="11" t="s">
        <v>1959</v>
      </c>
      <c r="G16" s="11" t="s">
        <v>3155</v>
      </c>
      <c r="H16" s="11"/>
    </row>
    <row r="17" spans="1:14" s="1" customFormat="1" ht="75">
      <c r="A17" s="11">
        <v>15</v>
      </c>
      <c r="B17" s="11" t="s">
        <v>1358</v>
      </c>
      <c r="C17" s="11">
        <v>1</v>
      </c>
      <c r="D17" s="11" t="s">
        <v>242</v>
      </c>
      <c r="E17" s="11"/>
      <c r="F17" s="11" t="s">
        <v>1960</v>
      </c>
      <c r="G17" s="11" t="s">
        <v>3156</v>
      </c>
      <c r="H17" s="11"/>
    </row>
    <row r="18" spans="1:14" s="1" customFormat="1" ht="75">
      <c r="A18" s="11">
        <v>16</v>
      </c>
      <c r="B18" s="11" t="s">
        <v>1359</v>
      </c>
      <c r="C18" s="11">
        <v>1</v>
      </c>
      <c r="D18" s="11" t="s">
        <v>242</v>
      </c>
      <c r="E18" s="11"/>
      <c r="F18" s="11" t="s">
        <v>1961</v>
      </c>
      <c r="G18" s="11" t="s">
        <v>3157</v>
      </c>
      <c r="H18" s="11"/>
    </row>
    <row r="19" spans="1:14" s="1" customFormat="1" ht="75">
      <c r="A19" s="11">
        <v>17</v>
      </c>
      <c r="B19" s="11" t="s">
        <v>1360</v>
      </c>
      <c r="C19" s="11">
        <v>1</v>
      </c>
      <c r="D19" s="11" t="s">
        <v>242</v>
      </c>
      <c r="E19" s="11"/>
      <c r="F19" s="11" t="s">
        <v>1962</v>
      </c>
      <c r="G19" s="11" t="s">
        <v>3158</v>
      </c>
      <c r="H19" s="11"/>
    </row>
    <row r="20" spans="1:14" s="1" customFormat="1" ht="75">
      <c r="A20" s="11">
        <v>18</v>
      </c>
      <c r="B20" s="11" t="s">
        <v>1361</v>
      </c>
      <c r="C20" s="11">
        <v>1</v>
      </c>
      <c r="D20" s="11" t="s">
        <v>242</v>
      </c>
      <c r="E20" s="11"/>
      <c r="F20" s="11" t="s">
        <v>1963</v>
      </c>
      <c r="G20" s="11" t="s">
        <v>3159</v>
      </c>
      <c r="H20" s="11"/>
    </row>
    <row r="21" spans="1:14" s="1" customFormat="1" ht="75">
      <c r="A21" s="11">
        <v>19</v>
      </c>
      <c r="B21" s="11" t="s">
        <v>1362</v>
      </c>
      <c r="C21" s="11">
        <v>1</v>
      </c>
      <c r="D21" s="11" t="s">
        <v>242</v>
      </c>
      <c r="E21" s="11"/>
      <c r="F21" s="11" t="s">
        <v>1964</v>
      </c>
      <c r="G21" s="11" t="s">
        <v>3160</v>
      </c>
      <c r="H21" s="11"/>
    </row>
    <row r="22" spans="1:14" s="1" customFormat="1" ht="75">
      <c r="A22" s="11">
        <v>20</v>
      </c>
      <c r="B22" s="11" t="s">
        <v>1363</v>
      </c>
      <c r="C22" s="11">
        <v>1</v>
      </c>
      <c r="D22" s="11" t="s">
        <v>242</v>
      </c>
      <c r="E22" s="11"/>
      <c r="F22" s="11" t="s">
        <v>1965</v>
      </c>
      <c r="G22" s="11" t="s">
        <v>3161</v>
      </c>
      <c r="H22" s="11"/>
    </row>
    <row r="23" spans="1:14" s="1" customFormat="1" ht="75">
      <c r="A23" s="11">
        <v>21</v>
      </c>
      <c r="B23" s="11" t="s">
        <v>1364</v>
      </c>
      <c r="C23" s="11">
        <v>1</v>
      </c>
      <c r="D23" s="11" t="s">
        <v>242</v>
      </c>
      <c r="E23" s="11"/>
      <c r="F23" s="11" t="s">
        <v>1966</v>
      </c>
      <c r="G23" s="11" t="s">
        <v>3162</v>
      </c>
      <c r="H23" s="11"/>
    </row>
    <row r="24" spans="1:14" s="1" customFormat="1" ht="75">
      <c r="A24" s="11">
        <v>22</v>
      </c>
      <c r="B24" s="11" t="s">
        <v>1365</v>
      </c>
      <c r="C24" s="11">
        <v>1</v>
      </c>
      <c r="D24" s="11" t="s">
        <v>242</v>
      </c>
      <c r="E24" s="11"/>
      <c r="F24" s="11" t="s">
        <v>1967</v>
      </c>
      <c r="G24" s="11" t="s">
        <v>3163</v>
      </c>
      <c r="H24" s="11"/>
    </row>
    <row r="25" spans="1:14" s="1" customFormat="1" ht="75">
      <c r="A25" s="11">
        <v>23</v>
      </c>
      <c r="B25" s="11" t="s">
        <v>1366</v>
      </c>
      <c r="C25" s="11">
        <v>1</v>
      </c>
      <c r="D25" s="11" t="s">
        <v>242</v>
      </c>
      <c r="E25" s="11"/>
      <c r="F25" s="11" t="s">
        <v>1968</v>
      </c>
      <c r="G25" s="11" t="s">
        <v>3164</v>
      </c>
      <c r="H25" s="11"/>
    </row>
    <row r="26" spans="1:14" s="1" customFormat="1" ht="75">
      <c r="A26" s="11">
        <v>24</v>
      </c>
      <c r="B26" s="11" t="s">
        <v>1367</v>
      </c>
      <c r="C26" s="11">
        <v>1</v>
      </c>
      <c r="D26" s="11" t="s">
        <v>242</v>
      </c>
      <c r="E26" s="11"/>
      <c r="F26" s="11" t="s">
        <v>1969</v>
      </c>
      <c r="G26" s="11" t="s">
        <v>3165</v>
      </c>
      <c r="H26" s="11"/>
    </row>
    <row r="27" spans="1:14" s="1" customFormat="1" ht="75">
      <c r="A27" s="11">
        <v>25</v>
      </c>
      <c r="B27" s="11" t="s">
        <v>1316</v>
      </c>
      <c r="C27" s="11">
        <v>1</v>
      </c>
      <c r="D27" s="11" t="s">
        <v>242</v>
      </c>
      <c r="E27" s="11"/>
      <c r="F27" s="11" t="s">
        <v>1920</v>
      </c>
      <c r="G27" s="11" t="s">
        <v>3166</v>
      </c>
      <c r="H27" s="11"/>
    </row>
    <row r="28" spans="1:14" s="1" customFormat="1" ht="75">
      <c r="A28" s="11">
        <v>26</v>
      </c>
      <c r="B28" s="11" t="s">
        <v>1368</v>
      </c>
      <c r="C28" s="11">
        <v>1</v>
      </c>
      <c r="D28" s="11" t="s">
        <v>242</v>
      </c>
      <c r="E28" s="11"/>
      <c r="F28" s="11" t="s">
        <v>1970</v>
      </c>
      <c r="G28" s="11" t="s">
        <v>3167</v>
      </c>
      <c r="H28" s="11"/>
    </row>
    <row r="29" spans="1:14" s="1" customFormat="1" ht="75">
      <c r="A29" s="11">
        <v>27</v>
      </c>
      <c r="B29" s="11" t="s">
        <v>1369</v>
      </c>
      <c r="C29" s="11">
        <v>1</v>
      </c>
      <c r="D29" s="11" t="s">
        <v>242</v>
      </c>
      <c r="E29" s="11"/>
      <c r="F29" s="11" t="s">
        <v>1971</v>
      </c>
      <c r="G29" s="11" t="s">
        <v>5609</v>
      </c>
      <c r="H29" s="11"/>
    </row>
    <row r="30" spans="1:14" s="1" customFormat="1" ht="30">
      <c r="A30" s="11">
        <v>28</v>
      </c>
      <c r="B30" s="11" t="s">
        <v>1370</v>
      </c>
      <c r="C30" s="11">
        <v>2</v>
      </c>
      <c r="D30" s="11" t="s">
        <v>242</v>
      </c>
      <c r="E30" s="11"/>
      <c r="F30" s="11" t="s">
        <v>1972</v>
      </c>
      <c r="G30" s="11" t="s">
        <v>3168</v>
      </c>
      <c r="H30" s="11"/>
      <c r="N30" s="1" t="s">
        <v>1291</v>
      </c>
    </row>
    <row r="31" spans="1:14" s="1" customFormat="1" ht="30">
      <c r="A31" s="11">
        <v>29</v>
      </c>
      <c r="B31" s="11" t="s">
        <v>105</v>
      </c>
      <c r="C31" s="11">
        <v>20</v>
      </c>
      <c r="D31" s="11" t="s">
        <v>242</v>
      </c>
      <c r="E31" s="11"/>
      <c r="F31" s="11" t="s">
        <v>1716</v>
      </c>
      <c r="G31" s="11" t="s">
        <v>3169</v>
      </c>
      <c r="H31" s="11"/>
    </row>
    <row r="32" spans="1:14" s="1" customFormat="1" ht="30">
      <c r="A32" s="11">
        <v>30</v>
      </c>
      <c r="B32" s="11" t="s">
        <v>163</v>
      </c>
      <c r="C32" s="11">
        <v>14</v>
      </c>
      <c r="D32" s="11" t="s">
        <v>1032</v>
      </c>
      <c r="E32" s="11" t="s">
        <v>1033</v>
      </c>
      <c r="F32" s="11" t="s">
        <v>1717</v>
      </c>
      <c r="G32" s="11" t="s">
        <v>3170</v>
      </c>
      <c r="H32" s="11"/>
    </row>
    <row r="33" spans="1:8" s="1" customFormat="1">
      <c r="A33" s="11">
        <v>31</v>
      </c>
      <c r="B33" s="11" t="s">
        <v>1182</v>
      </c>
      <c r="C33" s="11">
        <v>12</v>
      </c>
      <c r="D33" s="11" t="s">
        <v>189</v>
      </c>
      <c r="E33" s="11" t="s">
        <v>5576</v>
      </c>
      <c r="F33" s="11" t="s">
        <v>1688</v>
      </c>
      <c r="G33" s="11" t="s">
        <v>1689</v>
      </c>
      <c r="H33" s="11"/>
    </row>
    <row r="34" spans="1:8" s="1" customFormat="1" ht="30">
      <c r="A34" s="11">
        <v>32</v>
      </c>
      <c r="B34" s="11" t="s">
        <v>1183</v>
      </c>
      <c r="C34" s="11">
        <v>30</v>
      </c>
      <c r="D34" s="11" t="s">
        <v>242</v>
      </c>
      <c r="E34" s="11" t="s">
        <v>5576</v>
      </c>
      <c r="F34" s="11" t="s">
        <v>1690</v>
      </c>
      <c r="G34" s="11" t="s">
        <v>1691</v>
      </c>
      <c r="H34" s="11"/>
    </row>
    <row r="35" spans="1:8" s="1" customFormat="1"/>
    <row r="36" spans="1:8" s="1" customFormat="1"/>
    <row r="37" spans="1:8" s="1" customFormat="1"/>
    <row r="38" spans="1:8" s="1" customFormat="1"/>
    <row r="39" spans="1:8" s="1" customFormat="1"/>
    <row r="40" spans="1:8" s="1" customFormat="1"/>
    <row r="41" spans="1:8" s="1" customFormat="1"/>
    <row r="42" spans="1:8" s="1" customFormat="1"/>
    <row r="43" spans="1:8" s="1" customFormat="1"/>
    <row r="44" spans="1:8" s="1" customFormat="1"/>
    <row r="45" spans="1:8" s="1" customFormat="1"/>
    <row r="46" spans="1:8" s="1" customFormat="1"/>
    <row r="47" spans="1:8" s="1" customFormat="1"/>
    <row r="48" spans="1: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9751D-76A5-4775-967D-3651AB925545}">
  <sheetPr codeName="Sheet67"/>
  <dimension ref="A1:XFC249"/>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5.7109375" style="2" bestFit="1" customWidth="1"/>
    <col min="9" max="16382" width="32.140625" style="2"/>
    <col min="16383" max="16383" width="1.7109375" style="2" customWidth="1"/>
    <col min="16384" max="16384" width="17.7109375" style="1" customWidth="1"/>
  </cols>
  <sheetData>
    <row r="1" spans="1:13" s="1" customFormat="1">
      <c r="A1" s="3" t="s">
        <v>238</v>
      </c>
      <c r="B1" s="3"/>
      <c r="C1" s="3"/>
      <c r="D1" s="3"/>
      <c r="E1" s="3"/>
      <c r="F1" s="3"/>
      <c r="G1" s="3"/>
      <c r="H1" s="3"/>
    </row>
    <row r="2" spans="1:13" s="1" customFormat="1">
      <c r="A2" s="10" t="s">
        <v>350</v>
      </c>
      <c r="B2" s="10" t="s">
        <v>156</v>
      </c>
      <c r="C2" s="10" t="s">
        <v>157</v>
      </c>
      <c r="D2" s="10" t="s">
        <v>239</v>
      </c>
      <c r="E2" s="10" t="s">
        <v>159</v>
      </c>
      <c r="F2" s="10" t="s">
        <v>1684</v>
      </c>
      <c r="G2" s="10" t="s">
        <v>1685</v>
      </c>
      <c r="H2" s="10" t="s">
        <v>5365</v>
      </c>
    </row>
    <row r="3" spans="1:13" s="1" customFormat="1">
      <c r="A3" s="11">
        <v>1</v>
      </c>
      <c r="B3" s="11" t="s">
        <v>240</v>
      </c>
      <c r="C3" s="11">
        <v>8</v>
      </c>
      <c r="D3" s="11" t="s">
        <v>160</v>
      </c>
      <c r="E3" s="11" t="s">
        <v>177</v>
      </c>
      <c r="F3" s="11" t="s">
        <v>1686</v>
      </c>
      <c r="G3" s="11" t="s">
        <v>1687</v>
      </c>
      <c r="H3" s="11" t="s">
        <v>5382</v>
      </c>
    </row>
    <row r="4" spans="1:13" s="1" customFormat="1">
      <c r="A4" s="11">
        <v>2</v>
      </c>
      <c r="B4" s="11" t="s">
        <v>1326</v>
      </c>
      <c r="C4" s="11">
        <v>4</v>
      </c>
      <c r="D4" s="11" t="s">
        <v>242</v>
      </c>
      <c r="E4" s="11"/>
      <c r="F4" s="11" t="s">
        <v>1888</v>
      </c>
      <c r="G4" s="11" t="s">
        <v>5610</v>
      </c>
      <c r="H4" s="11" t="s">
        <v>5384</v>
      </c>
    </row>
    <row r="5" spans="1:13" s="1" customFormat="1">
      <c r="A5" s="11">
        <v>3</v>
      </c>
      <c r="B5" s="11" t="s">
        <v>749</v>
      </c>
      <c r="C5" s="11">
        <v>30</v>
      </c>
      <c r="D5" s="11" t="s">
        <v>242</v>
      </c>
      <c r="E5" s="11"/>
      <c r="F5" s="11" t="s">
        <v>1973</v>
      </c>
      <c r="G5" s="11" t="s">
        <v>5611</v>
      </c>
      <c r="H5" s="11"/>
    </row>
    <row r="6" spans="1:13" s="1" customFormat="1">
      <c r="A6" s="11">
        <v>4</v>
      </c>
      <c r="B6" s="11" t="s">
        <v>748</v>
      </c>
      <c r="C6" s="11">
        <v>30</v>
      </c>
      <c r="D6" s="11" t="s">
        <v>242</v>
      </c>
      <c r="E6" s="11"/>
      <c r="F6" s="11" t="s">
        <v>1974</v>
      </c>
      <c r="G6" s="11" t="s">
        <v>5612</v>
      </c>
      <c r="H6" s="11"/>
    </row>
    <row r="7" spans="1:13" s="1" customFormat="1" ht="30">
      <c r="A7" s="11">
        <v>5</v>
      </c>
      <c r="B7" s="11" t="s">
        <v>1328</v>
      </c>
      <c r="C7" s="11">
        <v>4</v>
      </c>
      <c r="D7" s="11" t="s">
        <v>242</v>
      </c>
      <c r="E7" s="11"/>
      <c r="F7" s="11" t="s">
        <v>1891</v>
      </c>
      <c r="G7" s="11" t="s">
        <v>3171</v>
      </c>
      <c r="H7" s="11"/>
    </row>
    <row r="8" spans="1:13" s="1" customFormat="1" ht="30">
      <c r="A8" s="11">
        <v>6</v>
      </c>
      <c r="B8" s="11" t="s">
        <v>1371</v>
      </c>
      <c r="C8" s="11">
        <v>1</v>
      </c>
      <c r="D8" s="11" t="s">
        <v>242</v>
      </c>
      <c r="E8" s="11"/>
      <c r="F8" s="11" t="s">
        <v>1975</v>
      </c>
      <c r="G8" s="11" t="s">
        <v>5584</v>
      </c>
      <c r="H8" s="11"/>
    </row>
    <row r="9" spans="1:13" s="1" customFormat="1" ht="30">
      <c r="A9" s="11">
        <v>7</v>
      </c>
      <c r="B9" s="11" t="s">
        <v>1372</v>
      </c>
      <c r="C9" s="11">
        <v>1</v>
      </c>
      <c r="D9" s="11" t="s">
        <v>242</v>
      </c>
      <c r="E9" s="11"/>
      <c r="F9" s="11" t="s">
        <v>1976</v>
      </c>
      <c r="G9" s="11" t="s">
        <v>3172</v>
      </c>
      <c r="H9" s="11"/>
    </row>
    <row r="10" spans="1:13" s="1" customFormat="1" ht="30">
      <c r="A10" s="11">
        <v>8</v>
      </c>
      <c r="B10" s="11" t="s">
        <v>105</v>
      </c>
      <c r="C10" s="11">
        <v>20</v>
      </c>
      <c r="D10" s="11" t="s">
        <v>242</v>
      </c>
      <c r="E10" s="11"/>
      <c r="F10" s="11" t="s">
        <v>1716</v>
      </c>
      <c r="G10" s="11" t="s">
        <v>3173</v>
      </c>
      <c r="H10" s="11"/>
      <c r="M10" s="1" t="s">
        <v>1291</v>
      </c>
    </row>
    <row r="11" spans="1:13" s="1" customFormat="1" ht="30">
      <c r="A11" s="11">
        <v>9</v>
      </c>
      <c r="B11" s="11" t="s">
        <v>163</v>
      </c>
      <c r="C11" s="11">
        <v>14</v>
      </c>
      <c r="D11" s="11" t="s">
        <v>1032</v>
      </c>
      <c r="E11" s="11" t="s">
        <v>1033</v>
      </c>
      <c r="F11" s="11" t="s">
        <v>1717</v>
      </c>
      <c r="G11" s="11" t="s">
        <v>3174</v>
      </c>
      <c r="H11" s="11"/>
    </row>
    <row r="12" spans="1:13" s="1" customFormat="1">
      <c r="A12" s="11">
        <v>10</v>
      </c>
      <c r="B12" s="11" t="s">
        <v>1182</v>
      </c>
      <c r="C12" s="11">
        <v>12</v>
      </c>
      <c r="D12" s="11" t="s">
        <v>189</v>
      </c>
      <c r="E12" s="11" t="s">
        <v>5576</v>
      </c>
      <c r="F12" s="11" t="s">
        <v>1688</v>
      </c>
      <c r="G12" s="11" t="s">
        <v>1689</v>
      </c>
      <c r="H12" s="11"/>
    </row>
    <row r="13" spans="1:13" s="1" customFormat="1" ht="30">
      <c r="A13" s="11">
        <v>11</v>
      </c>
      <c r="B13" s="11" t="s">
        <v>1183</v>
      </c>
      <c r="C13" s="11">
        <v>30</v>
      </c>
      <c r="D13" s="11" t="s">
        <v>242</v>
      </c>
      <c r="E13" s="11" t="s">
        <v>5576</v>
      </c>
      <c r="F13" s="11" t="s">
        <v>1690</v>
      </c>
      <c r="G13" s="11" t="s">
        <v>1691</v>
      </c>
      <c r="H13" s="11"/>
    </row>
    <row r="14" spans="1:13" s="1" customFormat="1"/>
    <row r="15" spans="1:13" s="1" customFormat="1"/>
    <row r="16" spans="1:13"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C6A4E-40D8-40D9-B80F-09A7C55BD775}">
  <sheetPr codeName="Sheet68"/>
  <dimension ref="A1:XFC251"/>
  <sheetViews>
    <sheetView topLeftCell="A16" workbookViewId="0">
      <selection activeCell="C22" sqref="C22"/>
    </sheetView>
  </sheetViews>
  <sheetFormatPr defaultColWidth="32.140625" defaultRowHeight="15"/>
  <cols>
    <col min="1" max="1" width="7.140625" style="1" bestFit="1" customWidth="1"/>
    <col min="2" max="2" width="19.42578125" style="1" bestFit="1" customWidth="1"/>
    <col min="3" max="3" width="4.5703125" style="1" bestFit="1" customWidth="1"/>
    <col min="4" max="4" width="9" style="1" bestFit="1" customWidth="1"/>
    <col min="5" max="5" width="24.42578125" style="1" bestFit="1" customWidth="1"/>
    <col min="6" max="6" width="33.28515625" style="1" bestFit="1" customWidth="1"/>
    <col min="7" max="7" width="57.140625" style="1" bestFit="1" customWidth="1"/>
    <col min="8" max="8" width="4.7109375" style="2" bestFit="1" customWidth="1"/>
    <col min="9" max="10" width="32.140625" style="2"/>
    <col min="11" max="11" width="15.28515625" style="2" customWidth="1"/>
    <col min="12" max="16382" width="32.140625" style="2"/>
    <col min="16383" max="16383" width="1.7109375" style="2" customWidth="1"/>
    <col min="16384" max="16384" width="17.7109375" style="1" customWidth="1"/>
  </cols>
  <sheetData>
    <row r="1" spans="1:10" s="1" customFormat="1">
      <c r="A1" s="3" t="s">
        <v>238</v>
      </c>
      <c r="B1" s="3"/>
      <c r="C1" s="3"/>
      <c r="D1" s="3"/>
      <c r="E1" s="3"/>
      <c r="F1" s="3"/>
      <c r="G1" s="3"/>
      <c r="H1" s="3"/>
    </row>
    <row r="2" spans="1:10" s="1" customFormat="1">
      <c r="A2" s="10" t="s">
        <v>350</v>
      </c>
      <c r="B2" s="10" t="s">
        <v>156</v>
      </c>
      <c r="C2" s="10" t="s">
        <v>157</v>
      </c>
      <c r="D2" s="10" t="s">
        <v>239</v>
      </c>
      <c r="E2" s="10" t="s">
        <v>159</v>
      </c>
      <c r="F2" s="10" t="s">
        <v>1684</v>
      </c>
      <c r="G2" s="10" t="s">
        <v>1685</v>
      </c>
      <c r="H2" s="10" t="s">
        <v>5365</v>
      </c>
    </row>
    <row r="3" spans="1:10" s="1" customFormat="1">
      <c r="A3" s="11">
        <v>1</v>
      </c>
      <c r="B3" s="11" t="s">
        <v>240</v>
      </c>
      <c r="C3" s="11">
        <v>8</v>
      </c>
      <c r="D3" s="11" t="s">
        <v>160</v>
      </c>
      <c r="E3" s="11" t="s">
        <v>177</v>
      </c>
      <c r="F3" s="11" t="s">
        <v>1686</v>
      </c>
      <c r="G3" s="11" t="s">
        <v>1687</v>
      </c>
      <c r="H3" s="11" t="s">
        <v>5382</v>
      </c>
    </row>
    <row r="4" spans="1:10" s="1" customFormat="1" ht="30">
      <c r="A4" s="11">
        <v>2</v>
      </c>
      <c r="B4" s="11" t="s">
        <v>140</v>
      </c>
      <c r="C4" s="11">
        <v>2</v>
      </c>
      <c r="D4" s="11" t="s">
        <v>242</v>
      </c>
      <c r="E4" s="11"/>
      <c r="F4" s="11" t="s">
        <v>1977</v>
      </c>
      <c r="G4" s="11" t="s">
        <v>3175</v>
      </c>
      <c r="H4" s="11" t="s">
        <v>5384</v>
      </c>
    </row>
    <row r="5" spans="1:10" s="1" customFormat="1" ht="30">
      <c r="A5" s="11">
        <v>3</v>
      </c>
      <c r="B5" s="11" t="s">
        <v>820</v>
      </c>
      <c r="C5" s="11">
        <v>2</v>
      </c>
      <c r="D5" s="11" t="s">
        <v>242</v>
      </c>
      <c r="E5" s="11"/>
      <c r="F5" s="11" t="s">
        <v>1978</v>
      </c>
      <c r="G5" s="11" t="s">
        <v>3176</v>
      </c>
      <c r="H5" s="11"/>
    </row>
    <row r="6" spans="1:10" s="30" customFormat="1" ht="30">
      <c r="A6" s="59">
        <v>4</v>
      </c>
      <c r="B6" s="59" t="s">
        <v>5874</v>
      </c>
      <c r="C6" s="59">
        <v>3</v>
      </c>
      <c r="D6" s="84" t="s">
        <v>242</v>
      </c>
      <c r="E6" s="84"/>
      <c r="F6" s="84" t="s">
        <v>5894</v>
      </c>
      <c r="G6" s="84" t="s">
        <v>5613</v>
      </c>
      <c r="H6" s="59"/>
      <c r="I6" s="31" t="s">
        <v>6997</v>
      </c>
    </row>
    <row r="7" spans="1:10" s="30" customFormat="1" ht="30">
      <c r="A7" s="59">
        <v>5</v>
      </c>
      <c r="B7" s="59" t="s">
        <v>5875</v>
      </c>
      <c r="C7" s="59">
        <v>3</v>
      </c>
      <c r="D7" s="84" t="s">
        <v>242</v>
      </c>
      <c r="E7" s="84"/>
      <c r="F7" s="84" t="s">
        <v>5895</v>
      </c>
      <c r="G7" s="84" t="s">
        <v>5613</v>
      </c>
      <c r="H7" s="59"/>
      <c r="I7" s="31" t="s">
        <v>6997</v>
      </c>
    </row>
    <row r="8" spans="1:10" s="30" customFormat="1" ht="30">
      <c r="A8" s="59">
        <v>6</v>
      </c>
      <c r="B8" s="59" t="s">
        <v>5876</v>
      </c>
      <c r="C8" s="59">
        <v>3</v>
      </c>
      <c r="D8" s="84" t="s">
        <v>242</v>
      </c>
      <c r="E8" s="84"/>
      <c r="F8" s="84" t="s">
        <v>5896</v>
      </c>
      <c r="G8" s="84" t="s">
        <v>5613</v>
      </c>
      <c r="H8" s="59"/>
      <c r="I8" s="31" t="s">
        <v>6997</v>
      </c>
    </row>
    <row r="9" spans="1:10" s="30" customFormat="1" ht="30">
      <c r="A9" s="59">
        <v>7</v>
      </c>
      <c r="B9" s="59" t="s">
        <v>5877</v>
      </c>
      <c r="C9" s="59">
        <v>3</v>
      </c>
      <c r="D9" s="84" t="s">
        <v>242</v>
      </c>
      <c r="E9" s="84"/>
      <c r="F9" s="84" t="s">
        <v>5897</v>
      </c>
      <c r="G9" s="84" t="s">
        <v>5613</v>
      </c>
      <c r="H9" s="59"/>
      <c r="I9" s="31" t="s">
        <v>6997</v>
      </c>
    </row>
    <row r="10" spans="1:10" s="30" customFormat="1" ht="30">
      <c r="A10" s="59">
        <v>8</v>
      </c>
      <c r="B10" s="59" t="s">
        <v>5878</v>
      </c>
      <c r="C10" s="59">
        <v>3</v>
      </c>
      <c r="D10" s="84" t="s">
        <v>242</v>
      </c>
      <c r="E10" s="84"/>
      <c r="F10" s="84" t="s">
        <v>5898</v>
      </c>
      <c r="G10" s="84" t="s">
        <v>5613</v>
      </c>
      <c r="H10" s="59"/>
      <c r="I10" s="31" t="s">
        <v>6997</v>
      </c>
    </row>
    <row r="11" spans="1:10" s="30" customFormat="1" ht="30">
      <c r="A11" s="59">
        <v>9</v>
      </c>
      <c r="B11" s="59" t="s">
        <v>5879</v>
      </c>
      <c r="C11" s="59">
        <v>3</v>
      </c>
      <c r="D11" s="84" t="s">
        <v>242</v>
      </c>
      <c r="E11" s="84"/>
      <c r="F11" s="84" t="s">
        <v>5899</v>
      </c>
      <c r="G11" s="84" t="s">
        <v>5613</v>
      </c>
      <c r="H11" s="59"/>
      <c r="I11" s="31" t="s">
        <v>6997</v>
      </c>
    </row>
    <row r="12" spans="1:10" s="30" customFormat="1" ht="30">
      <c r="A12" s="59">
        <v>10</v>
      </c>
      <c r="B12" s="59" t="s">
        <v>5880</v>
      </c>
      <c r="C12" s="59">
        <v>3</v>
      </c>
      <c r="D12" s="84" t="s">
        <v>242</v>
      </c>
      <c r="E12" s="84"/>
      <c r="F12" s="84" t="s">
        <v>5900</v>
      </c>
      <c r="G12" s="84" t="s">
        <v>5613</v>
      </c>
      <c r="H12" s="59"/>
      <c r="I12" s="31" t="s">
        <v>6997</v>
      </c>
    </row>
    <row r="13" spans="1:10" s="30" customFormat="1" ht="30">
      <c r="A13" s="59">
        <v>11</v>
      </c>
      <c r="B13" s="59" t="s">
        <v>5881</v>
      </c>
      <c r="C13" s="59">
        <v>3</v>
      </c>
      <c r="D13" s="84" t="s">
        <v>242</v>
      </c>
      <c r="E13" s="84"/>
      <c r="F13" s="84" t="s">
        <v>5901</v>
      </c>
      <c r="G13" s="84" t="s">
        <v>5613</v>
      </c>
      <c r="H13" s="59"/>
      <c r="I13" s="31" t="s">
        <v>6997</v>
      </c>
    </row>
    <row r="14" spans="1:10" s="1" customFormat="1" ht="30">
      <c r="A14" s="59">
        <v>12</v>
      </c>
      <c r="B14" s="59" t="s">
        <v>5882</v>
      </c>
      <c r="C14" s="59">
        <v>3</v>
      </c>
      <c r="D14" s="84" t="s">
        <v>242</v>
      </c>
      <c r="E14" s="84"/>
      <c r="F14" s="84" t="s">
        <v>5902</v>
      </c>
      <c r="G14" s="84" t="s">
        <v>5613</v>
      </c>
      <c r="H14" s="59"/>
      <c r="I14" s="31" t="s">
        <v>6997</v>
      </c>
      <c r="J14" s="30"/>
    </row>
    <row r="15" spans="1:10" s="1" customFormat="1" ht="30">
      <c r="A15" s="59">
        <v>13</v>
      </c>
      <c r="B15" s="59" t="s">
        <v>5883</v>
      </c>
      <c r="C15" s="59">
        <v>3</v>
      </c>
      <c r="D15" s="84" t="s">
        <v>242</v>
      </c>
      <c r="E15" s="84"/>
      <c r="F15" s="84" t="s">
        <v>5903</v>
      </c>
      <c r="G15" s="84" t="s">
        <v>5613</v>
      </c>
      <c r="H15" s="59"/>
      <c r="I15" s="31" t="s">
        <v>6997</v>
      </c>
      <c r="J15" s="30"/>
    </row>
    <row r="16" spans="1:10" s="1" customFormat="1" ht="30">
      <c r="A16" s="59">
        <v>14</v>
      </c>
      <c r="B16" s="59" t="s">
        <v>5884</v>
      </c>
      <c r="C16" s="59">
        <v>3</v>
      </c>
      <c r="D16" s="84" t="s">
        <v>242</v>
      </c>
      <c r="E16" s="84"/>
      <c r="F16" s="84" t="s">
        <v>5904</v>
      </c>
      <c r="G16" s="84" t="s">
        <v>5613</v>
      </c>
      <c r="H16" s="59"/>
      <c r="I16" s="31" t="s">
        <v>6997</v>
      </c>
      <c r="J16" s="30"/>
    </row>
    <row r="17" spans="1:10" s="1" customFormat="1" ht="30">
      <c r="A17" s="59">
        <v>15</v>
      </c>
      <c r="B17" s="59" t="s">
        <v>5885</v>
      </c>
      <c r="C17" s="59">
        <v>3</v>
      </c>
      <c r="D17" s="84" t="s">
        <v>242</v>
      </c>
      <c r="E17" s="84"/>
      <c r="F17" s="84" t="s">
        <v>5905</v>
      </c>
      <c r="G17" s="84" t="s">
        <v>5613</v>
      </c>
      <c r="H17" s="59"/>
      <c r="I17" s="31" t="s">
        <v>6997</v>
      </c>
      <c r="J17" s="30"/>
    </row>
    <row r="18" spans="1:10" s="1" customFormat="1" ht="30">
      <c r="A18" s="59">
        <v>16</v>
      </c>
      <c r="B18" s="59" t="s">
        <v>5886</v>
      </c>
      <c r="C18" s="59">
        <v>3</v>
      </c>
      <c r="D18" s="84" t="s">
        <v>242</v>
      </c>
      <c r="E18" s="84"/>
      <c r="F18" s="84" t="s">
        <v>5906</v>
      </c>
      <c r="G18" s="84" t="s">
        <v>5613</v>
      </c>
      <c r="H18" s="59"/>
      <c r="I18" s="31" t="s">
        <v>6997</v>
      </c>
      <c r="J18" s="30"/>
    </row>
    <row r="19" spans="1:10" s="1" customFormat="1" ht="30">
      <c r="A19" s="59">
        <v>17</v>
      </c>
      <c r="B19" s="59" t="s">
        <v>5887</v>
      </c>
      <c r="C19" s="59">
        <v>3</v>
      </c>
      <c r="D19" s="84" t="s">
        <v>242</v>
      </c>
      <c r="E19" s="84"/>
      <c r="F19" s="84" t="s">
        <v>5907</v>
      </c>
      <c r="G19" s="84" t="s">
        <v>5613</v>
      </c>
      <c r="H19" s="59"/>
      <c r="I19" s="31" t="s">
        <v>6997</v>
      </c>
      <c r="J19" s="30"/>
    </row>
    <row r="20" spans="1:10" s="1" customFormat="1" ht="30">
      <c r="A20" s="59">
        <v>18</v>
      </c>
      <c r="B20" s="59" t="s">
        <v>5888</v>
      </c>
      <c r="C20" s="59">
        <v>3</v>
      </c>
      <c r="D20" s="84" t="s">
        <v>242</v>
      </c>
      <c r="E20" s="84"/>
      <c r="F20" s="84" t="s">
        <v>5908</v>
      </c>
      <c r="G20" s="84" t="s">
        <v>5613</v>
      </c>
      <c r="H20" s="59"/>
      <c r="I20" s="31" t="s">
        <v>6997</v>
      </c>
      <c r="J20" s="30"/>
    </row>
    <row r="21" spans="1:10" s="1" customFormat="1" ht="30">
      <c r="A21" s="59">
        <v>19</v>
      </c>
      <c r="B21" s="59" t="s">
        <v>5889</v>
      </c>
      <c r="C21" s="59">
        <v>3</v>
      </c>
      <c r="D21" s="59" t="s">
        <v>242</v>
      </c>
      <c r="E21" s="59"/>
      <c r="F21" s="84" t="s">
        <v>5909</v>
      </c>
      <c r="G21" s="59" t="s">
        <v>5613</v>
      </c>
      <c r="H21" s="59"/>
      <c r="I21" s="31" t="s">
        <v>6997</v>
      </c>
      <c r="J21" s="30"/>
    </row>
    <row r="22" spans="1:10" s="1" customFormat="1" ht="30">
      <c r="A22" s="59">
        <v>20</v>
      </c>
      <c r="B22" s="59" t="s">
        <v>5890</v>
      </c>
      <c r="C22" s="59">
        <v>3</v>
      </c>
      <c r="D22" s="59" t="s">
        <v>242</v>
      </c>
      <c r="E22" s="59"/>
      <c r="F22" s="84" t="s">
        <v>5910</v>
      </c>
      <c r="G22" s="59" t="s">
        <v>5613</v>
      </c>
      <c r="H22" s="59"/>
      <c r="I22" s="31" t="s">
        <v>6997</v>
      </c>
      <c r="J22" s="30"/>
    </row>
    <row r="23" spans="1:10" s="1" customFormat="1" ht="30">
      <c r="A23" s="59">
        <v>21</v>
      </c>
      <c r="B23" s="59" t="s">
        <v>5891</v>
      </c>
      <c r="C23" s="59">
        <v>3</v>
      </c>
      <c r="D23" s="59" t="s">
        <v>242</v>
      </c>
      <c r="E23" s="59"/>
      <c r="F23" s="84" t="s">
        <v>5911</v>
      </c>
      <c r="G23" s="59" t="s">
        <v>5613</v>
      </c>
      <c r="H23" s="59"/>
      <c r="I23" s="31" t="s">
        <v>6997</v>
      </c>
      <c r="J23" s="30"/>
    </row>
    <row r="24" spans="1:10" s="1" customFormat="1" ht="30">
      <c r="A24" s="59">
        <v>22</v>
      </c>
      <c r="B24" s="59" t="s">
        <v>5892</v>
      </c>
      <c r="C24" s="59">
        <v>3</v>
      </c>
      <c r="D24" s="59" t="s">
        <v>242</v>
      </c>
      <c r="E24" s="59"/>
      <c r="F24" s="84" t="s">
        <v>5912</v>
      </c>
      <c r="G24" s="59" t="s">
        <v>5613</v>
      </c>
      <c r="H24" s="59"/>
      <c r="I24" s="31" t="s">
        <v>6997</v>
      </c>
      <c r="J24" s="30"/>
    </row>
    <row r="25" spans="1:10" s="1" customFormat="1" ht="30">
      <c r="A25" s="59">
        <v>23</v>
      </c>
      <c r="B25" s="59" t="s">
        <v>5893</v>
      </c>
      <c r="C25" s="59">
        <v>3</v>
      </c>
      <c r="D25" s="59" t="s">
        <v>242</v>
      </c>
      <c r="E25" s="59"/>
      <c r="F25" s="84" t="s">
        <v>5913</v>
      </c>
      <c r="G25" s="59" t="s">
        <v>5613</v>
      </c>
      <c r="H25" s="59"/>
      <c r="I25" s="31" t="s">
        <v>6997</v>
      </c>
      <c r="J25" s="30"/>
    </row>
    <row r="26" spans="1:10" s="1" customFormat="1" ht="30">
      <c r="A26" s="29">
        <v>24</v>
      </c>
      <c r="B26" s="11" t="s">
        <v>105</v>
      </c>
      <c r="C26" s="11">
        <v>20</v>
      </c>
      <c r="D26" s="11" t="s">
        <v>242</v>
      </c>
      <c r="E26" s="11"/>
      <c r="F26" s="11" t="s">
        <v>1716</v>
      </c>
      <c r="G26" s="11" t="s">
        <v>3177</v>
      </c>
      <c r="H26" s="11"/>
    </row>
    <row r="27" spans="1:10" s="1" customFormat="1" ht="30">
      <c r="A27" s="29">
        <v>25</v>
      </c>
      <c r="B27" s="11" t="s">
        <v>163</v>
      </c>
      <c r="C27" s="11">
        <v>14</v>
      </c>
      <c r="D27" s="11" t="s">
        <v>1032</v>
      </c>
      <c r="E27" s="11" t="s">
        <v>1033</v>
      </c>
      <c r="F27" s="11" t="s">
        <v>1717</v>
      </c>
      <c r="G27" s="11" t="s">
        <v>3178</v>
      </c>
      <c r="H27" s="11"/>
    </row>
    <row r="28" spans="1:10" s="1" customFormat="1">
      <c r="A28" s="29">
        <v>26</v>
      </c>
      <c r="B28" s="11" t="s">
        <v>1182</v>
      </c>
      <c r="C28" s="11">
        <v>12</v>
      </c>
      <c r="D28" s="11" t="s">
        <v>189</v>
      </c>
      <c r="E28" s="11" t="s">
        <v>5576</v>
      </c>
      <c r="F28" s="11" t="s">
        <v>1688</v>
      </c>
      <c r="G28" s="11" t="s">
        <v>1689</v>
      </c>
      <c r="H28" s="11"/>
    </row>
    <row r="29" spans="1:10" s="1" customFormat="1" ht="30">
      <c r="A29" s="29">
        <v>27</v>
      </c>
      <c r="B29" s="11" t="s">
        <v>1183</v>
      </c>
      <c r="C29" s="11">
        <v>30</v>
      </c>
      <c r="D29" s="11" t="s">
        <v>242</v>
      </c>
      <c r="E29" s="11" t="s">
        <v>5576</v>
      </c>
      <c r="F29" s="11" t="s">
        <v>1690</v>
      </c>
      <c r="G29" s="11" t="s">
        <v>1691</v>
      </c>
      <c r="H29" s="11"/>
    </row>
    <row r="30" spans="1:10" s="1" customFormat="1"/>
    <row r="31" spans="1:10" s="1" customFormat="1"/>
    <row r="32" spans="1:10"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sheetData>
  <phoneticPr fontId="2" type="noConversion"/>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F5A3-CE64-4B7D-8A6A-9EAA90A2F736}">
  <sheetPr codeName="Sheet74"/>
  <dimension ref="A1:XFC249"/>
  <sheetViews>
    <sheetView topLeftCell="A13" workbookViewId="0">
      <selection activeCell="C22" sqref="C22"/>
    </sheetView>
  </sheetViews>
  <sheetFormatPr defaultColWidth="32.140625" defaultRowHeight="15"/>
  <cols>
    <col min="1" max="1" width="7.140625" style="1" bestFit="1" customWidth="1"/>
    <col min="2" max="2" width="21.140625" style="1" bestFit="1" customWidth="1"/>
    <col min="3" max="3" width="4.5703125" style="1" bestFit="1" customWidth="1"/>
    <col min="4" max="4" width="9" style="1" bestFit="1" customWidth="1"/>
    <col min="5" max="5" width="24.42578125" style="1" bestFit="1" customWidth="1"/>
    <col min="6" max="6" width="41.85546875" style="1" bestFit="1" customWidth="1"/>
    <col min="7" max="7" width="57.140625" style="1" bestFit="1" customWidth="1"/>
    <col min="8" max="8" width="4.7109375" style="2" bestFit="1" customWidth="1"/>
    <col min="9" max="13" width="32.140625" style="2"/>
    <col min="14" max="14" width="1" style="2" bestFit="1" customWidth="1"/>
    <col min="15" max="16382" width="32.140625" style="2"/>
    <col min="16383" max="16383" width="1.7109375" style="2" customWidth="1"/>
    <col min="16384" max="16384" width="17.7109375" style="1" customWidth="1"/>
  </cols>
  <sheetData>
    <row r="1" spans="1:8" s="1" customFormat="1">
      <c r="A1" s="3" t="s">
        <v>238</v>
      </c>
      <c r="B1" s="3"/>
      <c r="C1" s="3"/>
      <c r="D1" s="3"/>
      <c r="E1" s="3"/>
      <c r="F1" s="3"/>
      <c r="G1" s="3"/>
      <c r="H1" s="3"/>
    </row>
    <row r="2" spans="1:8" s="1" customFormat="1">
      <c r="A2" s="10" t="s">
        <v>350</v>
      </c>
      <c r="B2" s="10" t="s">
        <v>156</v>
      </c>
      <c r="C2" s="10" t="s">
        <v>157</v>
      </c>
      <c r="D2" s="10" t="s">
        <v>239</v>
      </c>
      <c r="E2" s="10" t="s">
        <v>159</v>
      </c>
      <c r="F2" s="10" t="s">
        <v>1684</v>
      </c>
      <c r="G2" s="10" t="s">
        <v>1685</v>
      </c>
      <c r="H2" s="10" t="s">
        <v>5365</v>
      </c>
    </row>
    <row r="3" spans="1:8" s="1" customFormat="1">
      <c r="A3" s="11">
        <v>1</v>
      </c>
      <c r="B3" s="11" t="s">
        <v>240</v>
      </c>
      <c r="C3" s="11">
        <v>8</v>
      </c>
      <c r="D3" s="11" t="s">
        <v>160</v>
      </c>
      <c r="E3" s="11" t="s">
        <v>177</v>
      </c>
      <c r="F3" s="11" t="s">
        <v>1686</v>
      </c>
      <c r="G3" s="11" t="s">
        <v>1687</v>
      </c>
      <c r="H3" s="11" t="s">
        <v>5382</v>
      </c>
    </row>
    <row r="4" spans="1:8" s="1" customFormat="1" ht="30">
      <c r="A4" s="11">
        <v>2</v>
      </c>
      <c r="B4" s="11" t="s">
        <v>623</v>
      </c>
      <c r="C4" s="11">
        <v>3</v>
      </c>
      <c r="D4" s="11" t="s">
        <v>242</v>
      </c>
      <c r="E4" s="11"/>
      <c r="F4" s="11" t="s">
        <v>1980</v>
      </c>
      <c r="G4" s="11" t="s">
        <v>3179</v>
      </c>
      <c r="H4" s="11" t="s">
        <v>5384</v>
      </c>
    </row>
    <row r="5" spans="1:8" s="1" customFormat="1" ht="30">
      <c r="A5" s="11">
        <v>3</v>
      </c>
      <c r="B5" s="11" t="s">
        <v>749</v>
      </c>
      <c r="C5" s="11">
        <v>30</v>
      </c>
      <c r="D5" s="11" t="s">
        <v>242</v>
      </c>
      <c r="E5" s="11"/>
      <c r="F5" s="11" t="s">
        <v>1981</v>
      </c>
      <c r="G5" s="11" t="s">
        <v>5585</v>
      </c>
      <c r="H5" s="11"/>
    </row>
    <row r="6" spans="1:8" s="1" customFormat="1">
      <c r="A6" s="11">
        <v>4</v>
      </c>
      <c r="B6" s="11" t="s">
        <v>748</v>
      </c>
      <c r="C6" s="11">
        <v>30</v>
      </c>
      <c r="D6" s="11" t="s">
        <v>242</v>
      </c>
      <c r="E6" s="11"/>
      <c r="F6" s="11" t="s">
        <v>1982</v>
      </c>
      <c r="G6" s="11" t="s">
        <v>5662</v>
      </c>
      <c r="H6" s="11"/>
    </row>
    <row r="7" spans="1:8" s="1" customFormat="1" ht="75">
      <c r="A7" s="11">
        <v>5</v>
      </c>
      <c r="B7" s="11" t="s">
        <v>1373</v>
      </c>
      <c r="C7" s="11">
        <v>1</v>
      </c>
      <c r="D7" s="11" t="s">
        <v>242</v>
      </c>
      <c r="E7" s="11"/>
      <c r="F7" s="11" t="s">
        <v>1983</v>
      </c>
      <c r="G7" s="11" t="s">
        <v>3180</v>
      </c>
      <c r="H7" s="11"/>
    </row>
    <row r="8" spans="1:8" s="1" customFormat="1" ht="90">
      <c r="A8" s="11">
        <v>6</v>
      </c>
      <c r="B8" s="11" t="s">
        <v>1374</v>
      </c>
      <c r="C8" s="11">
        <v>1</v>
      </c>
      <c r="D8" s="11" t="s">
        <v>242</v>
      </c>
      <c r="E8" s="11"/>
      <c r="F8" s="11" t="s">
        <v>1984</v>
      </c>
      <c r="G8" s="11" t="s">
        <v>3181</v>
      </c>
      <c r="H8" s="11"/>
    </row>
    <row r="9" spans="1:8" s="1" customFormat="1" ht="75">
      <c r="A9" s="11">
        <v>7</v>
      </c>
      <c r="B9" s="11" t="s">
        <v>1375</v>
      </c>
      <c r="C9" s="11">
        <v>1</v>
      </c>
      <c r="D9" s="11" t="s">
        <v>242</v>
      </c>
      <c r="E9" s="11"/>
      <c r="F9" s="11" t="s">
        <v>1985</v>
      </c>
      <c r="G9" s="11" t="s">
        <v>3182</v>
      </c>
      <c r="H9" s="11"/>
    </row>
    <row r="10" spans="1:8" s="1" customFormat="1" ht="75">
      <c r="A10" s="11">
        <v>8</v>
      </c>
      <c r="B10" s="11" t="s">
        <v>1996</v>
      </c>
      <c r="C10" s="11">
        <v>1</v>
      </c>
      <c r="D10" s="11" t="s">
        <v>242</v>
      </c>
      <c r="E10" s="11"/>
      <c r="F10" s="11" t="s">
        <v>1997</v>
      </c>
      <c r="G10" s="11" t="s">
        <v>3183</v>
      </c>
      <c r="H10" s="11"/>
    </row>
    <row r="11" spans="1:8" s="1" customFormat="1" ht="30">
      <c r="A11" s="11">
        <v>9</v>
      </c>
      <c r="B11" s="11" t="s">
        <v>1376</v>
      </c>
      <c r="C11" s="11">
        <v>1</v>
      </c>
      <c r="D11" s="11" t="s">
        <v>242</v>
      </c>
      <c r="E11" s="11"/>
      <c r="F11" s="11" t="s">
        <v>1986</v>
      </c>
      <c r="G11" s="11" t="s">
        <v>3184</v>
      </c>
      <c r="H11" s="11"/>
    </row>
    <row r="12" spans="1:8" s="1" customFormat="1" ht="75">
      <c r="A12" s="11">
        <v>10</v>
      </c>
      <c r="B12" s="11" t="s">
        <v>1377</v>
      </c>
      <c r="C12" s="11">
        <v>1</v>
      </c>
      <c r="D12" s="11" t="s">
        <v>242</v>
      </c>
      <c r="E12" s="11"/>
      <c r="F12" s="11" t="s">
        <v>1995</v>
      </c>
      <c r="G12" s="11" t="s">
        <v>3185</v>
      </c>
      <c r="H12" s="11"/>
    </row>
    <row r="13" spans="1:8" s="1" customFormat="1" ht="30">
      <c r="A13" s="11">
        <v>11</v>
      </c>
      <c r="B13" s="11" t="s">
        <v>1378</v>
      </c>
      <c r="C13" s="11">
        <v>10</v>
      </c>
      <c r="D13" s="11" t="s">
        <v>189</v>
      </c>
      <c r="E13" s="11"/>
      <c r="F13" s="11" t="s">
        <v>1987</v>
      </c>
      <c r="G13" s="11" t="s">
        <v>3186</v>
      </c>
      <c r="H13" s="11"/>
    </row>
    <row r="14" spans="1:8" s="1" customFormat="1" ht="30">
      <c r="A14" s="11">
        <v>12</v>
      </c>
      <c r="B14" s="11" t="s">
        <v>1379</v>
      </c>
      <c r="C14" s="11">
        <v>1</v>
      </c>
      <c r="D14" s="11" t="s">
        <v>242</v>
      </c>
      <c r="E14" s="11"/>
      <c r="F14" s="11" t="s">
        <v>1988</v>
      </c>
      <c r="G14" s="11" t="s">
        <v>3187</v>
      </c>
      <c r="H14" s="11"/>
    </row>
    <row r="15" spans="1:8" s="1" customFormat="1" ht="30">
      <c r="A15" s="11">
        <v>13</v>
      </c>
      <c r="B15" s="11" t="s">
        <v>1380</v>
      </c>
      <c r="C15" s="11">
        <v>1</v>
      </c>
      <c r="D15" s="11" t="s">
        <v>242</v>
      </c>
      <c r="E15" s="11"/>
      <c r="F15" s="11" t="s">
        <v>1989</v>
      </c>
      <c r="G15" s="11" t="s">
        <v>3188</v>
      </c>
      <c r="H15" s="11"/>
    </row>
    <row r="16" spans="1:8" s="1" customFormat="1" ht="30">
      <c r="A16" s="11">
        <v>14</v>
      </c>
      <c r="B16" s="11" t="s">
        <v>1381</v>
      </c>
      <c r="C16" s="11">
        <v>3</v>
      </c>
      <c r="D16" s="11" t="s">
        <v>242</v>
      </c>
      <c r="E16" s="11"/>
      <c r="F16" s="11" t="s">
        <v>1990</v>
      </c>
      <c r="G16" s="11" t="s">
        <v>3189</v>
      </c>
      <c r="H16" s="11"/>
    </row>
    <row r="17" spans="1:14" s="1" customFormat="1" ht="30">
      <c r="A17" s="11">
        <v>15</v>
      </c>
      <c r="B17" s="11" t="s">
        <v>1382</v>
      </c>
      <c r="C17" s="11">
        <v>1</v>
      </c>
      <c r="D17" s="11" t="s">
        <v>242</v>
      </c>
      <c r="E17" s="11"/>
      <c r="F17" s="11" t="s">
        <v>1991</v>
      </c>
      <c r="G17" s="11" t="s">
        <v>3190</v>
      </c>
      <c r="H17" s="11"/>
    </row>
    <row r="18" spans="1:14" s="1" customFormat="1" ht="75">
      <c r="A18" s="11">
        <v>16</v>
      </c>
      <c r="B18" s="11" t="s">
        <v>1383</v>
      </c>
      <c r="C18" s="11">
        <v>1</v>
      </c>
      <c r="D18" s="11" t="s">
        <v>242</v>
      </c>
      <c r="E18" s="11"/>
      <c r="F18" s="11" t="s">
        <v>1992</v>
      </c>
      <c r="G18" s="11" t="s">
        <v>3191</v>
      </c>
      <c r="H18" s="11"/>
    </row>
    <row r="19" spans="1:14" s="1" customFormat="1" ht="75">
      <c r="A19" s="11">
        <v>17</v>
      </c>
      <c r="B19" s="11" t="s">
        <v>1384</v>
      </c>
      <c r="C19" s="11">
        <v>1</v>
      </c>
      <c r="D19" s="11" t="s">
        <v>242</v>
      </c>
      <c r="E19" s="11"/>
      <c r="F19" s="11" t="s">
        <v>1993</v>
      </c>
      <c r="G19" s="11" t="s">
        <v>1998</v>
      </c>
      <c r="H19" s="11"/>
      <c r="N19" s="1" t="s">
        <v>1291</v>
      </c>
    </row>
    <row r="20" spans="1:14" s="1" customFormat="1" ht="30">
      <c r="A20" s="11">
        <v>18</v>
      </c>
      <c r="B20" s="11" t="s">
        <v>1385</v>
      </c>
      <c r="C20" s="11">
        <v>1</v>
      </c>
      <c r="D20" s="11" t="s">
        <v>242</v>
      </c>
      <c r="E20" s="11"/>
      <c r="F20" s="11" t="s">
        <v>1994</v>
      </c>
      <c r="G20" s="11" t="s">
        <v>3192</v>
      </c>
      <c r="H20" s="11"/>
    </row>
    <row r="21" spans="1:14" s="1" customFormat="1" ht="30">
      <c r="A21" s="11">
        <v>19</v>
      </c>
      <c r="B21" s="11" t="s">
        <v>105</v>
      </c>
      <c r="C21" s="11">
        <v>20</v>
      </c>
      <c r="D21" s="11" t="s">
        <v>242</v>
      </c>
      <c r="E21" s="11"/>
      <c r="F21" s="11" t="s">
        <v>1716</v>
      </c>
      <c r="G21" s="11" t="s">
        <v>3193</v>
      </c>
      <c r="H21" s="11"/>
    </row>
    <row r="22" spans="1:14" s="1" customFormat="1" ht="30">
      <c r="A22" s="11">
        <v>20</v>
      </c>
      <c r="B22" s="11" t="s">
        <v>163</v>
      </c>
      <c r="C22" s="11">
        <v>14</v>
      </c>
      <c r="D22" s="11" t="s">
        <v>1032</v>
      </c>
      <c r="E22" s="11" t="s">
        <v>1033</v>
      </c>
      <c r="F22" s="11" t="s">
        <v>1717</v>
      </c>
      <c r="G22" s="11" t="s">
        <v>3194</v>
      </c>
      <c r="H22" s="11"/>
    </row>
    <row r="23" spans="1:14" s="1" customFormat="1">
      <c r="A23" s="11">
        <v>21</v>
      </c>
      <c r="B23" s="11" t="s">
        <v>1182</v>
      </c>
      <c r="C23" s="11">
        <v>12</v>
      </c>
      <c r="D23" s="11" t="s">
        <v>189</v>
      </c>
      <c r="E23" s="11" t="s">
        <v>5576</v>
      </c>
      <c r="F23" s="11" t="s">
        <v>1688</v>
      </c>
      <c r="G23" s="11" t="s">
        <v>1689</v>
      </c>
      <c r="H23" s="11"/>
    </row>
    <row r="24" spans="1:14" s="1" customFormat="1" ht="30">
      <c r="A24" s="11">
        <v>22</v>
      </c>
      <c r="B24" s="11" t="s">
        <v>1183</v>
      </c>
      <c r="C24" s="11">
        <v>30</v>
      </c>
      <c r="D24" s="11" t="s">
        <v>242</v>
      </c>
      <c r="E24" s="11" t="s">
        <v>5576</v>
      </c>
      <c r="F24" s="11" t="s">
        <v>1690</v>
      </c>
      <c r="G24" s="11" t="s">
        <v>1691</v>
      </c>
      <c r="H24" s="11"/>
    </row>
    <row r="25" spans="1:14" s="1" customFormat="1"/>
    <row r="26" spans="1:14" s="1" customFormat="1"/>
    <row r="27" spans="1:14" s="1" customFormat="1"/>
    <row r="28" spans="1:14" s="1" customFormat="1"/>
    <row r="29" spans="1:14" s="1" customFormat="1"/>
    <row r="30" spans="1:14" s="1" customFormat="1"/>
    <row r="31" spans="1:14" s="1" customFormat="1"/>
    <row r="32" spans="1:14"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pans="9:9" s="1" customFormat="1"/>
    <row r="242" spans="9:9" s="1" customFormat="1"/>
    <row r="243" spans="9:9" s="1" customFormat="1"/>
    <row r="244" spans="9:9" s="1" customFormat="1"/>
    <row r="245" spans="9:9" s="1" customFormat="1"/>
    <row r="246" spans="9:9" s="1" customFormat="1"/>
    <row r="247" spans="9:9" s="1" customFormat="1">
      <c r="I247" s="2"/>
    </row>
    <row r="248" spans="9:9" s="1" customFormat="1">
      <c r="I248" s="2"/>
    </row>
    <row r="249" spans="9:9" s="1" customFormat="1">
      <c r="I249" s="2"/>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E9F51-F083-4260-8714-432302F865F9}">
  <sheetPr codeName="Sheet75"/>
  <dimension ref="A1:XFC236"/>
  <sheetViews>
    <sheetView workbookViewId="0">
      <selection activeCell="C22" sqref="C22"/>
    </sheetView>
  </sheetViews>
  <sheetFormatPr defaultColWidth="32.140625" defaultRowHeight="15"/>
  <cols>
    <col min="1" max="1" width="7.140625" style="1" bestFit="1" customWidth="1"/>
    <col min="2" max="2" width="19.42578125" style="1" bestFit="1" customWidth="1"/>
    <col min="3" max="3" width="4.5703125" style="1" bestFit="1" customWidth="1"/>
    <col min="4" max="4" width="9" style="1" bestFit="1" customWidth="1"/>
    <col min="5" max="5" width="24.42578125" style="1" bestFit="1" customWidth="1"/>
    <col min="6" max="6" width="26.5703125" style="1" bestFit="1" customWidth="1"/>
    <col min="7" max="7" width="57" style="1" bestFit="1" customWidth="1"/>
    <col min="8" max="8" width="4.7109375" style="2" bestFit="1" customWidth="1"/>
    <col min="9" max="10" width="32.140625" style="2"/>
    <col min="11" max="11" width="1" style="2" bestFit="1" customWidth="1"/>
    <col min="12" max="16382" width="32.140625" style="2"/>
    <col min="16383" max="16383" width="1.7109375" style="2" customWidth="1"/>
    <col min="16384" max="16384" width="17.7109375" style="1" customWidth="1"/>
  </cols>
  <sheetData>
    <row r="1" spans="1:11" s="1" customFormat="1">
      <c r="A1" s="3" t="s">
        <v>238</v>
      </c>
      <c r="B1" s="3"/>
      <c r="C1" s="3"/>
      <c r="D1" s="3"/>
      <c r="E1" s="3"/>
      <c r="F1" s="3"/>
      <c r="G1" s="3"/>
      <c r="H1" s="3"/>
    </row>
    <row r="2" spans="1:11" s="1" customFormat="1">
      <c r="A2" s="10" t="s">
        <v>350</v>
      </c>
      <c r="B2" s="10" t="s">
        <v>156</v>
      </c>
      <c r="C2" s="10" t="s">
        <v>157</v>
      </c>
      <c r="D2" s="10" t="s">
        <v>239</v>
      </c>
      <c r="E2" s="10" t="s">
        <v>159</v>
      </c>
      <c r="F2" s="10" t="s">
        <v>1684</v>
      </c>
      <c r="G2" s="10" t="s">
        <v>1685</v>
      </c>
      <c r="H2" s="10" t="s">
        <v>5365</v>
      </c>
    </row>
    <row r="3" spans="1:11" s="1" customFormat="1">
      <c r="A3" s="11">
        <v>1</v>
      </c>
      <c r="B3" s="11" t="s">
        <v>240</v>
      </c>
      <c r="C3" s="11">
        <v>8</v>
      </c>
      <c r="D3" s="11" t="s">
        <v>160</v>
      </c>
      <c r="E3" s="11" t="s">
        <v>177</v>
      </c>
      <c r="F3" s="11" t="s">
        <v>1686</v>
      </c>
      <c r="G3" s="11" t="s">
        <v>1687</v>
      </c>
      <c r="H3" s="11" t="s">
        <v>5382</v>
      </c>
    </row>
    <row r="4" spans="1:11" s="1" customFormat="1" ht="30">
      <c r="A4" s="11">
        <v>2</v>
      </c>
      <c r="B4" s="11" t="s">
        <v>1122</v>
      </c>
      <c r="C4" s="11">
        <v>3</v>
      </c>
      <c r="D4" s="11" t="s">
        <v>242</v>
      </c>
      <c r="E4" s="11"/>
      <c r="F4" s="11" t="s">
        <v>1999</v>
      </c>
      <c r="G4" s="11" t="s">
        <v>3195</v>
      </c>
      <c r="H4" s="11" t="s">
        <v>5384</v>
      </c>
    </row>
    <row r="5" spans="1:11" s="1" customFormat="1" ht="30">
      <c r="A5" s="11">
        <v>3</v>
      </c>
      <c r="B5" s="11" t="s">
        <v>749</v>
      </c>
      <c r="C5" s="11">
        <v>30</v>
      </c>
      <c r="D5" s="11" t="s">
        <v>242</v>
      </c>
      <c r="E5" s="11"/>
      <c r="F5" s="11" t="s">
        <v>2000</v>
      </c>
      <c r="G5" s="11" t="s">
        <v>5586</v>
      </c>
      <c r="H5" s="11"/>
    </row>
    <row r="6" spans="1:11" s="1" customFormat="1">
      <c r="A6" s="11">
        <v>4</v>
      </c>
      <c r="B6" s="11" t="s">
        <v>748</v>
      </c>
      <c r="C6" s="11">
        <v>30</v>
      </c>
      <c r="D6" s="11" t="s">
        <v>242</v>
      </c>
      <c r="E6" s="11"/>
      <c r="F6" s="11" t="s">
        <v>2001</v>
      </c>
      <c r="G6" s="11" t="s">
        <v>5663</v>
      </c>
      <c r="H6" s="11"/>
    </row>
    <row r="7" spans="1:11" s="1" customFormat="1" ht="30">
      <c r="A7" s="11">
        <v>5</v>
      </c>
      <c r="B7" s="11" t="s">
        <v>1386</v>
      </c>
      <c r="C7" s="11">
        <v>3</v>
      </c>
      <c r="D7" s="11" t="s">
        <v>242</v>
      </c>
      <c r="E7" s="11"/>
      <c r="F7" s="11" t="s">
        <v>2002</v>
      </c>
      <c r="G7" s="11" t="s">
        <v>3196</v>
      </c>
      <c r="H7" s="11"/>
    </row>
    <row r="8" spans="1:11" s="1" customFormat="1" ht="75">
      <c r="A8" s="11">
        <v>6</v>
      </c>
      <c r="B8" s="11" t="s">
        <v>1387</v>
      </c>
      <c r="C8" s="11">
        <v>1</v>
      </c>
      <c r="D8" s="11" t="s">
        <v>242</v>
      </c>
      <c r="E8" s="11"/>
      <c r="F8" s="11" t="s">
        <v>2003</v>
      </c>
      <c r="G8" s="11" t="s">
        <v>3197</v>
      </c>
      <c r="H8" s="11"/>
    </row>
    <row r="9" spans="1:11" s="1" customFormat="1" ht="30">
      <c r="A9" s="11">
        <v>7</v>
      </c>
      <c r="B9" s="11" t="s">
        <v>105</v>
      </c>
      <c r="C9" s="11">
        <v>20</v>
      </c>
      <c r="D9" s="11" t="s">
        <v>242</v>
      </c>
      <c r="E9" s="11"/>
      <c r="F9" s="11" t="s">
        <v>1716</v>
      </c>
      <c r="G9" s="11" t="s">
        <v>3198</v>
      </c>
      <c r="H9" s="11"/>
    </row>
    <row r="10" spans="1:11" s="1" customFormat="1" ht="30">
      <c r="A10" s="11">
        <v>8</v>
      </c>
      <c r="B10" s="11" t="s">
        <v>163</v>
      </c>
      <c r="C10" s="11">
        <v>14</v>
      </c>
      <c r="D10" s="11" t="s">
        <v>1032</v>
      </c>
      <c r="E10" s="11" t="s">
        <v>1033</v>
      </c>
      <c r="F10" s="11" t="s">
        <v>1717</v>
      </c>
      <c r="G10" s="11" t="s">
        <v>3199</v>
      </c>
      <c r="H10" s="11"/>
    </row>
    <row r="11" spans="1:11" s="1" customFormat="1">
      <c r="A11" s="11">
        <v>9</v>
      </c>
      <c r="B11" s="11" t="s">
        <v>1182</v>
      </c>
      <c r="C11" s="11">
        <v>12</v>
      </c>
      <c r="D11" s="11" t="s">
        <v>189</v>
      </c>
      <c r="E11" s="11" t="s">
        <v>5576</v>
      </c>
      <c r="F11" s="11" t="s">
        <v>1688</v>
      </c>
      <c r="G11" s="11" t="s">
        <v>1689</v>
      </c>
      <c r="H11" s="11"/>
      <c r="K11" s="1" t="s">
        <v>1291</v>
      </c>
    </row>
    <row r="12" spans="1:11" s="1" customFormat="1" ht="30">
      <c r="A12" s="11">
        <v>10</v>
      </c>
      <c r="B12" s="11" t="s">
        <v>1183</v>
      </c>
      <c r="C12" s="11">
        <v>30</v>
      </c>
      <c r="D12" s="11" t="s">
        <v>242</v>
      </c>
      <c r="E12" s="11" t="s">
        <v>5576</v>
      </c>
      <c r="F12" s="11" t="s">
        <v>1690</v>
      </c>
      <c r="G12" s="11" t="s">
        <v>1691</v>
      </c>
      <c r="H12" s="11"/>
    </row>
    <row r="13" spans="1:11" s="1" customFormat="1"/>
    <row r="14" spans="1:11" s="1" customFormat="1"/>
    <row r="15" spans="1:11" s="1" customFormat="1"/>
    <row r="16" spans="1:11"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267A2-A062-472A-A260-F4BB14D278FF}">
  <sheetPr codeName="Sheet77"/>
  <dimension ref="A1:XFC249"/>
  <sheetViews>
    <sheetView topLeftCell="A2" workbookViewId="0">
      <selection activeCell="C22" sqref="C22"/>
    </sheetView>
  </sheetViews>
  <sheetFormatPr defaultColWidth="32.140625" defaultRowHeight="15"/>
  <cols>
    <col min="1" max="1" width="7.140625" style="1" bestFit="1" customWidth="1"/>
    <col min="2" max="2" width="19.7109375" style="1" bestFit="1" customWidth="1"/>
    <col min="3" max="3" width="4.5703125" style="1" bestFit="1" customWidth="1"/>
    <col min="4" max="4" width="9" style="1" bestFit="1" customWidth="1"/>
    <col min="5" max="5" width="24.42578125" style="1" bestFit="1" customWidth="1"/>
    <col min="6" max="6" width="38.85546875" style="1" bestFit="1" customWidth="1"/>
    <col min="7" max="7" width="57.42578125" style="1" customWidth="1"/>
    <col min="8" max="8" width="4.7109375" style="2" bestFit="1" customWidth="1"/>
    <col min="9" max="16382" width="32.140625" style="2"/>
    <col min="16383" max="16383" width="1.7109375" style="2" customWidth="1"/>
    <col min="16384" max="16384" width="17.7109375" style="1" customWidth="1"/>
  </cols>
  <sheetData>
    <row r="1" spans="1:8" s="1" customFormat="1">
      <c r="A1" s="3" t="s">
        <v>238</v>
      </c>
      <c r="B1" s="3"/>
      <c r="C1" s="3"/>
      <c r="D1" s="3"/>
      <c r="E1" s="3"/>
      <c r="F1" s="3"/>
      <c r="G1" s="3"/>
      <c r="H1" s="3"/>
    </row>
    <row r="2" spans="1:8" s="1" customFormat="1">
      <c r="A2" s="10" t="s">
        <v>350</v>
      </c>
      <c r="B2" s="10" t="s">
        <v>156</v>
      </c>
      <c r="C2" s="10" t="s">
        <v>157</v>
      </c>
      <c r="D2" s="10" t="s">
        <v>239</v>
      </c>
      <c r="E2" s="10" t="s">
        <v>159</v>
      </c>
      <c r="F2" s="10" t="s">
        <v>1684</v>
      </c>
      <c r="G2" s="10" t="s">
        <v>1685</v>
      </c>
      <c r="H2" s="10" t="s">
        <v>5365</v>
      </c>
    </row>
    <row r="3" spans="1:8" s="1" customFormat="1">
      <c r="A3" s="11">
        <v>1</v>
      </c>
      <c r="B3" s="11" t="s">
        <v>240</v>
      </c>
      <c r="C3" s="11">
        <v>8</v>
      </c>
      <c r="D3" s="11" t="s">
        <v>160</v>
      </c>
      <c r="E3" s="11" t="s">
        <v>177</v>
      </c>
      <c r="F3" s="11" t="s">
        <v>1686</v>
      </c>
      <c r="G3" s="11" t="s">
        <v>1687</v>
      </c>
      <c r="H3" s="11" t="s">
        <v>5382</v>
      </c>
    </row>
    <row r="4" spans="1:8" s="1" customFormat="1" ht="30">
      <c r="A4" s="11">
        <v>2</v>
      </c>
      <c r="B4" s="11" t="s">
        <v>1388</v>
      </c>
      <c r="C4" s="11">
        <v>2</v>
      </c>
      <c r="D4" s="11" t="s">
        <v>242</v>
      </c>
      <c r="E4" s="11"/>
      <c r="F4" s="11" t="s">
        <v>2004</v>
      </c>
      <c r="G4" s="11" t="s">
        <v>3200</v>
      </c>
      <c r="H4" s="11" t="s">
        <v>5384</v>
      </c>
    </row>
    <row r="5" spans="1:8" s="1" customFormat="1">
      <c r="A5" s="11">
        <v>3</v>
      </c>
      <c r="B5" s="11" t="s">
        <v>749</v>
      </c>
      <c r="C5" s="11">
        <v>30</v>
      </c>
      <c r="D5" s="11" t="s">
        <v>242</v>
      </c>
      <c r="E5" s="11"/>
      <c r="F5" s="11" t="s">
        <v>2005</v>
      </c>
      <c r="G5" s="11" t="s">
        <v>5614</v>
      </c>
      <c r="H5" s="11"/>
    </row>
    <row r="6" spans="1:8" s="1" customFormat="1">
      <c r="A6" s="11">
        <v>4</v>
      </c>
      <c r="B6" s="11" t="s">
        <v>748</v>
      </c>
      <c r="C6" s="11">
        <v>30</v>
      </c>
      <c r="D6" s="11" t="s">
        <v>242</v>
      </c>
      <c r="E6" s="11"/>
      <c r="F6" s="11" t="s">
        <v>2006</v>
      </c>
      <c r="G6" s="11" t="s">
        <v>5664</v>
      </c>
      <c r="H6" s="11"/>
    </row>
    <row r="7" spans="1:8" s="1" customFormat="1" ht="30">
      <c r="A7" s="11">
        <v>5</v>
      </c>
      <c r="B7" s="11" t="s">
        <v>1389</v>
      </c>
      <c r="C7" s="11">
        <v>15</v>
      </c>
      <c r="D7" s="11" t="s">
        <v>242</v>
      </c>
      <c r="E7" s="11"/>
      <c r="F7" s="11" t="s">
        <v>2007</v>
      </c>
      <c r="G7" s="11" t="s">
        <v>3201</v>
      </c>
      <c r="H7" s="11"/>
    </row>
    <row r="8" spans="1:8" s="1" customFormat="1" ht="30">
      <c r="A8" s="11">
        <v>6</v>
      </c>
      <c r="B8" s="11" t="s">
        <v>1390</v>
      </c>
      <c r="C8" s="11">
        <v>15</v>
      </c>
      <c r="D8" s="11" t="s">
        <v>242</v>
      </c>
      <c r="E8" s="11"/>
      <c r="F8" s="11" t="s">
        <v>2008</v>
      </c>
      <c r="G8" s="11" t="s">
        <v>3202</v>
      </c>
      <c r="H8" s="11"/>
    </row>
    <row r="9" spans="1:8" s="1" customFormat="1" ht="75">
      <c r="A9" s="11">
        <v>7</v>
      </c>
      <c r="B9" s="11" t="s">
        <v>1391</v>
      </c>
      <c r="C9" s="11">
        <v>1</v>
      </c>
      <c r="D9" s="11" t="s">
        <v>242</v>
      </c>
      <c r="E9" s="11"/>
      <c r="F9" s="11" t="s">
        <v>2009</v>
      </c>
      <c r="G9" s="11" t="s">
        <v>3203</v>
      </c>
      <c r="H9" s="11"/>
    </row>
    <row r="10" spans="1:8" s="1" customFormat="1" ht="75">
      <c r="A10" s="11">
        <v>8</v>
      </c>
      <c r="B10" s="11" t="s">
        <v>1392</v>
      </c>
      <c r="C10" s="11">
        <v>1</v>
      </c>
      <c r="D10" s="11" t="s">
        <v>242</v>
      </c>
      <c r="E10" s="11"/>
      <c r="F10" s="11" t="s">
        <v>2010</v>
      </c>
      <c r="G10" s="11" t="s">
        <v>3204</v>
      </c>
      <c r="H10" s="11"/>
    </row>
    <row r="11" spans="1:8" s="1" customFormat="1" ht="30">
      <c r="A11" s="11">
        <v>9</v>
      </c>
      <c r="B11" s="11" t="s">
        <v>1393</v>
      </c>
      <c r="C11" s="11">
        <v>20</v>
      </c>
      <c r="D11" s="11" t="s">
        <v>242</v>
      </c>
      <c r="E11" s="11"/>
      <c r="F11" s="11" t="s">
        <v>2011</v>
      </c>
      <c r="G11" s="11" t="s">
        <v>3205</v>
      </c>
      <c r="H11" s="11"/>
    </row>
    <row r="12" spans="1:8" s="1" customFormat="1" ht="75">
      <c r="A12" s="11">
        <v>10</v>
      </c>
      <c r="B12" s="11" t="s">
        <v>278</v>
      </c>
      <c r="C12" s="11">
        <v>1</v>
      </c>
      <c r="D12" s="11" t="s">
        <v>242</v>
      </c>
      <c r="E12" s="11"/>
      <c r="F12" s="11" t="s">
        <v>2012</v>
      </c>
      <c r="G12" s="11" t="s">
        <v>3206</v>
      </c>
      <c r="H12" s="11"/>
    </row>
    <row r="13" spans="1:8" s="1" customFormat="1" ht="30">
      <c r="A13" s="11">
        <v>11</v>
      </c>
      <c r="B13" s="11" t="s">
        <v>105</v>
      </c>
      <c r="C13" s="11">
        <v>10</v>
      </c>
      <c r="D13" s="11" t="s">
        <v>242</v>
      </c>
      <c r="E13" s="11"/>
      <c r="F13" s="11" t="s">
        <v>1716</v>
      </c>
      <c r="G13" s="11" t="s">
        <v>3207</v>
      </c>
      <c r="H13" s="11"/>
    </row>
    <row r="14" spans="1:8" s="1" customFormat="1" ht="30">
      <c r="A14" s="11">
        <v>12</v>
      </c>
      <c r="B14" s="11" t="s">
        <v>163</v>
      </c>
      <c r="C14" s="11">
        <v>14</v>
      </c>
      <c r="D14" s="11" t="s">
        <v>1032</v>
      </c>
      <c r="E14" s="11" t="s">
        <v>1033</v>
      </c>
      <c r="F14" s="11" t="s">
        <v>1717</v>
      </c>
      <c r="G14" s="11" t="s">
        <v>3208</v>
      </c>
      <c r="H14" s="11"/>
    </row>
    <row r="15" spans="1:8" s="1" customFormat="1">
      <c r="A15" s="11">
        <v>13</v>
      </c>
      <c r="B15" s="11" t="s">
        <v>1182</v>
      </c>
      <c r="C15" s="11">
        <v>12</v>
      </c>
      <c r="D15" s="11" t="s">
        <v>189</v>
      </c>
      <c r="E15" s="11" t="s">
        <v>5576</v>
      </c>
      <c r="F15" s="11" t="s">
        <v>1688</v>
      </c>
      <c r="G15" s="11" t="s">
        <v>1689</v>
      </c>
      <c r="H15" s="11"/>
    </row>
    <row r="16" spans="1:8" s="1" customFormat="1" ht="30">
      <c r="A16" s="11">
        <v>14</v>
      </c>
      <c r="B16" s="11" t="s">
        <v>1183</v>
      </c>
      <c r="C16" s="11">
        <v>30</v>
      </c>
      <c r="D16" s="11" t="s">
        <v>242</v>
      </c>
      <c r="E16" s="11" t="s">
        <v>5576</v>
      </c>
      <c r="F16" s="11" t="s">
        <v>1690</v>
      </c>
      <c r="G16" s="11" t="s">
        <v>1691</v>
      </c>
      <c r="H16" s="11"/>
    </row>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A102-7594-4DE4-9484-81239E1B017F}">
  <sheetPr codeName="Sheet79"/>
  <dimension ref="A1:XFC249"/>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6.140625" style="2" customWidth="1"/>
    <col min="9" max="16382" width="32.140625" style="2"/>
    <col min="16383" max="16383" width="1.7109375" style="2" customWidth="1"/>
    <col min="16384" max="16384" width="17.7109375" style="1" customWidth="1"/>
  </cols>
  <sheetData>
    <row r="1" spans="1:8" s="1" customFormat="1">
      <c r="A1" s="3" t="s">
        <v>238</v>
      </c>
      <c r="B1" s="3"/>
      <c r="C1" s="3"/>
      <c r="D1" s="3"/>
      <c r="E1" s="3"/>
      <c r="F1" s="3"/>
      <c r="G1" s="3"/>
      <c r="H1" s="3"/>
    </row>
    <row r="2" spans="1:8" s="1" customFormat="1">
      <c r="A2" s="10" t="s">
        <v>350</v>
      </c>
      <c r="B2" s="10" t="s">
        <v>156</v>
      </c>
      <c r="C2" s="10" t="s">
        <v>157</v>
      </c>
      <c r="D2" s="10" t="s">
        <v>239</v>
      </c>
      <c r="E2" s="10" t="s">
        <v>159</v>
      </c>
      <c r="F2" s="10" t="s">
        <v>1684</v>
      </c>
      <c r="G2" s="10" t="s">
        <v>1685</v>
      </c>
      <c r="H2" s="10" t="s">
        <v>5365</v>
      </c>
    </row>
    <row r="3" spans="1:8" s="1" customFormat="1">
      <c r="A3" s="11">
        <v>1</v>
      </c>
      <c r="B3" s="11" t="s">
        <v>240</v>
      </c>
      <c r="C3" s="11">
        <v>8</v>
      </c>
      <c r="D3" s="11" t="s">
        <v>160</v>
      </c>
      <c r="E3" s="11" t="s">
        <v>177</v>
      </c>
      <c r="F3" s="11" t="s">
        <v>1686</v>
      </c>
      <c r="G3" s="11" t="s">
        <v>1687</v>
      </c>
      <c r="H3" s="11" t="s">
        <v>5382</v>
      </c>
    </row>
    <row r="4" spans="1:8" s="1" customFormat="1" ht="30">
      <c r="A4" s="11">
        <v>2</v>
      </c>
      <c r="B4" s="11" t="s">
        <v>1394</v>
      </c>
      <c r="C4" s="11">
        <v>4</v>
      </c>
      <c r="D4" s="11" t="s">
        <v>189</v>
      </c>
      <c r="E4" s="11"/>
      <c r="F4" s="11" t="s">
        <v>2015</v>
      </c>
      <c r="G4" s="11" t="s">
        <v>5665</v>
      </c>
      <c r="H4" s="11" t="s">
        <v>5384</v>
      </c>
    </row>
    <row r="5" spans="1:8" s="1" customFormat="1">
      <c r="A5" s="11">
        <v>3</v>
      </c>
      <c r="B5" s="11" t="s">
        <v>1395</v>
      </c>
      <c r="C5" s="11">
        <v>7</v>
      </c>
      <c r="D5" s="11" t="s">
        <v>189</v>
      </c>
      <c r="E5" s="11"/>
      <c r="F5" s="11" t="s">
        <v>2016</v>
      </c>
      <c r="G5" s="11" t="s">
        <v>3209</v>
      </c>
      <c r="H5" s="11"/>
    </row>
    <row r="6" spans="1:8" s="1" customFormat="1" ht="30">
      <c r="A6" s="11">
        <v>4</v>
      </c>
      <c r="B6" s="11" t="s">
        <v>1396</v>
      </c>
      <c r="C6" s="11">
        <v>7</v>
      </c>
      <c r="D6" s="11" t="s">
        <v>189</v>
      </c>
      <c r="E6" s="11"/>
      <c r="F6" s="11" t="s">
        <v>2017</v>
      </c>
      <c r="G6" s="11" t="s">
        <v>3210</v>
      </c>
      <c r="H6" s="11"/>
    </row>
    <row r="7" spans="1:8" s="1" customFormat="1" ht="30">
      <c r="A7" s="11">
        <v>5</v>
      </c>
      <c r="B7" s="11" t="s">
        <v>1397</v>
      </c>
      <c r="C7" s="11">
        <v>7</v>
      </c>
      <c r="D7" s="11" t="s">
        <v>189</v>
      </c>
      <c r="E7" s="11"/>
      <c r="F7" s="11" t="s">
        <v>2018</v>
      </c>
      <c r="G7" s="11" t="s">
        <v>3211</v>
      </c>
      <c r="H7" s="11"/>
    </row>
    <row r="8" spans="1:8" s="1" customFormat="1" ht="30">
      <c r="A8" s="11">
        <v>6</v>
      </c>
      <c r="B8" s="11" t="s">
        <v>105</v>
      </c>
      <c r="C8" s="11">
        <v>20</v>
      </c>
      <c r="D8" s="11" t="s">
        <v>242</v>
      </c>
      <c r="E8" s="11"/>
      <c r="F8" s="11" t="s">
        <v>1716</v>
      </c>
      <c r="G8" s="11" t="s">
        <v>3212</v>
      </c>
      <c r="H8" s="11"/>
    </row>
    <row r="9" spans="1:8" s="1" customFormat="1" ht="30">
      <c r="A9" s="11">
        <v>7</v>
      </c>
      <c r="B9" s="11" t="s">
        <v>163</v>
      </c>
      <c r="C9" s="11">
        <v>14</v>
      </c>
      <c r="D9" s="11" t="s">
        <v>1032</v>
      </c>
      <c r="E9" s="11" t="s">
        <v>1033</v>
      </c>
      <c r="F9" s="11" t="s">
        <v>2019</v>
      </c>
      <c r="G9" s="11" t="s">
        <v>3213</v>
      </c>
      <c r="H9" s="11"/>
    </row>
    <row r="10" spans="1:8" s="1" customFormat="1">
      <c r="A10" s="11">
        <v>8</v>
      </c>
      <c r="B10" s="11" t="s">
        <v>1182</v>
      </c>
      <c r="C10" s="11">
        <v>12</v>
      </c>
      <c r="D10" s="11" t="s">
        <v>189</v>
      </c>
      <c r="E10" s="11" t="s">
        <v>5576</v>
      </c>
      <c r="F10" s="11" t="s">
        <v>1688</v>
      </c>
      <c r="G10" s="11" t="s">
        <v>1689</v>
      </c>
      <c r="H10" s="11"/>
    </row>
    <row r="11" spans="1:8" s="1" customFormat="1" ht="30">
      <c r="A11" s="11">
        <v>9</v>
      </c>
      <c r="B11" s="11" t="s">
        <v>1183</v>
      </c>
      <c r="C11" s="11">
        <v>30</v>
      </c>
      <c r="D11" s="11" t="s">
        <v>242</v>
      </c>
      <c r="E11" s="11" t="s">
        <v>5576</v>
      </c>
      <c r="F11" s="11" t="s">
        <v>1690</v>
      </c>
      <c r="G11" s="11" t="s">
        <v>1691</v>
      </c>
      <c r="H11" s="11"/>
    </row>
    <row r="12" spans="1:8" s="1" customFormat="1"/>
    <row r="13" spans="1:8" s="1" customFormat="1"/>
    <row r="14" spans="1:8" s="1" customFormat="1"/>
    <row r="15" spans="1:8" s="1" customFormat="1"/>
    <row r="16" spans="1:8"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534E3-53EA-4265-BD43-ABE472E78EC7}">
  <sheetPr codeName="Sheet80"/>
  <dimension ref="A1:XFC249"/>
  <sheetViews>
    <sheetView topLeftCell="A4"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8.7109375" style="2" customWidth="1"/>
    <col min="9" max="16382" width="32.140625" style="2"/>
    <col min="16383" max="16383" width="1.7109375" style="2" customWidth="1"/>
    <col min="16384" max="16384" width="17.7109375" style="1" customWidth="1"/>
  </cols>
  <sheetData>
    <row r="1" spans="1:9" s="1" customFormat="1">
      <c r="A1" s="3" t="s">
        <v>238</v>
      </c>
      <c r="B1" s="3"/>
      <c r="C1" s="3"/>
      <c r="D1" s="3"/>
      <c r="E1" s="3"/>
      <c r="F1" s="3"/>
      <c r="G1" s="3"/>
      <c r="H1" s="3"/>
    </row>
    <row r="2" spans="1:9" s="1" customFormat="1">
      <c r="A2" s="10" t="s">
        <v>350</v>
      </c>
      <c r="B2" s="10" t="s">
        <v>156</v>
      </c>
      <c r="C2" s="10" t="s">
        <v>157</v>
      </c>
      <c r="D2" s="10" t="s">
        <v>239</v>
      </c>
      <c r="E2" s="10" t="s">
        <v>159</v>
      </c>
      <c r="F2" s="10" t="s">
        <v>1684</v>
      </c>
      <c r="G2" s="10" t="s">
        <v>1685</v>
      </c>
      <c r="H2" s="10" t="s">
        <v>5365</v>
      </c>
    </row>
    <row r="3" spans="1:9" s="1" customFormat="1">
      <c r="A3" s="11">
        <v>1</v>
      </c>
      <c r="B3" s="11" t="s">
        <v>240</v>
      </c>
      <c r="C3" s="11">
        <v>8</v>
      </c>
      <c r="D3" s="11" t="s">
        <v>160</v>
      </c>
      <c r="E3" s="11" t="s">
        <v>177</v>
      </c>
      <c r="F3" s="11" t="s">
        <v>1686</v>
      </c>
      <c r="G3" s="11" t="s">
        <v>1687</v>
      </c>
      <c r="H3" s="11" t="s">
        <v>5382</v>
      </c>
    </row>
    <row r="4" spans="1:9" s="1" customFormat="1">
      <c r="A4" s="11">
        <v>2</v>
      </c>
      <c r="B4" s="11" t="s">
        <v>1398</v>
      </c>
      <c r="C4" s="11">
        <v>4</v>
      </c>
      <c r="D4" s="11" t="s">
        <v>242</v>
      </c>
      <c r="E4" s="11"/>
      <c r="F4" s="11" t="s">
        <v>2020</v>
      </c>
      <c r="G4" s="11" t="s">
        <v>5666</v>
      </c>
      <c r="H4" s="11" t="s">
        <v>5384</v>
      </c>
    </row>
    <row r="5" spans="1:9" s="1" customFormat="1" ht="30">
      <c r="A5" s="11">
        <v>3</v>
      </c>
      <c r="B5" s="11" t="s">
        <v>1348</v>
      </c>
      <c r="C5" s="11">
        <v>30</v>
      </c>
      <c r="D5" s="11" t="s">
        <v>242</v>
      </c>
      <c r="E5" s="11"/>
      <c r="F5" s="11" t="s">
        <v>1952</v>
      </c>
      <c r="G5" s="11" t="s">
        <v>5615</v>
      </c>
      <c r="H5" s="11"/>
    </row>
    <row r="6" spans="1:9" s="1" customFormat="1" ht="30">
      <c r="A6" s="11">
        <v>4</v>
      </c>
      <c r="B6" s="11" t="s">
        <v>1349</v>
      </c>
      <c r="C6" s="11">
        <v>30</v>
      </c>
      <c r="D6" s="11" t="s">
        <v>242</v>
      </c>
      <c r="E6" s="11"/>
      <c r="F6" s="11" t="s">
        <v>1953</v>
      </c>
      <c r="G6" s="11" t="s">
        <v>5621</v>
      </c>
      <c r="H6" s="11"/>
    </row>
    <row r="7" spans="1:9" s="1" customFormat="1" ht="30">
      <c r="A7" s="11">
        <v>5</v>
      </c>
      <c r="B7" s="11" t="s">
        <v>1399</v>
      </c>
      <c r="C7" s="11">
        <v>2</v>
      </c>
      <c r="D7" s="11" t="s">
        <v>242</v>
      </c>
      <c r="E7" s="11"/>
      <c r="F7" s="11" t="s">
        <v>2021</v>
      </c>
      <c r="G7" s="11" t="s">
        <v>2022</v>
      </c>
      <c r="H7" s="11"/>
    </row>
    <row r="8" spans="1:9" s="1" customFormat="1" ht="30">
      <c r="A8" s="11">
        <v>6</v>
      </c>
      <c r="B8" s="11" t="s">
        <v>1400</v>
      </c>
      <c r="C8" s="11">
        <v>2</v>
      </c>
      <c r="D8" s="11" t="s">
        <v>242</v>
      </c>
      <c r="E8" s="11"/>
      <c r="F8" s="11" t="s">
        <v>2023</v>
      </c>
      <c r="G8" s="11" t="s">
        <v>2024</v>
      </c>
      <c r="H8" s="11"/>
    </row>
    <row r="9" spans="1:9" s="1" customFormat="1" ht="30">
      <c r="A9" s="59">
        <v>7</v>
      </c>
      <c r="B9" s="59" t="s">
        <v>1401</v>
      </c>
      <c r="C9" s="59">
        <v>8</v>
      </c>
      <c r="D9" s="59" t="s">
        <v>242</v>
      </c>
      <c r="E9" s="59"/>
      <c r="F9" s="59" t="s">
        <v>2025</v>
      </c>
      <c r="G9" s="59" t="s">
        <v>2026</v>
      </c>
      <c r="H9" s="59"/>
      <c r="I9" s="31"/>
    </row>
    <row r="10" spans="1:9" s="1" customFormat="1" ht="30">
      <c r="A10" s="59">
        <v>8</v>
      </c>
      <c r="B10" s="59" t="s">
        <v>1402</v>
      </c>
      <c r="C10" s="59">
        <v>3</v>
      </c>
      <c r="D10" s="59" t="s">
        <v>189</v>
      </c>
      <c r="E10" s="59"/>
      <c r="F10" s="59" t="s">
        <v>2027</v>
      </c>
      <c r="G10" s="59" t="s">
        <v>2028</v>
      </c>
      <c r="H10" s="59"/>
      <c r="I10" s="31" t="s">
        <v>7011</v>
      </c>
    </row>
    <row r="11" spans="1:9" s="1" customFormat="1" ht="30">
      <c r="A11" s="59">
        <v>9</v>
      </c>
      <c r="B11" s="59" t="s">
        <v>1403</v>
      </c>
      <c r="C11" s="59">
        <v>3</v>
      </c>
      <c r="D11" s="59" t="s">
        <v>189</v>
      </c>
      <c r="E11" s="59"/>
      <c r="F11" s="59" t="s">
        <v>2029</v>
      </c>
      <c r="G11" s="59" t="s">
        <v>2030</v>
      </c>
      <c r="H11" s="59"/>
      <c r="I11" s="31" t="s">
        <v>7011</v>
      </c>
    </row>
    <row r="12" spans="1:9" s="1" customFormat="1" ht="30">
      <c r="A12" s="59">
        <v>10</v>
      </c>
      <c r="B12" s="59" t="s">
        <v>1404</v>
      </c>
      <c r="C12" s="59">
        <v>2</v>
      </c>
      <c r="D12" s="59" t="s">
        <v>189</v>
      </c>
      <c r="E12" s="59"/>
      <c r="F12" s="59" t="s">
        <v>2031</v>
      </c>
      <c r="G12" s="59" t="s">
        <v>2032</v>
      </c>
      <c r="H12" s="59"/>
      <c r="I12" s="31" t="s">
        <v>7011</v>
      </c>
    </row>
    <row r="13" spans="1:9" s="1" customFormat="1" ht="30">
      <c r="A13" s="59">
        <v>11</v>
      </c>
      <c r="B13" s="59" t="s">
        <v>1405</v>
      </c>
      <c r="C13" s="59">
        <v>3</v>
      </c>
      <c r="D13" s="59" t="s">
        <v>242</v>
      </c>
      <c r="E13" s="59"/>
      <c r="F13" s="59" t="s">
        <v>2033</v>
      </c>
      <c r="G13" s="59" t="s">
        <v>2034</v>
      </c>
      <c r="H13" s="59"/>
      <c r="I13" s="31"/>
    </row>
    <row r="14" spans="1:9" s="1" customFormat="1" ht="30">
      <c r="A14" s="59">
        <v>12</v>
      </c>
      <c r="B14" s="59" t="s">
        <v>1406</v>
      </c>
      <c r="C14" s="59">
        <v>14</v>
      </c>
      <c r="D14" s="59" t="s">
        <v>242</v>
      </c>
      <c r="E14" s="59"/>
      <c r="F14" s="59" t="s">
        <v>2035</v>
      </c>
      <c r="G14" s="59" t="s">
        <v>2036</v>
      </c>
      <c r="H14" s="59"/>
      <c r="I14" s="31"/>
    </row>
    <row r="15" spans="1:9" s="1" customFormat="1" ht="30">
      <c r="A15" s="59">
        <v>13</v>
      </c>
      <c r="B15" s="59" t="s">
        <v>1407</v>
      </c>
      <c r="C15" s="59">
        <v>14</v>
      </c>
      <c r="D15" s="59" t="s">
        <v>242</v>
      </c>
      <c r="E15" s="59"/>
      <c r="F15" s="59" t="s">
        <v>2037</v>
      </c>
      <c r="G15" s="59" t="s">
        <v>2038</v>
      </c>
      <c r="H15" s="59"/>
      <c r="I15" s="31"/>
    </row>
    <row r="16" spans="1:9" s="1" customFormat="1" ht="30">
      <c r="A16" s="11">
        <v>14</v>
      </c>
      <c r="B16" s="11" t="s">
        <v>1408</v>
      </c>
      <c r="C16" s="11">
        <v>10</v>
      </c>
      <c r="D16" s="11" t="s">
        <v>242</v>
      </c>
      <c r="E16" s="11"/>
      <c r="F16" s="11" t="s">
        <v>2039</v>
      </c>
      <c r="G16" s="11" t="s">
        <v>2040</v>
      </c>
      <c r="H16" s="11"/>
    </row>
    <row r="17" spans="1:8" s="1" customFormat="1" ht="30">
      <c r="A17" s="11">
        <v>15</v>
      </c>
      <c r="B17" s="11" t="s">
        <v>1409</v>
      </c>
      <c r="C17" s="11">
        <v>8</v>
      </c>
      <c r="D17" s="11" t="s">
        <v>242</v>
      </c>
      <c r="E17" s="11"/>
      <c r="F17" s="11" t="s">
        <v>2041</v>
      </c>
      <c r="G17" s="11" t="s">
        <v>2042</v>
      </c>
      <c r="H17" s="11"/>
    </row>
    <row r="18" spans="1:8" s="1" customFormat="1" ht="30">
      <c r="A18" s="11">
        <v>16</v>
      </c>
      <c r="B18" s="11" t="s">
        <v>1410</v>
      </c>
      <c r="C18" s="11">
        <v>7</v>
      </c>
      <c r="D18" s="11" t="s">
        <v>242</v>
      </c>
      <c r="E18" s="11"/>
      <c r="F18" s="11" t="s">
        <v>2043</v>
      </c>
      <c r="G18" s="11" t="s">
        <v>2044</v>
      </c>
      <c r="H18" s="11"/>
    </row>
    <row r="19" spans="1:8" s="1" customFormat="1" ht="30">
      <c r="A19" s="11">
        <v>17</v>
      </c>
      <c r="B19" s="11" t="s">
        <v>1411</v>
      </c>
      <c r="C19" s="11">
        <v>7</v>
      </c>
      <c r="D19" s="11" t="s">
        <v>242</v>
      </c>
      <c r="E19" s="11"/>
      <c r="F19" s="11" t="s">
        <v>2045</v>
      </c>
      <c r="G19" s="11" t="s">
        <v>2046</v>
      </c>
      <c r="H19" s="11"/>
    </row>
    <row r="20" spans="1:8" s="1" customFormat="1">
      <c r="A20" s="11">
        <v>18</v>
      </c>
      <c r="B20" s="11" t="s">
        <v>1412</v>
      </c>
      <c r="C20" s="11">
        <v>7</v>
      </c>
      <c r="D20" s="11" t="s">
        <v>242</v>
      </c>
      <c r="E20" s="11"/>
      <c r="F20" s="11" t="s">
        <v>2047</v>
      </c>
      <c r="G20" s="11" t="s">
        <v>2048</v>
      </c>
      <c r="H20" s="11"/>
    </row>
    <row r="21" spans="1:8" s="1" customFormat="1">
      <c r="A21" s="11">
        <v>19</v>
      </c>
      <c r="B21" s="11" t="s">
        <v>1413</v>
      </c>
      <c r="C21" s="11">
        <v>7</v>
      </c>
      <c r="D21" s="11" t="s">
        <v>242</v>
      </c>
      <c r="E21" s="11"/>
      <c r="F21" s="11" t="s">
        <v>2049</v>
      </c>
      <c r="G21" s="11" t="s">
        <v>2050</v>
      </c>
      <c r="H21" s="11"/>
    </row>
    <row r="22" spans="1:8" s="1" customFormat="1" ht="30">
      <c r="A22" s="11">
        <v>20</v>
      </c>
      <c r="B22" s="11" t="s">
        <v>1414</v>
      </c>
      <c r="C22" s="11">
        <v>7</v>
      </c>
      <c r="D22" s="11" t="s">
        <v>242</v>
      </c>
      <c r="E22" s="11"/>
      <c r="F22" s="11" t="s">
        <v>2051</v>
      </c>
      <c r="G22" s="11" t="s">
        <v>2052</v>
      </c>
      <c r="H22" s="11"/>
    </row>
    <row r="23" spans="1:8" s="1" customFormat="1" ht="30">
      <c r="A23" s="11">
        <v>21</v>
      </c>
      <c r="B23" s="11" t="s">
        <v>1415</v>
      </c>
      <c r="C23" s="11">
        <v>7</v>
      </c>
      <c r="D23" s="11" t="s">
        <v>242</v>
      </c>
      <c r="E23" s="11"/>
      <c r="F23" s="11" t="s">
        <v>2053</v>
      </c>
      <c r="G23" s="11" t="s">
        <v>2054</v>
      </c>
      <c r="H23" s="11"/>
    </row>
    <row r="24" spans="1:8" s="1" customFormat="1" ht="30">
      <c r="A24" s="11">
        <v>22</v>
      </c>
      <c r="B24" s="11" t="s">
        <v>1416</v>
      </c>
      <c r="C24" s="11">
        <v>7</v>
      </c>
      <c r="D24" s="11" t="s">
        <v>242</v>
      </c>
      <c r="E24" s="11"/>
      <c r="F24" s="11" t="s">
        <v>2055</v>
      </c>
      <c r="G24" s="11" t="s">
        <v>2056</v>
      </c>
      <c r="H24" s="11"/>
    </row>
    <row r="25" spans="1:8" s="1" customFormat="1" ht="30">
      <c r="A25" s="11">
        <v>23</v>
      </c>
      <c r="B25" s="11" t="s">
        <v>1417</v>
      </c>
      <c r="C25" s="11">
        <v>4</v>
      </c>
      <c r="D25" s="11" t="s">
        <v>242</v>
      </c>
      <c r="E25" s="11"/>
      <c r="F25" s="11" t="s">
        <v>2057</v>
      </c>
      <c r="G25" s="11" t="s">
        <v>2058</v>
      </c>
      <c r="H25" s="11"/>
    </row>
    <row r="26" spans="1:8" s="1" customFormat="1" ht="30">
      <c r="A26" s="11">
        <v>24</v>
      </c>
      <c r="B26" s="11" t="s">
        <v>1418</v>
      </c>
      <c r="C26" s="11">
        <v>5</v>
      </c>
      <c r="D26" s="11" t="s">
        <v>242</v>
      </c>
      <c r="E26" s="11"/>
      <c r="F26" s="11" t="s">
        <v>2059</v>
      </c>
      <c r="G26" s="11" t="s">
        <v>2060</v>
      </c>
      <c r="H26" s="11"/>
    </row>
    <row r="27" spans="1:8" s="1" customFormat="1" ht="30">
      <c r="A27" s="11">
        <v>25</v>
      </c>
      <c r="B27" s="11" t="s">
        <v>105</v>
      </c>
      <c r="C27" s="11">
        <v>20</v>
      </c>
      <c r="D27" s="11" t="s">
        <v>242</v>
      </c>
      <c r="E27" s="11"/>
      <c r="F27" s="11" t="s">
        <v>1716</v>
      </c>
      <c r="G27" s="11" t="s">
        <v>2061</v>
      </c>
      <c r="H27" s="11"/>
    </row>
    <row r="28" spans="1:8" s="1" customFormat="1" ht="30">
      <c r="A28" s="11">
        <v>26</v>
      </c>
      <c r="B28" s="11" t="s">
        <v>163</v>
      </c>
      <c r="C28" s="11">
        <v>14</v>
      </c>
      <c r="D28" s="11" t="s">
        <v>161</v>
      </c>
      <c r="E28" s="11" t="s">
        <v>1033</v>
      </c>
      <c r="F28" s="11" t="s">
        <v>1717</v>
      </c>
      <c r="G28" s="11" t="s">
        <v>2062</v>
      </c>
      <c r="H28" s="11"/>
    </row>
    <row r="29" spans="1:8" s="1" customFormat="1">
      <c r="A29" s="11">
        <v>27</v>
      </c>
      <c r="B29" s="11" t="s">
        <v>1182</v>
      </c>
      <c r="C29" s="11">
        <v>12</v>
      </c>
      <c r="D29" s="11" t="s">
        <v>189</v>
      </c>
      <c r="E29" s="11" t="s">
        <v>5576</v>
      </c>
      <c r="F29" s="11" t="s">
        <v>1688</v>
      </c>
      <c r="G29" s="11" t="s">
        <v>1689</v>
      </c>
      <c r="H29" s="11"/>
    </row>
    <row r="30" spans="1:8" s="1" customFormat="1" ht="30">
      <c r="A30" s="11">
        <v>28</v>
      </c>
      <c r="B30" s="11" t="s">
        <v>1183</v>
      </c>
      <c r="C30" s="11">
        <v>30</v>
      </c>
      <c r="D30" s="11" t="s">
        <v>242</v>
      </c>
      <c r="E30" s="11" t="s">
        <v>5576</v>
      </c>
      <c r="F30" s="11" t="s">
        <v>1690</v>
      </c>
      <c r="G30" s="11" t="s">
        <v>1691</v>
      </c>
      <c r="H30" s="11"/>
    </row>
    <row r="31" spans="1:8" s="1" customFormat="1"/>
    <row r="32" spans="1:8"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8583D-4D9B-4257-8036-1D9B785A11C1}">
  <sheetPr codeName="Sheet84"/>
  <dimension ref="A1:XFC250"/>
  <sheetViews>
    <sheetView topLeftCell="A4" workbookViewId="0">
      <selection activeCell="C22" sqref="C22"/>
    </sheetView>
  </sheetViews>
  <sheetFormatPr defaultColWidth="32.140625" defaultRowHeight="15"/>
  <cols>
    <col min="1" max="1" width="7.140625" style="1" bestFit="1" customWidth="1"/>
    <col min="2" max="2" width="21.7109375" style="1" bestFit="1" customWidth="1"/>
    <col min="3" max="3" width="4.5703125" style="1" bestFit="1" customWidth="1"/>
    <col min="4" max="4" width="9" style="1" bestFit="1" customWidth="1"/>
    <col min="5" max="5" width="24.42578125" style="1" bestFit="1" customWidth="1"/>
    <col min="6" max="6" width="31" style="1" bestFit="1" customWidth="1"/>
    <col min="7" max="7" width="56.42578125" style="1" bestFit="1" customWidth="1"/>
    <col min="8" max="8" width="4.7109375" style="2" bestFit="1" customWidth="1"/>
    <col min="9" max="16382" width="32.140625" style="2"/>
    <col min="16383" max="16383" width="1.7109375" style="2" customWidth="1"/>
    <col min="16384" max="16384" width="17.7109375" style="1" customWidth="1"/>
  </cols>
  <sheetData>
    <row r="1" spans="1:9" s="1" customFormat="1">
      <c r="A1" s="3" t="s">
        <v>238</v>
      </c>
      <c r="B1" s="3"/>
      <c r="C1" s="3"/>
      <c r="D1" s="3"/>
      <c r="E1" s="3"/>
      <c r="F1" s="3"/>
      <c r="G1" s="3"/>
      <c r="H1" s="3"/>
    </row>
    <row r="2" spans="1:9" s="1" customFormat="1">
      <c r="A2" s="10" t="s">
        <v>350</v>
      </c>
      <c r="B2" s="10" t="s">
        <v>156</v>
      </c>
      <c r="C2" s="10" t="s">
        <v>157</v>
      </c>
      <c r="D2" s="10" t="s">
        <v>239</v>
      </c>
      <c r="E2" s="10" t="s">
        <v>159</v>
      </c>
      <c r="F2" s="10" t="s">
        <v>1684</v>
      </c>
      <c r="G2" s="10" t="s">
        <v>1685</v>
      </c>
      <c r="H2" s="10" t="s">
        <v>5365</v>
      </c>
    </row>
    <row r="3" spans="1:9" s="1" customFormat="1">
      <c r="A3" s="11">
        <v>1</v>
      </c>
      <c r="B3" s="11" t="s">
        <v>240</v>
      </c>
      <c r="C3" s="11">
        <v>8</v>
      </c>
      <c r="D3" s="11" t="s">
        <v>160</v>
      </c>
      <c r="E3" s="11" t="s">
        <v>177</v>
      </c>
      <c r="F3" s="11" t="s">
        <v>1686</v>
      </c>
      <c r="G3" s="11" t="s">
        <v>1687</v>
      </c>
      <c r="H3" s="11" t="s">
        <v>5382</v>
      </c>
    </row>
    <row r="4" spans="1:9" s="1" customFormat="1" ht="409.5">
      <c r="A4" s="11">
        <v>2</v>
      </c>
      <c r="B4" s="11" t="s">
        <v>2063</v>
      </c>
      <c r="C4" s="11">
        <v>2</v>
      </c>
      <c r="D4" s="11" t="s">
        <v>242</v>
      </c>
      <c r="E4" s="11"/>
      <c r="F4" s="11" t="s">
        <v>2064</v>
      </c>
      <c r="G4" s="11" t="s">
        <v>5667</v>
      </c>
      <c r="H4" s="11" t="s">
        <v>5384</v>
      </c>
    </row>
    <row r="5" spans="1:9" s="1" customFormat="1" ht="30">
      <c r="A5" s="11">
        <v>3</v>
      </c>
      <c r="B5" s="11" t="s">
        <v>749</v>
      </c>
      <c r="C5" s="11">
        <v>30</v>
      </c>
      <c r="D5" s="11" t="s">
        <v>242</v>
      </c>
      <c r="E5" s="11"/>
      <c r="F5" s="11" t="s">
        <v>2065</v>
      </c>
      <c r="G5" s="11" t="s">
        <v>5587</v>
      </c>
      <c r="H5" s="11"/>
    </row>
    <row r="6" spans="1:9" s="47" customFormat="1">
      <c r="A6" s="59">
        <v>4</v>
      </c>
      <c r="B6" s="59" t="s">
        <v>748</v>
      </c>
      <c r="C6" s="59">
        <v>30</v>
      </c>
      <c r="D6" s="59" t="s">
        <v>242</v>
      </c>
      <c r="E6" s="59"/>
      <c r="F6" s="59" t="s">
        <v>2066</v>
      </c>
      <c r="G6" s="59" t="s">
        <v>5622</v>
      </c>
      <c r="H6" s="59"/>
      <c r="I6" s="31"/>
    </row>
    <row r="7" spans="1:9" s="1" customFormat="1">
      <c r="A7" s="59">
        <v>5</v>
      </c>
      <c r="B7" s="59" t="s">
        <v>1419</v>
      </c>
      <c r="C7" s="59">
        <v>30</v>
      </c>
      <c r="D7" s="59" t="s">
        <v>242</v>
      </c>
      <c r="E7" s="59"/>
      <c r="F7" s="59" t="s">
        <v>6729</v>
      </c>
      <c r="G7" s="59" t="s">
        <v>6730</v>
      </c>
      <c r="H7" s="59"/>
      <c r="I7" s="31" t="s">
        <v>7012</v>
      </c>
    </row>
    <row r="8" spans="1:9" s="1" customFormat="1" ht="30">
      <c r="A8" s="59">
        <v>6</v>
      </c>
      <c r="B8" s="59" t="s">
        <v>105</v>
      </c>
      <c r="C8" s="59">
        <v>20</v>
      </c>
      <c r="D8" s="59" t="s">
        <v>242</v>
      </c>
      <c r="E8" s="59"/>
      <c r="F8" s="59" t="s">
        <v>1716</v>
      </c>
      <c r="G8" s="59" t="s">
        <v>2067</v>
      </c>
      <c r="H8" s="59"/>
      <c r="I8" s="31"/>
    </row>
    <row r="9" spans="1:9" s="1" customFormat="1" ht="30">
      <c r="A9" s="46">
        <v>7</v>
      </c>
      <c r="B9" s="11" t="s">
        <v>163</v>
      </c>
      <c r="C9" s="11">
        <v>14</v>
      </c>
      <c r="D9" s="11" t="s">
        <v>1032</v>
      </c>
      <c r="E9" s="11" t="s">
        <v>1033</v>
      </c>
      <c r="F9" s="11" t="s">
        <v>1717</v>
      </c>
      <c r="G9" s="11" t="s">
        <v>2068</v>
      </c>
      <c r="H9" s="11"/>
    </row>
    <row r="10" spans="1:9" s="1" customFormat="1">
      <c r="A10" s="46">
        <v>8</v>
      </c>
      <c r="B10" s="11" t="s">
        <v>1182</v>
      </c>
      <c r="C10" s="11">
        <v>12</v>
      </c>
      <c r="D10" s="11" t="s">
        <v>189</v>
      </c>
      <c r="E10" s="11" t="s">
        <v>5576</v>
      </c>
      <c r="F10" s="11" t="s">
        <v>1688</v>
      </c>
      <c r="G10" s="11" t="s">
        <v>1689</v>
      </c>
      <c r="H10" s="11"/>
    </row>
    <row r="11" spans="1:9" s="1" customFormat="1" ht="30">
      <c r="A11" s="46">
        <v>9</v>
      </c>
      <c r="B11" s="11" t="s">
        <v>1183</v>
      </c>
      <c r="C11" s="11">
        <v>30</v>
      </c>
      <c r="D11" s="11" t="s">
        <v>242</v>
      </c>
      <c r="E11" s="11" t="s">
        <v>5576</v>
      </c>
      <c r="F11" s="11" t="s">
        <v>1690</v>
      </c>
      <c r="G11" s="11" t="s">
        <v>1691</v>
      </c>
      <c r="H11" s="11"/>
    </row>
    <row r="12" spans="1:9" customFormat="1"/>
    <row r="13" spans="1:9" s="1" customFormat="1"/>
    <row r="14" spans="1:9" s="1" customFormat="1"/>
    <row r="15" spans="1:9" s="1" customFormat="1"/>
    <row r="16" spans="1:9"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1B9EF-2B51-4308-98EF-DFC6796C376C}">
  <sheetPr codeName="Sheet86"/>
  <dimension ref="A1:XFC249"/>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6.140625" style="2" customWidth="1"/>
    <col min="9" max="16382" width="32.140625" style="2"/>
    <col min="16383" max="16383" width="1.7109375" style="2" customWidth="1"/>
    <col min="16384" max="16384" width="17.7109375" style="1" customWidth="1"/>
  </cols>
  <sheetData>
    <row r="1" spans="1:8" s="1" customFormat="1">
      <c r="A1" s="3" t="s">
        <v>238</v>
      </c>
      <c r="B1" s="3"/>
      <c r="C1" s="3"/>
      <c r="D1" s="3"/>
      <c r="E1" s="3"/>
      <c r="F1" s="3"/>
      <c r="G1" s="3"/>
      <c r="H1" s="3"/>
    </row>
    <row r="2" spans="1:8" s="1" customFormat="1">
      <c r="A2" s="10" t="s">
        <v>350</v>
      </c>
      <c r="B2" s="10" t="s">
        <v>156</v>
      </c>
      <c r="C2" s="10" t="s">
        <v>157</v>
      </c>
      <c r="D2" s="10" t="s">
        <v>239</v>
      </c>
      <c r="E2" s="10" t="s">
        <v>159</v>
      </c>
      <c r="F2" s="10" t="s">
        <v>1684</v>
      </c>
      <c r="G2" s="10" t="s">
        <v>1685</v>
      </c>
      <c r="H2" s="10" t="s">
        <v>5365</v>
      </c>
    </row>
    <row r="3" spans="1:8" s="1" customFormat="1">
      <c r="A3" s="11">
        <v>1</v>
      </c>
      <c r="B3" s="11" t="s">
        <v>240</v>
      </c>
      <c r="C3" s="11">
        <v>8</v>
      </c>
      <c r="D3" s="11" t="s">
        <v>160</v>
      </c>
      <c r="E3" s="11" t="s">
        <v>177</v>
      </c>
      <c r="F3" s="11" t="s">
        <v>1686</v>
      </c>
      <c r="G3" s="11" t="s">
        <v>1687</v>
      </c>
      <c r="H3" s="11" t="s">
        <v>5382</v>
      </c>
    </row>
    <row r="4" spans="1:8" s="1" customFormat="1">
      <c r="A4" s="11">
        <v>2</v>
      </c>
      <c r="B4" s="11" t="s">
        <v>1398</v>
      </c>
      <c r="C4" s="11">
        <v>4</v>
      </c>
      <c r="D4" s="11" t="s">
        <v>242</v>
      </c>
      <c r="E4" s="11"/>
      <c r="F4" s="11" t="s">
        <v>2020</v>
      </c>
      <c r="G4" s="11" t="s">
        <v>5668</v>
      </c>
      <c r="H4" s="11" t="s">
        <v>5384</v>
      </c>
    </row>
    <row r="5" spans="1:8" s="1" customFormat="1" ht="30">
      <c r="A5" s="11">
        <v>3</v>
      </c>
      <c r="B5" s="11" t="s">
        <v>1348</v>
      </c>
      <c r="C5" s="11">
        <v>30</v>
      </c>
      <c r="D5" s="11" t="s">
        <v>242</v>
      </c>
      <c r="E5" s="11"/>
      <c r="F5" s="11" t="s">
        <v>1952</v>
      </c>
      <c r="G5" s="11" t="s">
        <v>2069</v>
      </c>
      <c r="H5" s="11"/>
    </row>
    <row r="6" spans="1:8" s="1" customFormat="1" ht="30">
      <c r="A6" s="11">
        <v>4</v>
      </c>
      <c r="B6" s="11" t="s">
        <v>1349</v>
      </c>
      <c r="C6" s="11">
        <v>30</v>
      </c>
      <c r="D6" s="11" t="s">
        <v>242</v>
      </c>
      <c r="E6" s="11"/>
      <c r="F6" s="11" t="s">
        <v>1953</v>
      </c>
      <c r="G6" s="11" t="s">
        <v>5623</v>
      </c>
      <c r="H6" s="11"/>
    </row>
    <row r="7" spans="1:8" s="1" customFormat="1" ht="30">
      <c r="A7" s="11">
        <v>5</v>
      </c>
      <c r="B7" s="11" t="s">
        <v>1420</v>
      </c>
      <c r="C7" s="11">
        <v>3</v>
      </c>
      <c r="D7" s="11" t="s">
        <v>242</v>
      </c>
      <c r="E7" s="11"/>
      <c r="F7" s="11" t="s">
        <v>2070</v>
      </c>
      <c r="G7" s="11" t="s">
        <v>2071</v>
      </c>
      <c r="H7" s="11"/>
    </row>
    <row r="8" spans="1:8" s="1" customFormat="1" ht="30">
      <c r="A8" s="11">
        <v>6</v>
      </c>
      <c r="B8" s="11" t="s">
        <v>1421</v>
      </c>
      <c r="C8" s="11">
        <v>1</v>
      </c>
      <c r="D8" s="11" t="s">
        <v>242</v>
      </c>
      <c r="E8" s="11"/>
      <c r="F8" s="11" t="s">
        <v>2072</v>
      </c>
      <c r="G8" s="11" t="s">
        <v>2073</v>
      </c>
      <c r="H8" s="11"/>
    </row>
    <row r="9" spans="1:8" s="1" customFormat="1" ht="30">
      <c r="A9" s="11">
        <v>7</v>
      </c>
      <c r="B9" s="11" t="s">
        <v>1422</v>
      </c>
      <c r="C9" s="11">
        <v>3</v>
      </c>
      <c r="D9" s="11" t="s">
        <v>242</v>
      </c>
      <c r="E9" s="11"/>
      <c r="F9" s="11" t="s">
        <v>2074</v>
      </c>
      <c r="G9" s="11" t="s">
        <v>2075</v>
      </c>
      <c r="H9" s="11"/>
    </row>
    <row r="10" spans="1:8" s="1" customFormat="1" ht="30">
      <c r="A10" s="11">
        <v>8</v>
      </c>
      <c r="B10" s="11" t="s">
        <v>105</v>
      </c>
      <c r="C10" s="11">
        <v>20</v>
      </c>
      <c r="D10" s="11" t="s">
        <v>242</v>
      </c>
      <c r="E10" s="11"/>
      <c r="F10" s="11" t="s">
        <v>1716</v>
      </c>
      <c r="G10" s="11" t="s">
        <v>2076</v>
      </c>
      <c r="H10" s="11"/>
    </row>
    <row r="11" spans="1:8" s="1" customFormat="1" ht="30">
      <c r="A11" s="11">
        <v>9</v>
      </c>
      <c r="B11" s="11" t="s">
        <v>163</v>
      </c>
      <c r="C11" s="11">
        <v>14</v>
      </c>
      <c r="D11" s="11" t="s">
        <v>1032</v>
      </c>
      <c r="E11" s="11" t="s">
        <v>1033</v>
      </c>
      <c r="F11" s="11" t="s">
        <v>2019</v>
      </c>
      <c r="G11" s="11" t="s">
        <v>2077</v>
      </c>
      <c r="H11" s="11"/>
    </row>
    <row r="12" spans="1:8" s="1" customFormat="1">
      <c r="A12" s="11">
        <v>10</v>
      </c>
      <c r="B12" s="11" t="s">
        <v>1182</v>
      </c>
      <c r="C12" s="11">
        <v>12</v>
      </c>
      <c r="D12" s="11" t="s">
        <v>189</v>
      </c>
      <c r="E12" s="11" t="s">
        <v>5576</v>
      </c>
      <c r="F12" s="11" t="s">
        <v>1688</v>
      </c>
      <c r="G12" s="11" t="s">
        <v>1689</v>
      </c>
      <c r="H12" s="11"/>
    </row>
    <row r="13" spans="1:8" s="1" customFormat="1" ht="30">
      <c r="A13" s="11">
        <v>11</v>
      </c>
      <c r="B13" s="11" t="s">
        <v>1183</v>
      </c>
      <c r="C13" s="11">
        <v>30</v>
      </c>
      <c r="D13" s="11" t="s">
        <v>242</v>
      </c>
      <c r="E13" s="11" t="s">
        <v>5576</v>
      </c>
      <c r="F13" s="11" t="s">
        <v>1690</v>
      </c>
      <c r="G13" s="11" t="s">
        <v>1691</v>
      </c>
      <c r="H13" s="11"/>
    </row>
    <row r="14" spans="1:8" s="1" customFormat="1"/>
    <row r="15" spans="1:8" s="1" customFormat="1"/>
    <row r="16" spans="1:8"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961DA-FB14-4904-A40C-781878F9E447}">
  <sheetPr codeName="Sheet88"/>
  <dimension ref="A1:I250"/>
  <sheetViews>
    <sheetView topLeftCell="A10"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7" style="2" customWidth="1"/>
    <col min="9" max="16382" width="32.140625" style="1"/>
    <col min="16383" max="16383" width="1.7109375" style="1" customWidth="1"/>
    <col min="16384" max="16384" width="17.7109375" style="1" customWidth="1"/>
  </cols>
  <sheetData>
    <row r="1" spans="1:9">
      <c r="A1" s="3" t="s">
        <v>238</v>
      </c>
      <c r="B1" s="3"/>
      <c r="C1" s="3"/>
      <c r="D1" s="3"/>
      <c r="E1" s="3"/>
      <c r="F1" s="3"/>
      <c r="G1" s="3"/>
      <c r="H1" s="3"/>
    </row>
    <row r="2" spans="1:9">
      <c r="A2" s="10" t="s">
        <v>350</v>
      </c>
      <c r="B2" s="10" t="s">
        <v>156</v>
      </c>
      <c r="C2" s="10" t="s">
        <v>157</v>
      </c>
      <c r="D2" s="10" t="s">
        <v>239</v>
      </c>
      <c r="E2" s="10" t="s">
        <v>159</v>
      </c>
      <c r="F2" s="10" t="s">
        <v>1684</v>
      </c>
      <c r="G2" s="10" t="s">
        <v>1685</v>
      </c>
      <c r="H2" s="10" t="s">
        <v>5365</v>
      </c>
    </row>
    <row r="3" spans="1:9">
      <c r="A3" s="11">
        <v>1</v>
      </c>
      <c r="B3" s="11" t="s">
        <v>240</v>
      </c>
      <c r="C3" s="11">
        <v>8</v>
      </c>
      <c r="D3" s="11" t="s">
        <v>160</v>
      </c>
      <c r="E3" s="11" t="s">
        <v>177</v>
      </c>
      <c r="F3" s="11" t="s">
        <v>1686</v>
      </c>
      <c r="G3" s="11" t="s">
        <v>1687</v>
      </c>
      <c r="H3" s="11" t="s">
        <v>5382</v>
      </c>
    </row>
    <row r="4" spans="1:9" ht="409.5">
      <c r="A4" s="11">
        <v>2</v>
      </c>
      <c r="B4" s="11" t="s">
        <v>550</v>
      </c>
      <c r="C4" s="11">
        <v>2</v>
      </c>
      <c r="D4" s="11" t="s">
        <v>242</v>
      </c>
      <c r="E4" s="11"/>
      <c r="F4" s="11" t="s">
        <v>2083</v>
      </c>
      <c r="G4" s="11" t="s">
        <v>5669</v>
      </c>
      <c r="H4" s="11" t="s">
        <v>5384</v>
      </c>
    </row>
    <row r="5" spans="1:9">
      <c r="A5" s="46">
        <v>3</v>
      </c>
      <c r="B5" s="11" t="s">
        <v>749</v>
      </c>
      <c r="C5" s="11">
        <v>30</v>
      </c>
      <c r="D5" s="11" t="s">
        <v>242</v>
      </c>
      <c r="E5" s="11"/>
      <c r="F5" s="11" t="s">
        <v>2084</v>
      </c>
      <c r="G5" s="11" t="s">
        <v>5617</v>
      </c>
      <c r="H5" s="11"/>
    </row>
    <row r="6" spans="1:9">
      <c r="A6" s="46">
        <v>4</v>
      </c>
      <c r="B6" s="11" t="s">
        <v>748</v>
      </c>
      <c r="C6" s="11">
        <v>30</v>
      </c>
      <c r="D6" s="11" t="s">
        <v>242</v>
      </c>
      <c r="E6" s="11"/>
      <c r="F6" s="11" t="s">
        <v>2085</v>
      </c>
      <c r="G6" s="11" t="s">
        <v>5625</v>
      </c>
      <c r="H6" s="11"/>
    </row>
    <row r="7" spans="1:9" ht="30">
      <c r="A7" s="46">
        <v>5</v>
      </c>
      <c r="B7" s="11" t="s">
        <v>776</v>
      </c>
      <c r="C7" s="11">
        <v>3</v>
      </c>
      <c r="D7" s="11" t="s">
        <v>242</v>
      </c>
      <c r="E7" s="11"/>
      <c r="F7" s="11" t="s">
        <v>2086</v>
      </c>
      <c r="G7" s="11" t="s">
        <v>2087</v>
      </c>
      <c r="H7" s="11"/>
    </row>
    <row r="8" spans="1:9" ht="30">
      <c r="A8" s="46">
        <v>6</v>
      </c>
      <c r="B8" s="11" t="s">
        <v>573</v>
      </c>
      <c r="C8" s="11">
        <v>1</v>
      </c>
      <c r="D8" s="11" t="s">
        <v>242</v>
      </c>
      <c r="E8" s="11"/>
      <c r="F8" s="11" t="s">
        <v>2088</v>
      </c>
      <c r="G8" s="11" t="s">
        <v>2089</v>
      </c>
      <c r="H8" s="11"/>
    </row>
    <row r="9" spans="1:9" ht="30">
      <c r="A9" s="46">
        <v>7</v>
      </c>
      <c r="B9" s="11" t="s">
        <v>1423</v>
      </c>
      <c r="C9" s="11">
        <v>6</v>
      </c>
      <c r="D9" s="11" t="s">
        <v>242</v>
      </c>
      <c r="E9" s="11"/>
      <c r="F9" s="11" t="s">
        <v>2090</v>
      </c>
      <c r="G9" s="11" t="s">
        <v>2091</v>
      </c>
      <c r="H9" s="11"/>
    </row>
    <row r="10" spans="1:9" ht="30">
      <c r="A10" s="59">
        <v>8</v>
      </c>
      <c r="B10" s="59" t="s">
        <v>583</v>
      </c>
      <c r="C10" s="59">
        <v>1</v>
      </c>
      <c r="D10" s="59" t="s">
        <v>242</v>
      </c>
      <c r="E10" s="59"/>
      <c r="F10" s="59" t="s">
        <v>2092</v>
      </c>
      <c r="G10" s="59" t="s">
        <v>2093</v>
      </c>
      <c r="H10" s="59"/>
      <c r="I10" s="31"/>
    </row>
    <row r="11" spans="1:9" s="47" customFormat="1" ht="30">
      <c r="A11" s="59">
        <v>9</v>
      </c>
      <c r="B11" s="59" t="s">
        <v>105</v>
      </c>
      <c r="C11" s="59">
        <v>20</v>
      </c>
      <c r="D11" s="59" t="s">
        <v>242</v>
      </c>
      <c r="E11" s="59"/>
      <c r="F11" s="59" t="s">
        <v>1716</v>
      </c>
      <c r="G11" s="59" t="s">
        <v>2082</v>
      </c>
      <c r="H11" s="59"/>
      <c r="I11" s="31" t="s">
        <v>6998</v>
      </c>
    </row>
    <row r="12" spans="1:9" ht="30">
      <c r="A12" s="59">
        <v>10</v>
      </c>
      <c r="B12" s="59" t="s">
        <v>163</v>
      </c>
      <c r="C12" s="59">
        <v>14</v>
      </c>
      <c r="D12" s="59" t="s">
        <v>1032</v>
      </c>
      <c r="E12" s="59" t="s">
        <v>1033</v>
      </c>
      <c r="F12" s="59" t="s">
        <v>1717</v>
      </c>
      <c r="G12" s="59" t="s">
        <v>2094</v>
      </c>
      <c r="H12" s="59"/>
      <c r="I12" s="31"/>
    </row>
    <row r="13" spans="1:9">
      <c r="A13" s="59">
        <v>11</v>
      </c>
      <c r="B13" s="59" t="s">
        <v>1182</v>
      </c>
      <c r="C13" s="59">
        <v>12</v>
      </c>
      <c r="D13" s="59" t="s">
        <v>189</v>
      </c>
      <c r="E13" s="59" t="s">
        <v>5576</v>
      </c>
      <c r="F13" s="59" t="s">
        <v>1688</v>
      </c>
      <c r="G13" s="59" t="s">
        <v>1689</v>
      </c>
      <c r="H13" s="59"/>
      <c r="I13" s="31"/>
    </row>
    <row r="14" spans="1:9" ht="30">
      <c r="A14" s="59">
        <v>12</v>
      </c>
      <c r="B14" s="59" t="s">
        <v>1183</v>
      </c>
      <c r="C14" s="59">
        <v>30</v>
      </c>
      <c r="D14" s="59" t="s">
        <v>242</v>
      </c>
      <c r="E14" s="59" t="s">
        <v>5576</v>
      </c>
      <c r="F14" s="59" t="s">
        <v>1690</v>
      </c>
      <c r="G14" s="59" t="s">
        <v>1691</v>
      </c>
      <c r="H14" s="59"/>
      <c r="I14" s="31"/>
    </row>
    <row r="15" spans="1:9">
      <c r="A15" s="31"/>
      <c r="B15" s="31"/>
      <c r="C15" s="31"/>
      <c r="D15" s="31"/>
      <c r="E15" s="31"/>
      <c r="F15" s="31"/>
      <c r="G15" s="31"/>
      <c r="H15" s="31"/>
      <c r="I15" s="31"/>
    </row>
    <row r="16" spans="1:9">
      <c r="A16" s="31"/>
      <c r="B16" s="31"/>
      <c r="C16" s="31"/>
      <c r="D16" s="31"/>
      <c r="E16" s="31"/>
      <c r="F16" s="31"/>
      <c r="G16" s="31"/>
      <c r="H16" s="31"/>
      <c r="I16" s="31"/>
    </row>
    <row r="17" spans="1:9">
      <c r="A17" s="31"/>
      <c r="B17" s="31"/>
      <c r="C17" s="31"/>
      <c r="D17" s="31"/>
      <c r="E17" s="31"/>
      <c r="F17" s="31"/>
      <c r="G17" s="31"/>
      <c r="H17" s="31"/>
      <c r="I17" s="31"/>
    </row>
    <row r="18" spans="1:9">
      <c r="A18" s="31"/>
      <c r="B18" s="31"/>
      <c r="C18" s="31"/>
      <c r="D18" s="31"/>
      <c r="E18" s="31"/>
      <c r="F18" s="31"/>
      <c r="G18" s="31"/>
      <c r="H18" s="31"/>
      <c r="I18" s="31"/>
    </row>
    <row r="19" spans="1:9">
      <c r="A19" s="31"/>
      <c r="B19" s="31"/>
      <c r="C19" s="31"/>
      <c r="D19" s="31"/>
      <c r="E19" s="31"/>
      <c r="F19" s="31"/>
      <c r="G19" s="31"/>
      <c r="H19" s="31"/>
      <c r="I19" s="31"/>
    </row>
    <row r="20" spans="1:9">
      <c r="A20" s="31"/>
      <c r="B20" s="31"/>
      <c r="C20" s="31"/>
      <c r="D20" s="31"/>
      <c r="E20" s="31"/>
      <c r="F20" s="31"/>
      <c r="G20" s="31"/>
      <c r="H20" s="31"/>
      <c r="I20" s="31"/>
    </row>
    <row r="21" spans="1:9">
      <c r="A21" s="31"/>
      <c r="B21" s="31"/>
      <c r="C21" s="31"/>
      <c r="D21" s="31"/>
      <c r="E21" s="31"/>
      <c r="F21" s="31"/>
      <c r="G21" s="31"/>
      <c r="H21" s="31"/>
      <c r="I21" s="31"/>
    </row>
    <row r="22" spans="1:9">
      <c r="A22" s="31"/>
      <c r="B22" s="31"/>
      <c r="C22" s="31"/>
      <c r="D22" s="31"/>
      <c r="E22" s="31"/>
      <c r="F22" s="31"/>
      <c r="G22" s="31"/>
      <c r="H22" s="31"/>
      <c r="I22" s="31"/>
    </row>
    <row r="23" spans="1:9">
      <c r="A23" s="31"/>
      <c r="B23" s="31"/>
      <c r="C23" s="31"/>
      <c r="D23" s="31"/>
      <c r="E23" s="31"/>
      <c r="F23" s="31"/>
      <c r="G23" s="31"/>
      <c r="H23" s="31"/>
      <c r="I23" s="31"/>
    </row>
    <row r="24" spans="1:9">
      <c r="A24" s="31"/>
      <c r="B24" s="31"/>
      <c r="C24" s="31"/>
      <c r="D24" s="31"/>
      <c r="E24" s="31"/>
      <c r="F24" s="31"/>
      <c r="G24" s="31"/>
      <c r="H24" s="31"/>
      <c r="I24" s="31"/>
    </row>
    <row r="25" spans="1:9">
      <c r="A25" s="31"/>
      <c r="B25" s="31"/>
      <c r="C25" s="31"/>
      <c r="D25" s="31"/>
      <c r="E25" s="31"/>
      <c r="F25" s="31"/>
      <c r="G25" s="31"/>
      <c r="H25" s="31"/>
      <c r="I25" s="31"/>
    </row>
    <row r="26" spans="1:9">
      <c r="A26" s="31"/>
      <c r="B26" s="31"/>
      <c r="C26" s="31"/>
      <c r="D26" s="31"/>
      <c r="E26" s="31"/>
      <c r="F26" s="31"/>
      <c r="G26" s="31"/>
      <c r="H26" s="31"/>
      <c r="I26" s="31"/>
    </row>
    <row r="27" spans="1:9">
      <c r="H27" s="1"/>
    </row>
    <row r="28" spans="1:9">
      <c r="H28" s="1"/>
    </row>
    <row r="29" spans="1:9">
      <c r="H29" s="1"/>
    </row>
    <row r="30" spans="1:9">
      <c r="H30" s="1"/>
    </row>
    <row r="31" spans="1:9">
      <c r="H31" s="1"/>
    </row>
    <row r="32" spans="1:9">
      <c r="H32" s="1"/>
    </row>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41B8-5A2D-4135-B26B-D340D1CE3C19}">
  <sheetPr codeName="Sheet1"/>
  <dimension ref="A1:J251"/>
  <sheetViews>
    <sheetView topLeftCell="A30" workbookViewId="0">
      <selection activeCell="C22" sqref="C22"/>
    </sheetView>
  </sheetViews>
  <sheetFormatPr defaultColWidth="32.140625" defaultRowHeight="15"/>
  <cols>
    <col min="1" max="1" width="8" style="1" bestFit="1" customWidth="1"/>
    <col min="2" max="2" width="24.42578125" style="1" customWidth="1"/>
    <col min="3" max="3" width="4.5703125" style="1" bestFit="1" customWidth="1"/>
    <col min="4" max="4" width="9" style="1" bestFit="1" customWidth="1"/>
    <col min="5" max="5" width="24.42578125" style="1" bestFit="1" customWidth="1"/>
    <col min="6" max="6" width="47.28515625" style="1" bestFit="1" customWidth="1"/>
    <col min="7" max="7" width="57.42578125" style="1" customWidth="1"/>
    <col min="8" max="8" width="4.7109375" style="2" bestFit="1" customWidth="1"/>
    <col min="9" max="9" width="5.28515625" style="1" customWidth="1"/>
    <col min="10" max="16382" width="32.140625" style="1"/>
    <col min="16383" max="16383" width="1.7109375" style="1" customWidth="1"/>
    <col min="16384" max="16384" width="17.7109375" style="1" customWidth="1"/>
  </cols>
  <sheetData>
    <row r="1" spans="1:9">
      <c r="A1" s="12" t="s">
        <v>188</v>
      </c>
      <c r="B1" s="12"/>
      <c r="C1" s="12"/>
      <c r="D1" s="12"/>
      <c r="E1" s="12"/>
      <c r="F1" s="12"/>
      <c r="G1" s="12"/>
      <c r="H1" s="12"/>
      <c r="I1" s="12"/>
    </row>
    <row r="2" spans="1:9">
      <c r="A2" s="10" t="s">
        <v>350</v>
      </c>
      <c r="B2" s="10" t="s">
        <v>156</v>
      </c>
      <c r="C2" s="10" t="s">
        <v>157</v>
      </c>
      <c r="D2" s="10" t="s">
        <v>239</v>
      </c>
      <c r="E2" s="10" t="s">
        <v>159</v>
      </c>
      <c r="F2" s="10" t="s">
        <v>1684</v>
      </c>
      <c r="G2" s="10" t="s">
        <v>1685</v>
      </c>
      <c r="H2" s="10" t="s">
        <v>5365</v>
      </c>
      <c r="I2" s="10" t="s">
        <v>5366</v>
      </c>
    </row>
    <row r="3" spans="1:9">
      <c r="A3" s="11">
        <v>1</v>
      </c>
      <c r="B3" s="11" t="s">
        <v>240</v>
      </c>
      <c r="C3" s="11">
        <v>8</v>
      </c>
      <c r="D3" s="11" t="s">
        <v>351</v>
      </c>
      <c r="E3" s="11" t="s">
        <v>177</v>
      </c>
      <c r="F3" s="11" t="s">
        <v>1686</v>
      </c>
      <c r="G3" s="11" t="s">
        <v>1687</v>
      </c>
      <c r="H3" s="11" t="s">
        <v>5382</v>
      </c>
      <c r="I3" s="11"/>
    </row>
    <row r="4" spans="1:9" ht="30">
      <c r="A4" s="11">
        <v>2</v>
      </c>
      <c r="B4" s="11" t="s">
        <v>78</v>
      </c>
      <c r="C4" s="11">
        <v>4</v>
      </c>
      <c r="D4" s="11" t="s">
        <v>242</v>
      </c>
      <c r="E4" s="11"/>
      <c r="F4" s="11" t="s">
        <v>1707</v>
      </c>
      <c r="G4" s="11" t="s">
        <v>3214</v>
      </c>
      <c r="H4" s="11" t="s">
        <v>5384</v>
      </c>
      <c r="I4" s="11"/>
    </row>
    <row r="5" spans="1:9" ht="30">
      <c r="A5" s="11">
        <v>3</v>
      </c>
      <c r="B5" s="11" t="s">
        <v>89</v>
      </c>
      <c r="C5" s="11">
        <v>10</v>
      </c>
      <c r="D5" s="11" t="s">
        <v>242</v>
      </c>
      <c r="E5" s="11"/>
      <c r="F5" s="11" t="s">
        <v>1708</v>
      </c>
      <c r="G5" s="11" t="s">
        <v>3215</v>
      </c>
      <c r="H5" s="11" t="s">
        <v>5385</v>
      </c>
      <c r="I5" s="11"/>
    </row>
    <row r="6" spans="1:9" ht="30">
      <c r="A6" s="11">
        <v>4</v>
      </c>
      <c r="B6" s="11" t="s">
        <v>87</v>
      </c>
      <c r="C6" s="11">
        <v>14</v>
      </c>
      <c r="D6" s="11" t="s">
        <v>161</v>
      </c>
      <c r="E6" s="11" t="s">
        <v>162</v>
      </c>
      <c r="F6" s="11" t="s">
        <v>1709</v>
      </c>
      <c r="G6" s="11" t="s">
        <v>3216</v>
      </c>
      <c r="H6" s="11" t="s">
        <v>5402</v>
      </c>
      <c r="I6" s="11"/>
    </row>
    <row r="7" spans="1:9" ht="30">
      <c r="A7" s="11">
        <v>5</v>
      </c>
      <c r="B7" s="11" t="s">
        <v>0</v>
      </c>
      <c r="C7" s="11">
        <v>1</v>
      </c>
      <c r="D7" s="11" t="s">
        <v>242</v>
      </c>
      <c r="E7" s="11"/>
      <c r="F7" s="11" t="s">
        <v>1724</v>
      </c>
      <c r="G7" s="11" t="s">
        <v>3217</v>
      </c>
      <c r="H7" s="11"/>
      <c r="I7" s="11"/>
    </row>
    <row r="8" spans="1:9" ht="120">
      <c r="A8" s="11">
        <v>6</v>
      </c>
      <c r="B8" s="11" t="s">
        <v>1</v>
      </c>
      <c r="C8" s="11">
        <v>1</v>
      </c>
      <c r="D8" s="11" t="s">
        <v>242</v>
      </c>
      <c r="E8" s="11"/>
      <c r="F8" s="11" t="s">
        <v>1760</v>
      </c>
      <c r="G8" s="11" t="s">
        <v>2387</v>
      </c>
      <c r="H8" s="11"/>
      <c r="I8" s="11"/>
    </row>
    <row r="9" spans="1:9" ht="30">
      <c r="A9" s="11">
        <v>7</v>
      </c>
      <c r="B9" s="11" t="s">
        <v>151</v>
      </c>
      <c r="C9" s="11">
        <v>7</v>
      </c>
      <c r="D9" s="11" t="s">
        <v>242</v>
      </c>
      <c r="E9" s="11"/>
      <c r="F9" s="11" t="s">
        <v>1694</v>
      </c>
      <c r="G9" s="11" t="s">
        <v>3218</v>
      </c>
      <c r="H9" s="11"/>
      <c r="I9" s="11" t="s">
        <v>5387</v>
      </c>
    </row>
    <row r="10" spans="1:9" ht="30">
      <c r="A10" s="11">
        <v>8</v>
      </c>
      <c r="B10" s="11" t="s">
        <v>90</v>
      </c>
      <c r="C10" s="11">
        <v>10</v>
      </c>
      <c r="D10" s="11" t="s">
        <v>242</v>
      </c>
      <c r="E10" s="11"/>
      <c r="F10" s="11" t="s">
        <v>1761</v>
      </c>
      <c r="G10" s="11" t="s">
        <v>3219</v>
      </c>
      <c r="H10" s="11"/>
      <c r="I10" s="11"/>
    </row>
    <row r="11" spans="1:9" ht="30">
      <c r="A11" s="11">
        <v>9</v>
      </c>
      <c r="B11" s="11" t="s">
        <v>79</v>
      </c>
      <c r="C11" s="11">
        <v>4</v>
      </c>
      <c r="D11" s="11" t="s">
        <v>242</v>
      </c>
      <c r="E11" s="11"/>
      <c r="F11" s="11" t="s">
        <v>1715</v>
      </c>
      <c r="G11" s="11" t="s">
        <v>3220</v>
      </c>
      <c r="H11" s="11"/>
      <c r="I11" s="11"/>
    </row>
    <row r="12" spans="1:9" ht="30">
      <c r="A12" s="11">
        <v>10</v>
      </c>
      <c r="B12" s="11" t="s">
        <v>44</v>
      </c>
      <c r="C12" s="11">
        <v>15</v>
      </c>
      <c r="D12" s="11" t="s">
        <v>242</v>
      </c>
      <c r="E12" s="11"/>
      <c r="F12" s="11" t="s">
        <v>1697</v>
      </c>
      <c r="G12" s="11" t="s">
        <v>3218</v>
      </c>
      <c r="H12" s="11"/>
      <c r="I12" s="11"/>
    </row>
    <row r="13" spans="1:9" ht="30">
      <c r="A13" s="11">
        <v>11</v>
      </c>
      <c r="B13" s="11" t="s">
        <v>2</v>
      </c>
      <c r="C13" s="11">
        <v>1</v>
      </c>
      <c r="D13" s="11" t="s">
        <v>242</v>
      </c>
      <c r="E13" s="11"/>
      <c r="F13" s="11" t="s">
        <v>1696</v>
      </c>
      <c r="G13" s="11" t="s">
        <v>3221</v>
      </c>
      <c r="H13" s="11"/>
      <c r="I13" s="11"/>
    </row>
    <row r="14" spans="1:9" ht="30">
      <c r="A14" s="11">
        <v>12</v>
      </c>
      <c r="B14" s="11" t="s">
        <v>121</v>
      </c>
      <c r="C14" s="11">
        <v>20</v>
      </c>
      <c r="D14" s="11" t="s">
        <v>242</v>
      </c>
      <c r="E14" s="11"/>
      <c r="F14" s="11" t="s">
        <v>2096</v>
      </c>
      <c r="G14" s="11" t="s">
        <v>3222</v>
      </c>
      <c r="H14" s="11"/>
      <c r="I14" s="11"/>
    </row>
    <row r="15" spans="1:9" ht="30">
      <c r="A15" s="11">
        <v>13</v>
      </c>
      <c r="B15" s="11" t="s">
        <v>3</v>
      </c>
      <c r="C15" s="11">
        <v>1</v>
      </c>
      <c r="D15" s="11" t="s">
        <v>242</v>
      </c>
      <c r="E15" s="11"/>
      <c r="F15" s="11" t="s">
        <v>2097</v>
      </c>
      <c r="G15" s="11" t="s">
        <v>3223</v>
      </c>
      <c r="H15" s="11"/>
      <c r="I15" s="11"/>
    </row>
    <row r="16" spans="1:9" ht="30">
      <c r="A16" s="11">
        <v>14</v>
      </c>
      <c r="B16" s="11" t="s">
        <v>67</v>
      </c>
      <c r="C16" s="11">
        <v>8</v>
      </c>
      <c r="D16" s="11" t="s">
        <v>160</v>
      </c>
      <c r="E16" s="11" t="s">
        <v>177</v>
      </c>
      <c r="F16" s="11" t="s">
        <v>2098</v>
      </c>
      <c r="G16" s="11" t="s">
        <v>3224</v>
      </c>
      <c r="H16" s="11"/>
      <c r="I16" s="11"/>
    </row>
    <row r="17" spans="1:10" ht="30">
      <c r="A17" s="11">
        <v>15</v>
      </c>
      <c r="B17" s="11" t="s">
        <v>68</v>
      </c>
      <c r="C17" s="11">
        <v>8</v>
      </c>
      <c r="D17" s="11" t="s">
        <v>160</v>
      </c>
      <c r="E17" s="11" t="s">
        <v>177</v>
      </c>
      <c r="F17" s="11" t="s">
        <v>2099</v>
      </c>
      <c r="G17" s="11" t="s">
        <v>3225</v>
      </c>
      <c r="H17" s="11"/>
      <c r="I17" s="11"/>
    </row>
    <row r="18" spans="1:10" ht="30">
      <c r="A18" s="11">
        <v>16</v>
      </c>
      <c r="B18" s="11" t="s">
        <v>69</v>
      </c>
      <c r="C18" s="11">
        <v>8</v>
      </c>
      <c r="D18" s="11" t="s">
        <v>160</v>
      </c>
      <c r="E18" s="11" t="s">
        <v>177</v>
      </c>
      <c r="F18" s="11" t="s">
        <v>2100</v>
      </c>
      <c r="G18" s="11" t="s">
        <v>3226</v>
      </c>
      <c r="H18" s="11"/>
      <c r="I18" s="11"/>
    </row>
    <row r="19" spans="1:10" ht="30">
      <c r="A19" s="11">
        <v>17</v>
      </c>
      <c r="B19" s="11" t="s">
        <v>70</v>
      </c>
      <c r="C19" s="11">
        <v>8</v>
      </c>
      <c r="D19" s="11" t="s">
        <v>160</v>
      </c>
      <c r="E19" s="11" t="s">
        <v>177</v>
      </c>
      <c r="F19" s="11" t="s">
        <v>2101</v>
      </c>
      <c r="G19" s="11" t="s">
        <v>3227</v>
      </c>
      <c r="H19" s="11"/>
      <c r="I19" s="11"/>
    </row>
    <row r="20" spans="1:10" ht="30">
      <c r="A20" s="11">
        <v>18</v>
      </c>
      <c r="B20" s="11" t="s">
        <v>4</v>
      </c>
      <c r="C20" s="11">
        <v>1</v>
      </c>
      <c r="D20" s="11" t="s">
        <v>242</v>
      </c>
      <c r="E20" s="11"/>
      <c r="F20" s="11" t="s">
        <v>2102</v>
      </c>
      <c r="G20" s="11" t="s">
        <v>3228</v>
      </c>
      <c r="H20" s="11"/>
      <c r="I20" s="11"/>
    </row>
    <row r="21" spans="1:10">
      <c r="A21" s="11">
        <v>19</v>
      </c>
      <c r="B21" s="11" t="s">
        <v>127</v>
      </c>
      <c r="C21" s="11">
        <v>3</v>
      </c>
      <c r="D21" s="11" t="s">
        <v>242</v>
      </c>
      <c r="E21" s="11"/>
      <c r="F21" s="11" t="s">
        <v>2103</v>
      </c>
      <c r="G21" s="11" t="s">
        <v>3229</v>
      </c>
      <c r="H21" s="11"/>
      <c r="I21" s="11"/>
    </row>
    <row r="22" spans="1:10" ht="30">
      <c r="A22" s="11">
        <v>20</v>
      </c>
      <c r="B22" s="11" t="s">
        <v>45</v>
      </c>
      <c r="C22" s="11">
        <v>15</v>
      </c>
      <c r="D22" s="11" t="s">
        <v>242</v>
      </c>
      <c r="E22" s="11"/>
      <c r="F22" s="11" t="s">
        <v>2104</v>
      </c>
      <c r="G22" s="11" t="s">
        <v>3230</v>
      </c>
      <c r="H22" s="11"/>
      <c r="I22" s="11"/>
    </row>
    <row r="23" spans="1:10" ht="30">
      <c r="A23" s="11">
        <v>21</v>
      </c>
      <c r="B23" s="11" t="s">
        <v>133</v>
      </c>
      <c r="C23" s="11">
        <v>2</v>
      </c>
      <c r="D23" s="11" t="s">
        <v>242</v>
      </c>
      <c r="E23" s="11"/>
      <c r="F23" s="11" t="s">
        <v>2078</v>
      </c>
      <c r="G23" s="11" t="s">
        <v>3231</v>
      </c>
      <c r="H23" s="11"/>
      <c r="I23" s="11"/>
    </row>
    <row r="24" spans="1:10" ht="30">
      <c r="A24" s="11">
        <v>22</v>
      </c>
      <c r="B24" s="11" t="s">
        <v>5</v>
      </c>
      <c r="C24" s="11">
        <v>1</v>
      </c>
      <c r="D24" s="11" t="s">
        <v>242</v>
      </c>
      <c r="E24" s="11"/>
      <c r="F24" s="11" t="s">
        <v>2105</v>
      </c>
      <c r="G24" s="11" t="s">
        <v>3232</v>
      </c>
      <c r="H24" s="11"/>
      <c r="I24" s="11"/>
    </row>
    <row r="25" spans="1:10">
      <c r="A25" s="11">
        <v>23</v>
      </c>
      <c r="B25" s="11" t="s">
        <v>71</v>
      </c>
      <c r="C25" s="11">
        <v>8</v>
      </c>
      <c r="D25" s="11" t="s">
        <v>160</v>
      </c>
      <c r="E25" s="11" t="s">
        <v>177</v>
      </c>
      <c r="F25" s="11" t="s">
        <v>2106</v>
      </c>
      <c r="G25" s="11" t="s">
        <v>3233</v>
      </c>
      <c r="H25" s="11"/>
      <c r="I25" s="11"/>
    </row>
    <row r="26" spans="1:10">
      <c r="A26" s="11">
        <v>24</v>
      </c>
      <c r="B26" s="11" t="s">
        <v>72</v>
      </c>
      <c r="C26" s="11">
        <v>8</v>
      </c>
      <c r="D26" s="11" t="s">
        <v>160</v>
      </c>
      <c r="E26" s="11" t="s">
        <v>177</v>
      </c>
      <c r="F26" s="11" t="s">
        <v>2107</v>
      </c>
      <c r="G26" s="11" t="s">
        <v>3234</v>
      </c>
      <c r="H26" s="11"/>
      <c r="I26" s="11"/>
    </row>
    <row r="27" spans="1:10">
      <c r="A27" s="11">
        <v>25</v>
      </c>
      <c r="B27" s="11" t="s">
        <v>6</v>
      </c>
      <c r="C27" s="11">
        <v>1</v>
      </c>
      <c r="D27" s="11" t="s">
        <v>242</v>
      </c>
      <c r="E27" s="11"/>
      <c r="F27" s="11" t="s">
        <v>2108</v>
      </c>
      <c r="G27" s="11" t="s">
        <v>3235</v>
      </c>
      <c r="H27" s="11"/>
      <c r="I27" s="11"/>
    </row>
    <row r="28" spans="1:10" ht="30">
      <c r="A28" s="11">
        <v>26</v>
      </c>
      <c r="B28" s="11" t="s">
        <v>818</v>
      </c>
      <c r="C28" s="11">
        <v>1</v>
      </c>
      <c r="D28" s="11" t="s">
        <v>242</v>
      </c>
      <c r="E28" s="11"/>
      <c r="F28" s="11" t="s">
        <v>2109</v>
      </c>
      <c r="G28" s="11" t="s">
        <v>3236</v>
      </c>
      <c r="H28" s="11"/>
      <c r="I28" s="11"/>
    </row>
    <row r="29" spans="1:10" ht="30">
      <c r="A29" s="11">
        <v>27</v>
      </c>
      <c r="B29" s="11" t="s">
        <v>7</v>
      </c>
      <c r="C29" s="11">
        <v>1</v>
      </c>
      <c r="D29" s="11" t="s">
        <v>242</v>
      </c>
      <c r="E29" s="11"/>
      <c r="F29" s="11" t="s">
        <v>2110</v>
      </c>
      <c r="G29" s="11" t="s">
        <v>3237</v>
      </c>
      <c r="H29" s="11"/>
      <c r="I29" s="11"/>
    </row>
    <row r="30" spans="1:10" ht="30">
      <c r="A30" s="59">
        <v>28</v>
      </c>
      <c r="B30" s="59" t="s">
        <v>134</v>
      </c>
      <c r="C30" s="59">
        <v>2</v>
      </c>
      <c r="D30" s="59" t="s">
        <v>189</v>
      </c>
      <c r="E30" s="59"/>
      <c r="F30" s="59" t="s">
        <v>2111</v>
      </c>
      <c r="G30" s="59" t="s">
        <v>3238</v>
      </c>
      <c r="H30" s="59"/>
      <c r="I30" s="59"/>
      <c r="J30" s="31" t="s">
        <v>6728</v>
      </c>
    </row>
    <row r="31" spans="1:10" ht="30">
      <c r="A31" s="11">
        <v>29</v>
      </c>
      <c r="B31" s="11" t="s">
        <v>8</v>
      </c>
      <c r="C31" s="11">
        <v>1</v>
      </c>
      <c r="D31" s="11" t="s">
        <v>242</v>
      </c>
      <c r="E31" s="11"/>
      <c r="F31" s="11" t="s">
        <v>2112</v>
      </c>
      <c r="G31" s="11" t="s">
        <v>3239</v>
      </c>
      <c r="H31" s="11"/>
      <c r="I31" s="11"/>
    </row>
    <row r="32" spans="1:10" ht="30">
      <c r="A32" s="11">
        <v>30</v>
      </c>
      <c r="B32" s="11" t="s">
        <v>128</v>
      </c>
      <c r="C32" s="11">
        <v>3</v>
      </c>
      <c r="D32" s="11" t="s">
        <v>242</v>
      </c>
      <c r="E32" s="11"/>
      <c r="F32" s="11" t="s">
        <v>2113</v>
      </c>
      <c r="G32" s="11" t="s">
        <v>3240</v>
      </c>
      <c r="H32" s="11"/>
      <c r="I32" s="11"/>
    </row>
    <row r="33" spans="1:9" ht="30">
      <c r="A33" s="11">
        <v>31</v>
      </c>
      <c r="B33" s="11" t="s">
        <v>46</v>
      </c>
      <c r="C33" s="11">
        <v>15</v>
      </c>
      <c r="D33" s="11" t="s">
        <v>242</v>
      </c>
      <c r="E33" s="11"/>
      <c r="F33" s="11" t="s">
        <v>2114</v>
      </c>
      <c r="G33" s="11" t="s">
        <v>3241</v>
      </c>
      <c r="H33" s="11"/>
      <c r="I33" s="11"/>
    </row>
    <row r="34" spans="1:9" ht="30">
      <c r="A34" s="11">
        <v>32</v>
      </c>
      <c r="B34" s="11" t="s">
        <v>122</v>
      </c>
      <c r="C34" s="11">
        <v>20</v>
      </c>
      <c r="D34" s="11" t="s">
        <v>242</v>
      </c>
      <c r="E34" s="11"/>
      <c r="F34" s="11" t="s">
        <v>2115</v>
      </c>
      <c r="G34" s="11" t="s">
        <v>3242</v>
      </c>
      <c r="H34" s="11"/>
      <c r="I34" s="11"/>
    </row>
    <row r="35" spans="1:9" ht="30">
      <c r="A35" s="11">
        <v>33</v>
      </c>
      <c r="B35" s="11" t="s">
        <v>9</v>
      </c>
      <c r="C35" s="11">
        <v>1</v>
      </c>
      <c r="D35" s="11" t="s">
        <v>242</v>
      </c>
      <c r="E35" s="11"/>
      <c r="F35" s="11" t="s">
        <v>2116</v>
      </c>
      <c r="G35" s="11" t="s">
        <v>3243</v>
      </c>
      <c r="H35" s="11"/>
      <c r="I35" s="11"/>
    </row>
    <row r="36" spans="1:9" ht="30">
      <c r="A36" s="11">
        <v>34</v>
      </c>
      <c r="B36" s="11" t="s">
        <v>73</v>
      </c>
      <c r="C36" s="11">
        <v>8</v>
      </c>
      <c r="D36" s="11" t="s">
        <v>160</v>
      </c>
      <c r="E36" s="11" t="s">
        <v>177</v>
      </c>
      <c r="F36" s="11" t="s">
        <v>2117</v>
      </c>
      <c r="G36" s="11" t="s">
        <v>3244</v>
      </c>
      <c r="H36" s="11"/>
      <c r="I36" s="11"/>
    </row>
    <row r="37" spans="1:9" ht="30">
      <c r="A37" s="11">
        <v>35</v>
      </c>
      <c r="B37" s="11" t="s">
        <v>74</v>
      </c>
      <c r="C37" s="11">
        <v>8</v>
      </c>
      <c r="D37" s="11" t="s">
        <v>160</v>
      </c>
      <c r="E37" s="11" t="s">
        <v>177</v>
      </c>
      <c r="F37" s="11" t="s">
        <v>2118</v>
      </c>
      <c r="G37" s="11" t="s">
        <v>3245</v>
      </c>
      <c r="H37" s="11"/>
      <c r="I37" s="11"/>
    </row>
    <row r="38" spans="1:9" ht="30">
      <c r="A38" s="11">
        <v>36</v>
      </c>
      <c r="B38" s="11" t="s">
        <v>106</v>
      </c>
      <c r="C38" s="11">
        <v>30</v>
      </c>
      <c r="D38" s="11" t="s">
        <v>242</v>
      </c>
      <c r="E38" s="11"/>
      <c r="F38" s="11" t="s">
        <v>2119</v>
      </c>
      <c r="G38" s="11" t="s">
        <v>3246</v>
      </c>
      <c r="H38" s="11"/>
      <c r="I38" s="11"/>
    </row>
    <row r="39" spans="1:9" ht="30">
      <c r="A39" s="11">
        <v>37</v>
      </c>
      <c r="B39" s="11" t="s">
        <v>107</v>
      </c>
      <c r="C39" s="11">
        <v>30</v>
      </c>
      <c r="D39" s="11" t="s">
        <v>242</v>
      </c>
      <c r="E39" s="11"/>
      <c r="F39" s="11" t="s">
        <v>2120</v>
      </c>
      <c r="G39" s="11" t="s">
        <v>3247</v>
      </c>
      <c r="H39" s="11"/>
      <c r="I39" s="11"/>
    </row>
    <row r="40" spans="1:9" ht="30">
      <c r="A40" s="11">
        <v>38</v>
      </c>
      <c r="B40" s="11" t="s">
        <v>108</v>
      </c>
      <c r="C40" s="11">
        <v>30</v>
      </c>
      <c r="D40" s="11" t="s">
        <v>242</v>
      </c>
      <c r="E40" s="11"/>
      <c r="F40" s="11" t="s">
        <v>2121</v>
      </c>
      <c r="G40" s="11" t="s">
        <v>3248</v>
      </c>
      <c r="H40" s="11"/>
      <c r="I40" s="11"/>
    </row>
    <row r="41" spans="1:9" ht="30">
      <c r="A41" s="11">
        <v>39</v>
      </c>
      <c r="B41" s="11" t="s">
        <v>109</v>
      </c>
      <c r="C41" s="11">
        <v>30</v>
      </c>
      <c r="D41" s="11" t="s">
        <v>242</v>
      </c>
      <c r="E41" s="11"/>
      <c r="F41" s="11" t="s">
        <v>2122</v>
      </c>
      <c r="G41" s="11" t="s">
        <v>3249</v>
      </c>
      <c r="H41" s="11"/>
      <c r="I41" s="11"/>
    </row>
    <row r="42" spans="1:9" ht="30">
      <c r="A42" s="11">
        <v>40</v>
      </c>
      <c r="B42" s="11" t="s">
        <v>110</v>
      </c>
      <c r="C42" s="11">
        <v>30</v>
      </c>
      <c r="D42" s="11" t="s">
        <v>242</v>
      </c>
      <c r="E42" s="11"/>
      <c r="F42" s="11" t="s">
        <v>2123</v>
      </c>
      <c r="G42" s="11" t="s">
        <v>3250</v>
      </c>
      <c r="H42" s="11"/>
      <c r="I42" s="11"/>
    </row>
    <row r="43" spans="1:9" ht="30">
      <c r="A43" s="11">
        <v>41</v>
      </c>
      <c r="B43" s="11" t="s">
        <v>111</v>
      </c>
      <c r="C43" s="11">
        <v>30</v>
      </c>
      <c r="D43" s="11" t="s">
        <v>242</v>
      </c>
      <c r="E43" s="11"/>
      <c r="F43" s="11" t="s">
        <v>2124</v>
      </c>
      <c r="G43" s="11" t="s">
        <v>3251</v>
      </c>
      <c r="H43" s="11"/>
      <c r="I43" s="11"/>
    </row>
    <row r="44" spans="1:9">
      <c r="A44" s="11">
        <v>42</v>
      </c>
      <c r="B44" s="11" t="s">
        <v>47</v>
      </c>
      <c r="C44" s="11">
        <v>15</v>
      </c>
      <c r="D44" s="11" t="s">
        <v>242</v>
      </c>
      <c r="E44" s="11"/>
      <c r="F44" s="11" t="s">
        <v>1867</v>
      </c>
      <c r="G44" s="11" t="s">
        <v>3051</v>
      </c>
      <c r="H44" s="11"/>
      <c r="I44" s="11"/>
    </row>
    <row r="45" spans="1:9">
      <c r="A45" s="11">
        <v>43</v>
      </c>
      <c r="B45" s="11" t="s">
        <v>48</v>
      </c>
      <c r="C45" s="11">
        <v>15</v>
      </c>
      <c r="D45" s="11" t="s">
        <v>242</v>
      </c>
      <c r="E45" s="11"/>
      <c r="F45" s="11" t="s">
        <v>1868</v>
      </c>
      <c r="G45" s="11" t="s">
        <v>3252</v>
      </c>
      <c r="H45" s="11"/>
      <c r="I45" s="11"/>
    </row>
    <row r="46" spans="1:9">
      <c r="A46" s="11">
        <v>44</v>
      </c>
      <c r="B46" s="11" t="s">
        <v>49</v>
      </c>
      <c r="C46" s="11">
        <v>15</v>
      </c>
      <c r="D46" s="11" t="s">
        <v>242</v>
      </c>
      <c r="E46" s="11"/>
      <c r="F46" s="11" t="s">
        <v>1869</v>
      </c>
      <c r="G46" s="11" t="s">
        <v>3253</v>
      </c>
      <c r="H46" s="11"/>
      <c r="I46" s="11"/>
    </row>
    <row r="47" spans="1:9">
      <c r="A47" s="11">
        <v>45</v>
      </c>
      <c r="B47" s="11" t="s">
        <v>50</v>
      </c>
      <c r="C47" s="11">
        <v>15</v>
      </c>
      <c r="D47" s="11" t="s">
        <v>242</v>
      </c>
      <c r="E47" s="11"/>
      <c r="F47" s="11" t="s">
        <v>1870</v>
      </c>
      <c r="G47" s="11" t="s">
        <v>3054</v>
      </c>
      <c r="H47" s="11"/>
      <c r="I47" s="11"/>
    </row>
    <row r="48" spans="1:9" ht="30">
      <c r="A48" s="11">
        <v>46</v>
      </c>
      <c r="B48" s="11" t="s">
        <v>112</v>
      </c>
      <c r="C48" s="11">
        <v>30</v>
      </c>
      <c r="D48" s="11" t="s">
        <v>242</v>
      </c>
      <c r="E48" s="11"/>
      <c r="F48" s="11" t="s">
        <v>1871</v>
      </c>
      <c r="G48" s="11" t="s">
        <v>3055</v>
      </c>
      <c r="H48" s="11"/>
      <c r="I48" s="11"/>
    </row>
    <row r="49" spans="1:9">
      <c r="A49" s="11">
        <v>47</v>
      </c>
      <c r="B49" s="11" t="s">
        <v>51</v>
      </c>
      <c r="C49" s="11">
        <v>15</v>
      </c>
      <c r="D49" s="11" t="s">
        <v>242</v>
      </c>
      <c r="E49" s="11"/>
      <c r="F49" s="11" t="s">
        <v>1872</v>
      </c>
      <c r="G49" s="11" t="s">
        <v>3254</v>
      </c>
      <c r="H49" s="11"/>
      <c r="I49" s="11"/>
    </row>
    <row r="50" spans="1:9">
      <c r="A50" s="11">
        <v>48</v>
      </c>
      <c r="B50" s="11" t="s">
        <v>52</v>
      </c>
      <c r="C50" s="11">
        <v>15</v>
      </c>
      <c r="D50" s="11" t="s">
        <v>242</v>
      </c>
      <c r="E50" s="11"/>
      <c r="F50" s="11" t="s">
        <v>1873</v>
      </c>
      <c r="G50" s="11" t="s">
        <v>3255</v>
      </c>
      <c r="H50" s="11"/>
      <c r="I50" s="11"/>
    </row>
    <row r="51" spans="1:9">
      <c r="A51" s="11">
        <v>49</v>
      </c>
      <c r="B51" s="11" t="s">
        <v>53</v>
      </c>
      <c r="C51" s="11">
        <v>15</v>
      </c>
      <c r="D51" s="11" t="s">
        <v>242</v>
      </c>
      <c r="E51" s="11"/>
      <c r="F51" s="11" t="s">
        <v>1874</v>
      </c>
      <c r="G51" s="11" t="s">
        <v>3058</v>
      </c>
      <c r="H51" s="11"/>
      <c r="I51" s="11"/>
    </row>
    <row r="52" spans="1:9">
      <c r="A52" s="11">
        <v>50</v>
      </c>
      <c r="B52" s="11" t="s">
        <v>54</v>
      </c>
      <c r="C52" s="11">
        <v>15</v>
      </c>
      <c r="D52" s="11" t="s">
        <v>242</v>
      </c>
      <c r="E52" s="11"/>
      <c r="F52" s="11" t="s">
        <v>1875</v>
      </c>
      <c r="G52" s="11" t="s">
        <v>3256</v>
      </c>
      <c r="H52" s="11"/>
      <c r="I52" s="11"/>
    </row>
    <row r="53" spans="1:9" ht="30">
      <c r="A53" s="11">
        <v>51</v>
      </c>
      <c r="B53" s="11" t="s">
        <v>113</v>
      </c>
      <c r="C53" s="11">
        <v>30</v>
      </c>
      <c r="D53" s="11" t="s">
        <v>242</v>
      </c>
      <c r="E53" s="11"/>
      <c r="F53" s="11" t="s">
        <v>1876</v>
      </c>
      <c r="G53" s="11" t="s">
        <v>3257</v>
      </c>
      <c r="H53" s="11"/>
      <c r="I53" s="11"/>
    </row>
    <row r="54" spans="1:9">
      <c r="A54" s="11">
        <v>52</v>
      </c>
      <c r="B54" s="11" t="s">
        <v>114</v>
      </c>
      <c r="C54" s="11">
        <v>30</v>
      </c>
      <c r="D54" s="11" t="s">
        <v>242</v>
      </c>
      <c r="E54" s="11"/>
      <c r="F54" s="11" t="s">
        <v>2125</v>
      </c>
      <c r="G54" s="11" t="s">
        <v>3258</v>
      </c>
      <c r="H54" s="11"/>
      <c r="I54" s="11"/>
    </row>
    <row r="55" spans="1:9">
      <c r="A55" s="11">
        <v>53</v>
      </c>
      <c r="B55" s="11" t="s">
        <v>115</v>
      </c>
      <c r="C55" s="11">
        <v>30</v>
      </c>
      <c r="D55" s="11" t="s">
        <v>242</v>
      </c>
      <c r="E55" s="11"/>
      <c r="F55" s="11" t="s">
        <v>2126</v>
      </c>
      <c r="G55" s="11" t="s">
        <v>3259</v>
      </c>
      <c r="H55" s="11"/>
      <c r="I55" s="11"/>
    </row>
    <row r="56" spans="1:9">
      <c r="A56" s="11">
        <v>54</v>
      </c>
      <c r="B56" s="11" t="s">
        <v>91</v>
      </c>
      <c r="C56" s="11">
        <v>10</v>
      </c>
      <c r="D56" s="11" t="s">
        <v>242</v>
      </c>
      <c r="E56" s="11"/>
      <c r="F56" s="11" t="s">
        <v>1735</v>
      </c>
      <c r="G56" s="11" t="s">
        <v>3260</v>
      </c>
      <c r="H56" s="11"/>
      <c r="I56" s="11"/>
    </row>
    <row r="57" spans="1:9">
      <c r="A57" s="11">
        <v>55</v>
      </c>
      <c r="B57" s="11" t="s">
        <v>123</v>
      </c>
      <c r="C57" s="11">
        <v>20</v>
      </c>
      <c r="D57" s="11" t="s">
        <v>242</v>
      </c>
      <c r="E57" s="11"/>
      <c r="F57" s="11" t="s">
        <v>1736</v>
      </c>
      <c r="G57" s="11" t="s">
        <v>3261</v>
      </c>
      <c r="H57" s="11"/>
      <c r="I57" s="11"/>
    </row>
    <row r="58" spans="1:9" ht="30">
      <c r="A58" s="11">
        <v>56</v>
      </c>
      <c r="B58" s="11" t="s">
        <v>92</v>
      </c>
      <c r="C58" s="11">
        <v>10</v>
      </c>
      <c r="D58" s="11" t="s">
        <v>242</v>
      </c>
      <c r="E58" s="11"/>
      <c r="F58" s="11" t="s">
        <v>1737</v>
      </c>
      <c r="G58" s="11" t="s">
        <v>3262</v>
      </c>
      <c r="H58" s="11"/>
      <c r="I58" s="11"/>
    </row>
    <row r="59" spans="1:9" ht="30">
      <c r="A59" s="11">
        <v>57</v>
      </c>
      <c r="B59" s="11" t="s">
        <v>129</v>
      </c>
      <c r="C59" s="11">
        <v>3</v>
      </c>
      <c r="D59" s="11" t="s">
        <v>242</v>
      </c>
      <c r="E59" s="11"/>
      <c r="F59" s="11" t="s">
        <v>1738</v>
      </c>
      <c r="G59" s="11" t="s">
        <v>3263</v>
      </c>
      <c r="H59" s="11"/>
      <c r="I59" s="11"/>
    </row>
    <row r="60" spans="1:9" ht="60">
      <c r="A60" s="11">
        <v>58</v>
      </c>
      <c r="B60" s="11" t="s">
        <v>10</v>
      </c>
      <c r="C60" s="11">
        <v>1</v>
      </c>
      <c r="D60" s="11" t="s">
        <v>242</v>
      </c>
      <c r="E60" s="11"/>
      <c r="F60" s="11" t="s">
        <v>1754</v>
      </c>
      <c r="G60" s="11" t="s">
        <v>3264</v>
      </c>
      <c r="H60" s="11"/>
      <c r="I60" s="11"/>
    </row>
    <row r="61" spans="1:9" ht="30">
      <c r="A61" s="11">
        <v>59</v>
      </c>
      <c r="B61" s="11" t="s">
        <v>75</v>
      </c>
      <c r="C61" s="11">
        <v>8</v>
      </c>
      <c r="D61" s="11" t="s">
        <v>242</v>
      </c>
      <c r="E61" s="11"/>
      <c r="F61" s="11" t="s">
        <v>1755</v>
      </c>
      <c r="G61" s="11" t="s">
        <v>3265</v>
      </c>
      <c r="H61" s="11"/>
      <c r="I61" s="11"/>
    </row>
    <row r="62" spans="1:9" ht="30">
      <c r="A62" s="11">
        <v>60</v>
      </c>
      <c r="B62" s="11" t="s">
        <v>141</v>
      </c>
      <c r="C62" s="11">
        <v>5</v>
      </c>
      <c r="D62" s="11" t="s">
        <v>242</v>
      </c>
      <c r="E62" s="11"/>
      <c r="F62" s="11" t="s">
        <v>1756</v>
      </c>
      <c r="G62" s="11" t="s">
        <v>3266</v>
      </c>
      <c r="H62" s="11"/>
      <c r="I62" s="11"/>
    </row>
    <row r="63" spans="1:9" ht="30">
      <c r="A63" s="11">
        <v>61</v>
      </c>
      <c r="B63" s="11" t="s">
        <v>819</v>
      </c>
      <c r="C63" s="11">
        <v>3</v>
      </c>
      <c r="D63" s="11" t="s">
        <v>242</v>
      </c>
      <c r="E63" s="11"/>
      <c r="F63" s="11" t="s">
        <v>1956</v>
      </c>
      <c r="G63" s="11" t="s">
        <v>3267</v>
      </c>
      <c r="H63" s="11"/>
      <c r="I63" s="11"/>
    </row>
    <row r="64" spans="1:9" ht="30">
      <c r="A64" s="11">
        <v>62</v>
      </c>
      <c r="B64" s="11" t="s">
        <v>80</v>
      </c>
      <c r="C64" s="11">
        <v>4</v>
      </c>
      <c r="D64" s="11" t="s">
        <v>242</v>
      </c>
      <c r="E64" s="11"/>
      <c r="F64" s="11" t="s">
        <v>1739</v>
      </c>
      <c r="G64" s="11" t="s">
        <v>3268</v>
      </c>
      <c r="H64" s="11"/>
      <c r="I64" s="11"/>
    </row>
    <row r="65" spans="1:9">
      <c r="A65" s="11">
        <v>63</v>
      </c>
      <c r="B65" s="11" t="s">
        <v>93</v>
      </c>
      <c r="C65" s="11">
        <v>10</v>
      </c>
      <c r="D65" s="11" t="s">
        <v>242</v>
      </c>
      <c r="E65" s="11"/>
      <c r="F65" s="11" t="s">
        <v>1740</v>
      </c>
      <c r="G65" s="11" t="s">
        <v>3269</v>
      </c>
      <c r="H65" s="11"/>
      <c r="I65" s="11"/>
    </row>
    <row r="66" spans="1:9" ht="30">
      <c r="A66" s="11">
        <v>64</v>
      </c>
      <c r="B66" s="11" t="s">
        <v>81</v>
      </c>
      <c r="C66" s="11">
        <v>4</v>
      </c>
      <c r="D66" s="11" t="s">
        <v>242</v>
      </c>
      <c r="E66" s="11"/>
      <c r="F66" s="11" t="s">
        <v>1741</v>
      </c>
      <c r="G66" s="11" t="s">
        <v>3270</v>
      </c>
      <c r="H66" s="11"/>
      <c r="I66" s="11"/>
    </row>
    <row r="67" spans="1:9" ht="30">
      <c r="A67" s="11">
        <v>65</v>
      </c>
      <c r="B67" s="11" t="s">
        <v>82</v>
      </c>
      <c r="C67" s="11">
        <v>4</v>
      </c>
      <c r="D67" s="11" t="s">
        <v>242</v>
      </c>
      <c r="E67" s="11"/>
      <c r="F67" s="11" t="s">
        <v>1742</v>
      </c>
      <c r="G67" s="11" t="s">
        <v>3271</v>
      </c>
      <c r="H67" s="11"/>
      <c r="I67" s="11"/>
    </row>
    <row r="68" spans="1:9">
      <c r="A68" s="11">
        <v>66</v>
      </c>
      <c r="B68" s="11" t="s">
        <v>94</v>
      </c>
      <c r="C68" s="11">
        <v>10</v>
      </c>
      <c r="D68" s="11" t="s">
        <v>242</v>
      </c>
      <c r="E68" s="11"/>
      <c r="F68" s="11" t="s">
        <v>1743</v>
      </c>
      <c r="G68" s="11" t="s">
        <v>3272</v>
      </c>
      <c r="H68" s="11"/>
      <c r="I68" s="11"/>
    </row>
    <row r="69" spans="1:9" ht="30">
      <c r="A69" s="11">
        <v>67</v>
      </c>
      <c r="B69" s="11" t="s">
        <v>83</v>
      </c>
      <c r="C69" s="11">
        <v>4</v>
      </c>
      <c r="D69" s="11" t="s">
        <v>242</v>
      </c>
      <c r="E69" s="11"/>
      <c r="F69" s="11" t="s">
        <v>1744</v>
      </c>
      <c r="G69" s="11" t="s">
        <v>3273</v>
      </c>
      <c r="H69" s="11"/>
      <c r="I69" s="11"/>
    </row>
    <row r="70" spans="1:9">
      <c r="A70" s="11">
        <v>68</v>
      </c>
      <c r="B70" s="11" t="s">
        <v>84</v>
      </c>
      <c r="C70" s="11">
        <v>4</v>
      </c>
      <c r="D70" s="11" t="s">
        <v>242</v>
      </c>
      <c r="E70" s="11"/>
      <c r="F70" s="11" t="s">
        <v>1745</v>
      </c>
      <c r="G70" s="11" t="s">
        <v>2898</v>
      </c>
      <c r="H70" s="11"/>
      <c r="I70" s="11"/>
    </row>
    <row r="71" spans="1:9">
      <c r="A71" s="11">
        <v>69</v>
      </c>
      <c r="B71" s="11" t="s">
        <v>95</v>
      </c>
      <c r="C71" s="11">
        <v>10</v>
      </c>
      <c r="D71" s="11" t="s">
        <v>242</v>
      </c>
      <c r="E71" s="11"/>
      <c r="F71" s="11" t="s">
        <v>1746</v>
      </c>
      <c r="G71" s="11" t="s">
        <v>3274</v>
      </c>
      <c r="H71" s="11"/>
      <c r="I71" s="11"/>
    </row>
    <row r="72" spans="1:9" ht="30">
      <c r="A72" s="11">
        <v>70</v>
      </c>
      <c r="B72" s="11" t="s">
        <v>85</v>
      </c>
      <c r="C72" s="11">
        <v>4</v>
      </c>
      <c r="D72" s="11" t="s">
        <v>242</v>
      </c>
      <c r="E72" s="11"/>
      <c r="F72" s="11" t="s">
        <v>1747</v>
      </c>
      <c r="G72" s="11" t="s">
        <v>3275</v>
      </c>
      <c r="H72" s="11"/>
      <c r="I72" s="11"/>
    </row>
    <row r="73" spans="1:9">
      <c r="A73" s="11">
        <v>71</v>
      </c>
      <c r="B73" s="11" t="s">
        <v>96</v>
      </c>
      <c r="C73" s="11">
        <v>10</v>
      </c>
      <c r="D73" s="11" t="s">
        <v>242</v>
      </c>
      <c r="E73" s="11"/>
      <c r="F73" s="11" t="s">
        <v>1748</v>
      </c>
      <c r="G73" s="11" t="s">
        <v>3276</v>
      </c>
      <c r="H73" s="11"/>
      <c r="I73" s="11"/>
    </row>
    <row r="74" spans="1:9" ht="30">
      <c r="A74" s="11">
        <v>72</v>
      </c>
      <c r="B74" s="11" t="s">
        <v>97</v>
      </c>
      <c r="C74" s="11">
        <v>10</v>
      </c>
      <c r="D74" s="11" t="s">
        <v>242</v>
      </c>
      <c r="E74" s="11"/>
      <c r="F74" s="11" t="s">
        <v>1749</v>
      </c>
      <c r="G74" s="11" t="s">
        <v>3277</v>
      </c>
      <c r="H74" s="11"/>
      <c r="I74" s="11"/>
    </row>
    <row r="75" spans="1:9" ht="30">
      <c r="A75" s="11">
        <v>73</v>
      </c>
      <c r="B75" s="11" t="s">
        <v>116</v>
      </c>
      <c r="C75" s="11">
        <v>30</v>
      </c>
      <c r="D75" s="11" t="s">
        <v>242</v>
      </c>
      <c r="E75" s="11"/>
      <c r="F75" s="11" t="s">
        <v>1750</v>
      </c>
      <c r="G75" s="11" t="s">
        <v>2903</v>
      </c>
      <c r="H75" s="11"/>
      <c r="I75" s="11"/>
    </row>
    <row r="76" spans="1:9" ht="30">
      <c r="A76" s="11">
        <v>74</v>
      </c>
      <c r="B76" s="11" t="s">
        <v>135</v>
      </c>
      <c r="C76" s="11">
        <v>2</v>
      </c>
      <c r="D76" s="11" t="s">
        <v>242</v>
      </c>
      <c r="E76" s="11"/>
      <c r="F76" s="11" t="s">
        <v>1979</v>
      </c>
      <c r="G76" s="11" t="s">
        <v>3278</v>
      </c>
      <c r="H76" s="11"/>
      <c r="I76" s="11"/>
    </row>
    <row r="77" spans="1:9">
      <c r="A77" s="11">
        <v>75</v>
      </c>
      <c r="B77" s="11" t="s">
        <v>136</v>
      </c>
      <c r="C77" s="11">
        <v>2</v>
      </c>
      <c r="D77" s="11" t="s">
        <v>242</v>
      </c>
      <c r="E77" s="11"/>
      <c r="F77" s="11" t="s">
        <v>2014</v>
      </c>
      <c r="G77" s="11" t="s">
        <v>3279</v>
      </c>
      <c r="H77" s="11"/>
      <c r="I77" s="11"/>
    </row>
    <row r="78" spans="1:9" ht="30">
      <c r="A78" s="11">
        <v>76</v>
      </c>
      <c r="B78" s="11" t="s">
        <v>137</v>
      </c>
      <c r="C78" s="11">
        <v>2</v>
      </c>
      <c r="D78" s="11" t="s">
        <v>242</v>
      </c>
      <c r="E78" s="11"/>
      <c r="F78" s="11" t="s">
        <v>2013</v>
      </c>
      <c r="G78" s="11" t="s">
        <v>3280</v>
      </c>
      <c r="H78" s="11"/>
      <c r="I78" s="11"/>
    </row>
    <row r="79" spans="1:9" ht="30">
      <c r="A79" s="11">
        <v>77</v>
      </c>
      <c r="B79" s="11" t="s">
        <v>138</v>
      </c>
      <c r="C79" s="11">
        <v>2</v>
      </c>
      <c r="D79" s="11" t="s">
        <v>242</v>
      </c>
      <c r="E79" s="11"/>
      <c r="F79" s="11" t="s">
        <v>2127</v>
      </c>
      <c r="G79" s="11" t="s">
        <v>3281</v>
      </c>
      <c r="H79" s="11"/>
      <c r="I79" s="11"/>
    </row>
    <row r="80" spans="1:9" ht="225">
      <c r="A80" s="11">
        <v>78</v>
      </c>
      <c r="B80" s="11" t="s">
        <v>98</v>
      </c>
      <c r="C80" s="11">
        <v>10</v>
      </c>
      <c r="D80" s="11" t="s">
        <v>242</v>
      </c>
      <c r="E80" s="11"/>
      <c r="F80" s="11" t="s">
        <v>2128</v>
      </c>
      <c r="G80" s="11" t="s">
        <v>3282</v>
      </c>
      <c r="H80" s="11"/>
      <c r="I80" s="11"/>
    </row>
    <row r="81" spans="1:10" ht="30">
      <c r="A81" s="11">
        <v>79</v>
      </c>
      <c r="B81" s="11" t="s">
        <v>43</v>
      </c>
      <c r="C81" s="11">
        <v>1</v>
      </c>
      <c r="D81" s="11" t="s">
        <v>242</v>
      </c>
      <c r="E81" s="11"/>
      <c r="F81" s="11" t="s">
        <v>2129</v>
      </c>
      <c r="G81" s="11" t="s">
        <v>3283</v>
      </c>
      <c r="H81" s="11"/>
      <c r="I81" s="11"/>
    </row>
    <row r="82" spans="1:10" ht="30">
      <c r="A82" s="11">
        <v>80</v>
      </c>
      <c r="B82" s="11" t="s">
        <v>117</v>
      </c>
      <c r="C82" s="11">
        <v>30</v>
      </c>
      <c r="D82" s="11" t="s">
        <v>242</v>
      </c>
      <c r="E82" s="11"/>
      <c r="F82" s="11" t="s">
        <v>2130</v>
      </c>
      <c r="G82" s="11" t="s">
        <v>3284</v>
      </c>
      <c r="H82" s="11"/>
      <c r="I82" s="11"/>
    </row>
    <row r="83" spans="1:10" ht="30">
      <c r="A83" s="11">
        <v>81</v>
      </c>
      <c r="B83" s="11" t="s">
        <v>124</v>
      </c>
      <c r="C83" s="11">
        <v>20</v>
      </c>
      <c r="D83" s="11" t="s">
        <v>242</v>
      </c>
      <c r="E83" s="11"/>
      <c r="F83" s="11" t="s">
        <v>2131</v>
      </c>
      <c r="G83" s="11" t="s">
        <v>3285</v>
      </c>
      <c r="H83" s="11"/>
      <c r="I83" s="11"/>
    </row>
    <row r="84" spans="1:10" ht="30">
      <c r="A84" s="11">
        <v>82</v>
      </c>
      <c r="B84" s="11" t="s">
        <v>99</v>
      </c>
      <c r="C84" s="11">
        <v>10</v>
      </c>
      <c r="D84" s="11" t="s">
        <v>242</v>
      </c>
      <c r="E84" s="11"/>
      <c r="F84" s="11" t="s">
        <v>2132</v>
      </c>
      <c r="G84" s="11" t="s">
        <v>3286</v>
      </c>
      <c r="H84" s="11"/>
      <c r="I84" s="11"/>
    </row>
    <row r="85" spans="1:10" ht="30">
      <c r="A85" s="11">
        <v>83</v>
      </c>
      <c r="B85" s="11" t="s">
        <v>125</v>
      </c>
      <c r="C85" s="11">
        <v>20</v>
      </c>
      <c r="D85" s="11" t="s">
        <v>242</v>
      </c>
      <c r="E85" s="11"/>
      <c r="F85" s="11" t="s">
        <v>2133</v>
      </c>
      <c r="G85" s="11" t="s">
        <v>3287</v>
      </c>
      <c r="H85" s="11"/>
      <c r="I85" s="11"/>
    </row>
    <row r="86" spans="1:10" ht="30">
      <c r="A86" s="11">
        <v>84</v>
      </c>
      <c r="B86" s="11" t="s">
        <v>100</v>
      </c>
      <c r="C86" s="11">
        <v>10</v>
      </c>
      <c r="D86" s="11" t="s">
        <v>242</v>
      </c>
      <c r="E86" s="11"/>
      <c r="F86" s="11" t="s">
        <v>2134</v>
      </c>
      <c r="G86" s="11" t="s">
        <v>3288</v>
      </c>
      <c r="H86" s="11"/>
      <c r="I86" s="11"/>
    </row>
    <row r="87" spans="1:10" ht="30">
      <c r="A87" s="11">
        <v>85</v>
      </c>
      <c r="B87" s="11" t="s">
        <v>55</v>
      </c>
      <c r="C87" s="11">
        <v>15</v>
      </c>
      <c r="D87" s="11" t="s">
        <v>242</v>
      </c>
      <c r="E87" s="11"/>
      <c r="F87" s="11" t="s">
        <v>2135</v>
      </c>
      <c r="G87" s="11" t="s">
        <v>5588</v>
      </c>
      <c r="H87" s="11"/>
      <c r="I87" s="11"/>
    </row>
    <row r="88" spans="1:10" ht="30">
      <c r="A88" s="11">
        <v>86</v>
      </c>
      <c r="B88" s="11" t="s">
        <v>142</v>
      </c>
      <c r="C88" s="11">
        <v>50</v>
      </c>
      <c r="D88" s="11" t="s">
        <v>242</v>
      </c>
      <c r="E88" s="11"/>
      <c r="F88" s="11" t="s">
        <v>2136</v>
      </c>
      <c r="G88" s="11" t="s">
        <v>3289</v>
      </c>
      <c r="H88" s="11"/>
      <c r="I88" s="11"/>
    </row>
    <row r="89" spans="1:10" ht="90">
      <c r="A89" s="11">
        <v>87</v>
      </c>
      <c r="B89" s="11" t="s">
        <v>11</v>
      </c>
      <c r="C89" s="11">
        <v>1</v>
      </c>
      <c r="D89" s="11" t="s">
        <v>242</v>
      </c>
      <c r="E89" s="11"/>
      <c r="F89" s="11" t="s">
        <v>2137</v>
      </c>
      <c r="G89" s="11" t="s">
        <v>3290</v>
      </c>
      <c r="H89" s="11"/>
      <c r="I89" s="11"/>
    </row>
    <row r="90" spans="1:10" ht="150">
      <c r="A90" s="59">
        <v>88</v>
      </c>
      <c r="B90" s="59" t="s">
        <v>12</v>
      </c>
      <c r="C90" s="59">
        <v>1</v>
      </c>
      <c r="D90" s="59" t="s">
        <v>242</v>
      </c>
      <c r="E90" s="59"/>
      <c r="F90" s="59" t="s">
        <v>2138</v>
      </c>
      <c r="G90" s="59" t="s">
        <v>5696</v>
      </c>
      <c r="H90" s="59"/>
      <c r="I90" s="59"/>
      <c r="J90" s="31"/>
    </row>
    <row r="91" spans="1:10" ht="30">
      <c r="A91" s="59">
        <v>89</v>
      </c>
      <c r="B91" s="59" t="s">
        <v>139</v>
      </c>
      <c r="C91" s="59">
        <v>2</v>
      </c>
      <c r="D91" s="59" t="s">
        <v>242</v>
      </c>
      <c r="E91" s="59"/>
      <c r="F91" s="59" t="s">
        <v>2139</v>
      </c>
      <c r="G91" s="59" t="s">
        <v>3292</v>
      </c>
      <c r="H91" s="59"/>
      <c r="I91" s="59"/>
      <c r="J91" s="31" t="s">
        <v>6999</v>
      </c>
    </row>
    <row r="92" spans="1:10" ht="30">
      <c r="A92" s="59">
        <v>90</v>
      </c>
      <c r="B92" s="59" t="s">
        <v>144</v>
      </c>
      <c r="C92" s="59">
        <v>60</v>
      </c>
      <c r="D92" s="59" t="s">
        <v>242</v>
      </c>
      <c r="E92" s="59"/>
      <c r="F92" s="59" t="s">
        <v>2140</v>
      </c>
      <c r="G92" s="59" t="s">
        <v>3293</v>
      </c>
      <c r="H92" s="59"/>
      <c r="I92" s="59"/>
      <c r="J92" s="31"/>
    </row>
    <row r="93" spans="1:10" ht="30">
      <c r="A93" s="59">
        <v>91</v>
      </c>
      <c r="B93" s="59" t="s">
        <v>118</v>
      </c>
      <c r="C93" s="59">
        <v>30</v>
      </c>
      <c r="D93" s="59" t="s">
        <v>242</v>
      </c>
      <c r="E93" s="59"/>
      <c r="F93" s="59" t="s">
        <v>2141</v>
      </c>
      <c r="G93" s="59" t="s">
        <v>3294</v>
      </c>
      <c r="H93" s="59"/>
      <c r="I93" s="59"/>
      <c r="J93" s="31"/>
    </row>
    <row r="94" spans="1:10" ht="75">
      <c r="A94" s="59">
        <v>92</v>
      </c>
      <c r="B94" s="59" t="s">
        <v>13</v>
      </c>
      <c r="C94" s="59">
        <v>1</v>
      </c>
      <c r="D94" s="59" t="s">
        <v>242</v>
      </c>
      <c r="E94" s="59"/>
      <c r="F94" s="59" t="s">
        <v>2142</v>
      </c>
      <c r="G94" s="59" t="s">
        <v>3295</v>
      </c>
      <c r="H94" s="59"/>
      <c r="I94" s="59"/>
      <c r="J94" s="31"/>
    </row>
    <row r="95" spans="1:10" ht="30">
      <c r="A95" s="11">
        <v>93</v>
      </c>
      <c r="B95" s="11" t="s">
        <v>14</v>
      </c>
      <c r="C95" s="11">
        <v>1</v>
      </c>
      <c r="D95" s="11" t="s">
        <v>242</v>
      </c>
      <c r="E95" s="11"/>
      <c r="F95" s="11" t="s">
        <v>2143</v>
      </c>
      <c r="G95" s="11" t="s">
        <v>3296</v>
      </c>
      <c r="H95" s="11"/>
      <c r="I95" s="11"/>
    </row>
    <row r="96" spans="1:10" ht="30">
      <c r="A96" s="11">
        <v>94</v>
      </c>
      <c r="B96" s="11" t="s">
        <v>146</v>
      </c>
      <c r="C96" s="11">
        <v>26</v>
      </c>
      <c r="D96" s="11" t="s">
        <v>242</v>
      </c>
      <c r="E96" s="11"/>
      <c r="F96" s="11" t="s">
        <v>2144</v>
      </c>
      <c r="G96" s="11" t="s">
        <v>3297</v>
      </c>
      <c r="H96" s="11"/>
      <c r="I96" s="11"/>
    </row>
    <row r="97" spans="1:9" ht="30">
      <c r="A97" s="11">
        <v>95</v>
      </c>
      <c r="B97" s="11" t="s">
        <v>15</v>
      </c>
      <c r="C97" s="11">
        <v>1</v>
      </c>
      <c r="D97" s="11" t="s">
        <v>242</v>
      </c>
      <c r="E97" s="11"/>
      <c r="F97" s="11" t="s">
        <v>2145</v>
      </c>
      <c r="G97" s="11" t="s">
        <v>3298</v>
      </c>
      <c r="H97" s="11"/>
      <c r="I97" s="11"/>
    </row>
    <row r="98" spans="1:9" ht="30">
      <c r="A98" s="11">
        <v>96</v>
      </c>
      <c r="B98" s="11" t="s">
        <v>147</v>
      </c>
      <c r="C98" s="11">
        <v>26</v>
      </c>
      <c r="D98" s="11" t="s">
        <v>242</v>
      </c>
      <c r="E98" s="11"/>
      <c r="F98" s="11" t="s">
        <v>2146</v>
      </c>
      <c r="G98" s="11" t="s">
        <v>3299</v>
      </c>
      <c r="H98" s="11"/>
      <c r="I98" s="11"/>
    </row>
    <row r="99" spans="1:9" ht="30">
      <c r="A99" s="11">
        <v>97</v>
      </c>
      <c r="B99" s="11" t="s">
        <v>16</v>
      </c>
      <c r="C99" s="11">
        <v>1</v>
      </c>
      <c r="D99" s="11" t="s">
        <v>242</v>
      </c>
      <c r="E99" s="11"/>
      <c r="F99" s="11" t="s">
        <v>2147</v>
      </c>
      <c r="G99" s="11" t="s">
        <v>3300</v>
      </c>
      <c r="H99" s="11"/>
      <c r="I99" s="11"/>
    </row>
    <row r="100" spans="1:9" ht="30">
      <c r="A100" s="11">
        <v>98</v>
      </c>
      <c r="B100" s="11" t="s">
        <v>148</v>
      </c>
      <c r="C100" s="11">
        <v>26</v>
      </c>
      <c r="D100" s="11" t="s">
        <v>242</v>
      </c>
      <c r="E100" s="11"/>
      <c r="F100" s="11" t="s">
        <v>2148</v>
      </c>
      <c r="G100" s="11" t="s">
        <v>3301</v>
      </c>
      <c r="H100" s="11"/>
      <c r="I100" s="11"/>
    </row>
    <row r="101" spans="1:9" ht="30">
      <c r="A101" s="11">
        <v>99</v>
      </c>
      <c r="B101" s="11" t="s">
        <v>17</v>
      </c>
      <c r="C101" s="11">
        <v>1</v>
      </c>
      <c r="D101" s="11" t="s">
        <v>242</v>
      </c>
      <c r="E101" s="11"/>
      <c r="F101" s="11" t="s">
        <v>2149</v>
      </c>
      <c r="G101" s="11" t="s">
        <v>3302</v>
      </c>
      <c r="H101" s="11"/>
      <c r="I101" s="11"/>
    </row>
    <row r="102" spans="1:9" ht="30">
      <c r="A102" s="11">
        <v>100</v>
      </c>
      <c r="B102" s="11" t="s">
        <v>149</v>
      </c>
      <c r="C102" s="11">
        <v>26</v>
      </c>
      <c r="D102" s="11" t="s">
        <v>242</v>
      </c>
      <c r="E102" s="11"/>
      <c r="F102" s="11" t="s">
        <v>2150</v>
      </c>
      <c r="G102" s="11" t="s">
        <v>3303</v>
      </c>
      <c r="H102" s="11"/>
      <c r="I102" s="11"/>
    </row>
    <row r="103" spans="1:9" ht="75">
      <c r="A103" s="11">
        <v>101</v>
      </c>
      <c r="B103" s="11" t="s">
        <v>18</v>
      </c>
      <c r="C103" s="11">
        <v>1</v>
      </c>
      <c r="D103" s="11" t="s">
        <v>242</v>
      </c>
      <c r="E103" s="11"/>
      <c r="F103" s="11" t="s">
        <v>2151</v>
      </c>
      <c r="G103" s="11" t="s">
        <v>3304</v>
      </c>
      <c r="H103" s="11"/>
      <c r="I103" s="11"/>
    </row>
    <row r="104" spans="1:9" ht="30">
      <c r="A104" s="11">
        <v>102</v>
      </c>
      <c r="B104" s="11" t="s">
        <v>119</v>
      </c>
      <c r="C104" s="11">
        <v>30</v>
      </c>
      <c r="D104" s="11" t="s">
        <v>242</v>
      </c>
      <c r="E104" s="11"/>
      <c r="F104" s="11" t="s">
        <v>2152</v>
      </c>
      <c r="G104" s="11" t="s">
        <v>3305</v>
      </c>
      <c r="H104" s="11"/>
      <c r="I104" s="11"/>
    </row>
    <row r="105" spans="1:9">
      <c r="A105" s="11">
        <v>103</v>
      </c>
      <c r="B105" s="11" t="s">
        <v>120</v>
      </c>
      <c r="C105" s="11">
        <v>30</v>
      </c>
      <c r="D105" s="11" t="s">
        <v>242</v>
      </c>
      <c r="E105" s="11"/>
      <c r="F105" s="11" t="s">
        <v>2153</v>
      </c>
      <c r="G105" s="11" t="s">
        <v>3306</v>
      </c>
      <c r="H105" s="11"/>
      <c r="I105" s="11"/>
    </row>
    <row r="106" spans="1:9" ht="30">
      <c r="A106" s="11">
        <v>104</v>
      </c>
      <c r="B106" s="11" t="s">
        <v>101</v>
      </c>
      <c r="C106" s="11">
        <v>10</v>
      </c>
      <c r="D106" s="11" t="s">
        <v>242</v>
      </c>
      <c r="E106" s="11"/>
      <c r="F106" s="11" t="s">
        <v>2154</v>
      </c>
      <c r="G106" s="11" t="s">
        <v>3307</v>
      </c>
      <c r="H106" s="11"/>
      <c r="I106" s="11"/>
    </row>
    <row r="107" spans="1:9" ht="30">
      <c r="A107" s="11">
        <v>105</v>
      </c>
      <c r="B107" s="11" t="s">
        <v>126</v>
      </c>
      <c r="C107" s="11">
        <v>20</v>
      </c>
      <c r="D107" s="11" t="s">
        <v>242</v>
      </c>
      <c r="E107" s="11"/>
      <c r="F107" s="11" t="s">
        <v>2155</v>
      </c>
      <c r="G107" s="11" t="s">
        <v>3308</v>
      </c>
      <c r="H107" s="11"/>
      <c r="I107" s="11"/>
    </row>
    <row r="108" spans="1:9">
      <c r="A108" s="11">
        <v>106</v>
      </c>
      <c r="B108" s="11" t="s">
        <v>102</v>
      </c>
      <c r="C108" s="11">
        <v>10</v>
      </c>
      <c r="D108" s="11" t="s">
        <v>242</v>
      </c>
      <c r="E108" s="11"/>
      <c r="F108" s="11" t="s">
        <v>2156</v>
      </c>
      <c r="G108" s="11" t="s">
        <v>3309</v>
      </c>
      <c r="H108" s="11"/>
      <c r="I108" s="11"/>
    </row>
    <row r="109" spans="1:9" ht="30">
      <c r="A109" s="11">
        <v>107</v>
      </c>
      <c r="B109" s="11" t="s">
        <v>150</v>
      </c>
      <c r="C109" s="11">
        <v>200</v>
      </c>
      <c r="D109" s="11" t="s">
        <v>242</v>
      </c>
      <c r="E109" s="11"/>
      <c r="F109" s="11" t="s">
        <v>1803</v>
      </c>
      <c r="G109" s="11" t="s">
        <v>3310</v>
      </c>
      <c r="H109" s="11"/>
      <c r="I109" s="11"/>
    </row>
    <row r="110" spans="1:9">
      <c r="A110" s="19">
        <v>108</v>
      </c>
      <c r="B110" s="19" t="s">
        <v>1619</v>
      </c>
      <c r="C110" s="19">
        <v>1</v>
      </c>
      <c r="D110" s="19" t="s">
        <v>242</v>
      </c>
      <c r="E110" s="19"/>
      <c r="F110" s="19" t="s">
        <v>5718</v>
      </c>
      <c r="G110" s="19" t="s">
        <v>5719</v>
      </c>
      <c r="H110" s="11"/>
      <c r="I110" s="11"/>
    </row>
    <row r="111" spans="1:9" ht="75">
      <c r="A111" s="11">
        <v>109</v>
      </c>
      <c r="B111" s="11" t="s">
        <v>19</v>
      </c>
      <c r="C111" s="11">
        <v>1</v>
      </c>
      <c r="D111" s="11" t="s">
        <v>242</v>
      </c>
      <c r="E111" s="11"/>
      <c r="F111" s="11" t="s">
        <v>2157</v>
      </c>
      <c r="G111" s="11" t="s">
        <v>3311</v>
      </c>
      <c r="H111" s="11"/>
      <c r="I111" s="11"/>
    </row>
    <row r="112" spans="1:9" ht="75">
      <c r="A112" s="11">
        <v>110</v>
      </c>
      <c r="B112" s="11" t="s">
        <v>20</v>
      </c>
      <c r="C112" s="11">
        <v>1</v>
      </c>
      <c r="D112" s="11" t="s">
        <v>242</v>
      </c>
      <c r="E112" s="11"/>
      <c r="F112" s="11" t="s">
        <v>2158</v>
      </c>
      <c r="G112" s="11" t="s">
        <v>3312</v>
      </c>
      <c r="H112" s="11"/>
      <c r="I112" s="11"/>
    </row>
    <row r="113" spans="1:9" ht="75">
      <c r="A113" s="11">
        <v>111</v>
      </c>
      <c r="B113" s="11" t="s">
        <v>21</v>
      </c>
      <c r="C113" s="11">
        <v>1</v>
      </c>
      <c r="D113" s="11" t="s">
        <v>242</v>
      </c>
      <c r="E113" s="11"/>
      <c r="F113" s="11" t="s">
        <v>2159</v>
      </c>
      <c r="G113" s="11" t="s">
        <v>3313</v>
      </c>
      <c r="H113" s="11"/>
      <c r="I113" s="11"/>
    </row>
    <row r="114" spans="1:9" ht="75">
      <c r="A114" s="11">
        <v>112</v>
      </c>
      <c r="B114" s="11" t="s">
        <v>22</v>
      </c>
      <c r="C114" s="11">
        <v>1</v>
      </c>
      <c r="D114" s="11" t="s">
        <v>242</v>
      </c>
      <c r="E114" s="11"/>
      <c r="F114" s="11" t="s">
        <v>2160</v>
      </c>
      <c r="G114" s="11" t="s">
        <v>3314</v>
      </c>
      <c r="H114" s="11"/>
      <c r="I114" s="11"/>
    </row>
    <row r="115" spans="1:9" ht="75">
      <c r="A115" s="11">
        <v>113</v>
      </c>
      <c r="B115" s="11" t="s">
        <v>23</v>
      </c>
      <c r="C115" s="11">
        <v>1</v>
      </c>
      <c r="D115" s="11" t="s">
        <v>242</v>
      </c>
      <c r="E115" s="11"/>
      <c r="F115" s="11" t="s">
        <v>2161</v>
      </c>
      <c r="G115" s="11" t="s">
        <v>3315</v>
      </c>
      <c r="H115" s="11"/>
      <c r="I115" s="11"/>
    </row>
    <row r="116" spans="1:9" ht="75">
      <c r="A116" s="11">
        <v>114</v>
      </c>
      <c r="B116" s="11" t="s">
        <v>24</v>
      </c>
      <c r="C116" s="11">
        <v>1</v>
      </c>
      <c r="D116" s="11" t="s">
        <v>242</v>
      </c>
      <c r="E116" s="11"/>
      <c r="F116" s="11" t="s">
        <v>2162</v>
      </c>
      <c r="G116" s="11" t="s">
        <v>3316</v>
      </c>
      <c r="H116" s="11"/>
      <c r="I116" s="11"/>
    </row>
    <row r="117" spans="1:9" ht="30">
      <c r="A117" s="11">
        <v>115</v>
      </c>
      <c r="B117" s="11" t="s">
        <v>76</v>
      </c>
      <c r="C117" s="11">
        <v>8</v>
      </c>
      <c r="D117" s="11" t="s">
        <v>160</v>
      </c>
      <c r="E117" s="11" t="s">
        <v>177</v>
      </c>
      <c r="F117" s="11" t="s">
        <v>1714</v>
      </c>
      <c r="G117" s="11" t="s">
        <v>3317</v>
      </c>
      <c r="H117" s="11"/>
      <c r="I117" s="11"/>
    </row>
    <row r="118" spans="1:9" ht="30">
      <c r="A118" s="11">
        <v>116</v>
      </c>
      <c r="B118" s="11" t="s">
        <v>77</v>
      </c>
      <c r="C118" s="11">
        <v>8</v>
      </c>
      <c r="D118" s="11" t="s">
        <v>160</v>
      </c>
      <c r="E118" s="11" t="s">
        <v>177</v>
      </c>
      <c r="F118" s="11" t="s">
        <v>1751</v>
      </c>
      <c r="G118" s="11" t="s">
        <v>3318</v>
      </c>
      <c r="H118" s="11"/>
      <c r="I118" s="11"/>
    </row>
    <row r="119" spans="1:9" ht="75">
      <c r="A119" s="11">
        <v>117</v>
      </c>
      <c r="B119" s="11" t="s">
        <v>25</v>
      </c>
      <c r="C119" s="11">
        <v>1</v>
      </c>
      <c r="D119" s="11" t="s">
        <v>242</v>
      </c>
      <c r="E119" s="11"/>
      <c r="F119" s="11" t="s">
        <v>2163</v>
      </c>
      <c r="G119" s="11" t="s">
        <v>3319</v>
      </c>
      <c r="H119" s="11"/>
      <c r="I119" s="11"/>
    </row>
    <row r="120" spans="1:9" ht="75">
      <c r="A120" s="11">
        <v>118</v>
      </c>
      <c r="B120" s="11" t="s">
        <v>26</v>
      </c>
      <c r="C120" s="11">
        <v>1</v>
      </c>
      <c r="D120" s="11" t="s">
        <v>242</v>
      </c>
      <c r="E120" s="11"/>
      <c r="F120" s="11" t="s">
        <v>2164</v>
      </c>
      <c r="G120" s="11" t="s">
        <v>3320</v>
      </c>
      <c r="H120" s="11"/>
      <c r="I120" s="11"/>
    </row>
    <row r="121" spans="1:9" ht="75">
      <c r="A121" s="11">
        <v>119</v>
      </c>
      <c r="B121" s="11" t="s">
        <v>27</v>
      </c>
      <c r="C121" s="11">
        <v>1</v>
      </c>
      <c r="D121" s="11" t="s">
        <v>242</v>
      </c>
      <c r="E121" s="11"/>
      <c r="F121" s="11" t="s">
        <v>2165</v>
      </c>
      <c r="G121" s="11" t="s">
        <v>3321</v>
      </c>
      <c r="H121" s="11"/>
      <c r="I121" s="11"/>
    </row>
    <row r="122" spans="1:9" ht="30">
      <c r="A122" s="11">
        <v>120</v>
      </c>
      <c r="B122" s="11" t="s">
        <v>86</v>
      </c>
      <c r="C122" s="11">
        <v>4</v>
      </c>
      <c r="D122" s="11" t="s">
        <v>242</v>
      </c>
      <c r="E122" s="11"/>
      <c r="F122" s="11" t="s">
        <v>2166</v>
      </c>
      <c r="G122" s="11" t="s">
        <v>3322</v>
      </c>
      <c r="H122" s="11"/>
      <c r="I122" s="11"/>
    </row>
    <row r="123" spans="1:9" ht="30">
      <c r="A123" s="11">
        <v>121</v>
      </c>
      <c r="B123" s="11" t="s">
        <v>152</v>
      </c>
      <c r="C123" s="11">
        <v>6</v>
      </c>
      <c r="D123" s="11" t="s">
        <v>242</v>
      </c>
      <c r="E123" s="11"/>
      <c r="F123" s="11" t="s">
        <v>2167</v>
      </c>
      <c r="G123" s="11" t="s">
        <v>3323</v>
      </c>
      <c r="H123" s="11"/>
      <c r="I123" s="11"/>
    </row>
    <row r="124" spans="1:9" ht="90">
      <c r="A124" s="11">
        <v>122</v>
      </c>
      <c r="B124" s="11" t="s">
        <v>28</v>
      </c>
      <c r="C124" s="11">
        <v>1</v>
      </c>
      <c r="D124" s="11" t="s">
        <v>242</v>
      </c>
      <c r="E124" s="11"/>
      <c r="F124" s="11" t="s">
        <v>2168</v>
      </c>
      <c r="G124" s="11" t="s">
        <v>3324</v>
      </c>
      <c r="H124" s="11"/>
      <c r="I124" s="11"/>
    </row>
    <row r="125" spans="1:9" ht="30">
      <c r="A125" s="11">
        <v>123</v>
      </c>
      <c r="B125" s="11" t="s">
        <v>153</v>
      </c>
      <c r="C125" s="11">
        <v>25</v>
      </c>
      <c r="D125" s="11" t="s">
        <v>242</v>
      </c>
      <c r="E125" s="11"/>
      <c r="F125" s="11" t="s">
        <v>2169</v>
      </c>
      <c r="G125" s="11" t="s">
        <v>3325</v>
      </c>
      <c r="H125" s="11"/>
      <c r="I125" s="11"/>
    </row>
    <row r="126" spans="1:9" ht="30">
      <c r="A126" s="11">
        <v>124</v>
      </c>
      <c r="B126" s="11" t="s">
        <v>154</v>
      </c>
      <c r="C126" s="11">
        <v>25</v>
      </c>
      <c r="D126" s="11" t="s">
        <v>242</v>
      </c>
      <c r="E126" s="11"/>
      <c r="F126" s="11" t="s">
        <v>2170</v>
      </c>
      <c r="G126" s="11" t="s">
        <v>3326</v>
      </c>
      <c r="H126" s="11"/>
      <c r="I126" s="11"/>
    </row>
    <row r="127" spans="1:9" ht="30">
      <c r="A127" s="11">
        <v>125</v>
      </c>
      <c r="B127" s="11" t="s">
        <v>140</v>
      </c>
      <c r="C127" s="11">
        <v>2</v>
      </c>
      <c r="D127" s="11" t="s">
        <v>242</v>
      </c>
      <c r="E127" s="11"/>
      <c r="F127" s="11" t="s">
        <v>1950</v>
      </c>
      <c r="G127" s="11" t="s">
        <v>3327</v>
      </c>
      <c r="H127" s="11"/>
      <c r="I127" s="11"/>
    </row>
    <row r="128" spans="1:9" ht="30">
      <c r="A128" s="11">
        <v>126</v>
      </c>
      <c r="B128" s="11" t="s">
        <v>820</v>
      </c>
      <c r="C128" s="11">
        <v>2</v>
      </c>
      <c r="D128" s="11" t="s">
        <v>242</v>
      </c>
      <c r="E128" s="11"/>
      <c r="F128" s="11" t="s">
        <v>1951</v>
      </c>
      <c r="G128" s="11" t="s">
        <v>3328</v>
      </c>
      <c r="H128" s="11"/>
      <c r="I128" s="11"/>
    </row>
    <row r="129" spans="1:9" ht="30">
      <c r="A129" s="11">
        <v>127</v>
      </c>
      <c r="B129" s="11" t="s">
        <v>56</v>
      </c>
      <c r="C129" s="11">
        <v>15</v>
      </c>
      <c r="D129" s="11" t="s">
        <v>242</v>
      </c>
      <c r="E129" s="11"/>
      <c r="F129" s="11" t="s">
        <v>2171</v>
      </c>
      <c r="G129" s="11" t="s">
        <v>3329</v>
      </c>
      <c r="H129" s="11"/>
      <c r="I129" s="11"/>
    </row>
    <row r="130" spans="1:9" ht="30">
      <c r="A130" s="11">
        <v>128</v>
      </c>
      <c r="B130" s="11" t="s">
        <v>57</v>
      </c>
      <c r="C130" s="11">
        <v>15</v>
      </c>
      <c r="D130" s="11" t="s">
        <v>242</v>
      </c>
      <c r="E130" s="11"/>
      <c r="F130" s="11" t="s">
        <v>2172</v>
      </c>
      <c r="G130" s="11" t="s">
        <v>3330</v>
      </c>
      <c r="H130" s="11"/>
      <c r="I130" s="11"/>
    </row>
    <row r="131" spans="1:9" ht="30">
      <c r="A131" s="11">
        <v>129</v>
      </c>
      <c r="B131" s="11" t="s">
        <v>58</v>
      </c>
      <c r="C131" s="11">
        <v>15</v>
      </c>
      <c r="D131" s="11" t="s">
        <v>242</v>
      </c>
      <c r="E131" s="11"/>
      <c r="F131" s="11" t="s">
        <v>2173</v>
      </c>
      <c r="G131" s="11" t="s">
        <v>3331</v>
      </c>
      <c r="H131" s="11"/>
      <c r="I131" s="11"/>
    </row>
    <row r="132" spans="1:9" ht="30">
      <c r="A132" s="11">
        <v>130</v>
      </c>
      <c r="B132" s="11" t="s">
        <v>59</v>
      </c>
      <c r="C132" s="11">
        <v>15</v>
      </c>
      <c r="D132" s="11" t="s">
        <v>242</v>
      </c>
      <c r="E132" s="11"/>
      <c r="F132" s="11" t="s">
        <v>2174</v>
      </c>
      <c r="G132" s="11" t="s">
        <v>3332</v>
      </c>
      <c r="H132" s="11"/>
      <c r="I132" s="11"/>
    </row>
    <row r="133" spans="1:9" ht="30">
      <c r="A133" s="11">
        <v>131</v>
      </c>
      <c r="B133" s="11" t="s">
        <v>60</v>
      </c>
      <c r="C133" s="11">
        <v>15</v>
      </c>
      <c r="D133" s="11" t="s">
        <v>242</v>
      </c>
      <c r="E133" s="11"/>
      <c r="F133" s="11" t="s">
        <v>2175</v>
      </c>
      <c r="G133" s="11" t="s">
        <v>3333</v>
      </c>
      <c r="H133" s="11"/>
      <c r="I133" s="11"/>
    </row>
    <row r="134" spans="1:9" ht="30">
      <c r="A134" s="11">
        <v>132</v>
      </c>
      <c r="B134" s="11" t="s">
        <v>61</v>
      </c>
      <c r="C134" s="11">
        <v>15</v>
      </c>
      <c r="D134" s="11" t="s">
        <v>242</v>
      </c>
      <c r="E134" s="11"/>
      <c r="F134" s="11" t="s">
        <v>2176</v>
      </c>
      <c r="G134" s="11" t="s">
        <v>3334</v>
      </c>
      <c r="H134" s="11"/>
      <c r="I134" s="11"/>
    </row>
    <row r="135" spans="1:9" ht="30">
      <c r="A135" s="11">
        <v>133</v>
      </c>
      <c r="B135" s="11" t="s">
        <v>62</v>
      </c>
      <c r="C135" s="11">
        <v>15</v>
      </c>
      <c r="D135" s="11" t="s">
        <v>242</v>
      </c>
      <c r="E135" s="11"/>
      <c r="F135" s="11" t="s">
        <v>2177</v>
      </c>
      <c r="G135" s="11" t="s">
        <v>3335</v>
      </c>
      <c r="H135" s="11"/>
      <c r="I135" s="11"/>
    </row>
    <row r="136" spans="1:9" ht="30">
      <c r="A136" s="11">
        <v>134</v>
      </c>
      <c r="B136" s="11" t="s">
        <v>63</v>
      </c>
      <c r="C136" s="11">
        <v>15</v>
      </c>
      <c r="D136" s="11" t="s">
        <v>242</v>
      </c>
      <c r="E136" s="11"/>
      <c r="F136" s="11" t="s">
        <v>2178</v>
      </c>
      <c r="G136" s="11" t="s">
        <v>3336</v>
      </c>
      <c r="H136" s="11"/>
      <c r="I136" s="11"/>
    </row>
    <row r="137" spans="1:9" ht="30">
      <c r="A137" s="11">
        <v>135</v>
      </c>
      <c r="B137" s="11" t="s">
        <v>64</v>
      </c>
      <c r="C137" s="11">
        <v>15</v>
      </c>
      <c r="D137" s="11" t="s">
        <v>242</v>
      </c>
      <c r="E137" s="11"/>
      <c r="F137" s="11" t="s">
        <v>2179</v>
      </c>
      <c r="G137" s="11" t="s">
        <v>3337</v>
      </c>
      <c r="H137" s="11"/>
      <c r="I137" s="11"/>
    </row>
    <row r="138" spans="1:9" ht="30">
      <c r="A138" s="11">
        <v>136</v>
      </c>
      <c r="B138" s="11" t="s">
        <v>65</v>
      </c>
      <c r="C138" s="11">
        <v>15</v>
      </c>
      <c r="D138" s="11" t="s">
        <v>242</v>
      </c>
      <c r="E138" s="11"/>
      <c r="F138" s="11" t="s">
        <v>2180</v>
      </c>
      <c r="G138" s="11" t="s">
        <v>3338</v>
      </c>
      <c r="H138" s="11"/>
      <c r="I138" s="11"/>
    </row>
    <row r="139" spans="1:9" ht="30">
      <c r="A139" s="11">
        <v>137</v>
      </c>
      <c r="B139" s="11" t="s">
        <v>88</v>
      </c>
      <c r="C139" s="11">
        <v>14</v>
      </c>
      <c r="D139" s="11" t="s">
        <v>242</v>
      </c>
      <c r="E139" s="11"/>
      <c r="F139" s="11" t="s">
        <v>2181</v>
      </c>
      <c r="G139" s="11" t="s">
        <v>3339</v>
      </c>
      <c r="H139" s="11"/>
      <c r="I139" s="11"/>
    </row>
    <row r="140" spans="1:9" ht="30">
      <c r="A140" s="11">
        <v>138</v>
      </c>
      <c r="B140" s="11" t="s">
        <v>66</v>
      </c>
      <c r="C140" s="11">
        <v>15</v>
      </c>
      <c r="D140" s="11" t="s">
        <v>242</v>
      </c>
      <c r="E140" s="11"/>
      <c r="F140" s="11" t="s">
        <v>2182</v>
      </c>
      <c r="G140" s="11" t="s">
        <v>3340</v>
      </c>
      <c r="H140" s="11"/>
      <c r="I140" s="11"/>
    </row>
    <row r="141" spans="1:9" ht="30">
      <c r="A141" s="11">
        <v>139</v>
      </c>
      <c r="B141" s="11" t="s">
        <v>143</v>
      </c>
      <c r="C141" s="11">
        <v>50</v>
      </c>
      <c r="D141" s="11" t="s">
        <v>242</v>
      </c>
      <c r="E141" s="11"/>
      <c r="F141" s="11" t="s">
        <v>2183</v>
      </c>
      <c r="G141" s="11" t="s">
        <v>3341</v>
      </c>
      <c r="H141" s="11"/>
      <c r="I141" s="11"/>
    </row>
    <row r="142" spans="1:9" ht="30">
      <c r="A142" s="11">
        <v>140</v>
      </c>
      <c r="B142" s="11" t="s">
        <v>130</v>
      </c>
      <c r="C142" s="11">
        <v>3</v>
      </c>
      <c r="D142" s="11" t="s">
        <v>242</v>
      </c>
      <c r="E142" s="11"/>
      <c r="F142" s="11" t="s">
        <v>2184</v>
      </c>
      <c r="G142" s="11" t="s">
        <v>3342</v>
      </c>
      <c r="H142" s="11"/>
      <c r="I142" s="11"/>
    </row>
    <row r="143" spans="1:9" ht="30">
      <c r="A143" s="11">
        <v>141</v>
      </c>
      <c r="B143" s="11" t="s">
        <v>131</v>
      </c>
      <c r="C143" s="11">
        <v>3</v>
      </c>
      <c r="D143" s="11" t="s">
        <v>242</v>
      </c>
      <c r="E143" s="11"/>
      <c r="F143" s="11" t="s">
        <v>2185</v>
      </c>
      <c r="G143" s="11" t="s">
        <v>3343</v>
      </c>
      <c r="H143" s="11"/>
      <c r="I143" s="11"/>
    </row>
    <row r="144" spans="1:9" ht="30">
      <c r="A144" s="11">
        <v>142</v>
      </c>
      <c r="B144" s="11" t="s">
        <v>132</v>
      </c>
      <c r="C144" s="11">
        <v>3</v>
      </c>
      <c r="D144" s="11" t="s">
        <v>242</v>
      </c>
      <c r="E144" s="11"/>
      <c r="F144" s="11" t="s">
        <v>2186</v>
      </c>
      <c r="G144" s="11" t="s">
        <v>3344</v>
      </c>
      <c r="H144" s="11"/>
      <c r="I144" s="11"/>
    </row>
    <row r="145" spans="1:9" ht="30">
      <c r="A145" s="11">
        <v>143</v>
      </c>
      <c r="B145" s="11" t="s">
        <v>145</v>
      </c>
      <c r="C145" s="11">
        <v>60</v>
      </c>
      <c r="D145" s="11" t="s">
        <v>242</v>
      </c>
      <c r="E145" s="11"/>
      <c r="F145" s="11" t="s">
        <v>2187</v>
      </c>
      <c r="G145" s="11" t="s">
        <v>3345</v>
      </c>
      <c r="H145" s="11"/>
      <c r="I145" s="11"/>
    </row>
    <row r="146" spans="1:9" ht="30">
      <c r="A146" s="11">
        <v>144</v>
      </c>
      <c r="B146" s="11" t="s">
        <v>29</v>
      </c>
      <c r="C146" s="11">
        <v>1</v>
      </c>
      <c r="D146" s="11" t="s">
        <v>242</v>
      </c>
      <c r="E146" s="11"/>
      <c r="F146" s="11" t="s">
        <v>2188</v>
      </c>
      <c r="G146" s="11" t="s">
        <v>3346</v>
      </c>
      <c r="H146" s="11"/>
      <c r="I146" s="11"/>
    </row>
    <row r="147" spans="1:9" ht="30">
      <c r="A147" s="11">
        <v>145</v>
      </c>
      <c r="B147" s="11" t="s">
        <v>30</v>
      </c>
      <c r="C147" s="11">
        <v>1</v>
      </c>
      <c r="D147" s="11" t="s">
        <v>242</v>
      </c>
      <c r="E147" s="11"/>
      <c r="F147" s="11" t="s">
        <v>2189</v>
      </c>
      <c r="G147" s="11" t="s">
        <v>3347</v>
      </c>
      <c r="H147" s="11"/>
      <c r="I147" s="11"/>
    </row>
    <row r="148" spans="1:9" ht="30">
      <c r="A148" s="11">
        <v>146</v>
      </c>
      <c r="B148" s="11" t="s">
        <v>31</v>
      </c>
      <c r="C148" s="11">
        <v>1</v>
      </c>
      <c r="D148" s="11" t="s">
        <v>242</v>
      </c>
      <c r="E148" s="11"/>
      <c r="F148" s="11" t="s">
        <v>2190</v>
      </c>
      <c r="G148" s="11" t="s">
        <v>3348</v>
      </c>
      <c r="H148" s="11"/>
      <c r="I148" s="11"/>
    </row>
    <row r="149" spans="1:9" ht="30">
      <c r="A149" s="11">
        <v>147</v>
      </c>
      <c r="B149" s="11" t="s">
        <v>32</v>
      </c>
      <c r="C149" s="11">
        <v>1</v>
      </c>
      <c r="D149" s="11" t="s">
        <v>242</v>
      </c>
      <c r="E149" s="11"/>
      <c r="F149" s="11" t="s">
        <v>2191</v>
      </c>
      <c r="G149" s="11" t="s">
        <v>3349</v>
      </c>
      <c r="H149" s="11"/>
      <c r="I149" s="11"/>
    </row>
    <row r="150" spans="1:9" ht="75">
      <c r="A150" s="11">
        <v>148</v>
      </c>
      <c r="B150" s="11" t="s">
        <v>33</v>
      </c>
      <c r="C150" s="11">
        <v>1</v>
      </c>
      <c r="D150" s="11" t="s">
        <v>242</v>
      </c>
      <c r="E150" s="11"/>
      <c r="F150" s="11" t="s">
        <v>2192</v>
      </c>
      <c r="G150" s="11" t="s">
        <v>3350</v>
      </c>
      <c r="H150" s="11"/>
      <c r="I150" s="11"/>
    </row>
    <row r="151" spans="1:9" ht="75">
      <c r="A151" s="11">
        <v>149</v>
      </c>
      <c r="B151" s="11" t="s">
        <v>34</v>
      </c>
      <c r="C151" s="11">
        <v>1</v>
      </c>
      <c r="D151" s="11" t="s">
        <v>242</v>
      </c>
      <c r="E151" s="11"/>
      <c r="F151" s="11" t="s">
        <v>2193</v>
      </c>
      <c r="G151" s="11" t="s">
        <v>3351</v>
      </c>
      <c r="H151" s="11"/>
      <c r="I151" s="11"/>
    </row>
    <row r="152" spans="1:9" ht="75">
      <c r="A152" s="11">
        <v>150</v>
      </c>
      <c r="B152" s="11" t="s">
        <v>35</v>
      </c>
      <c r="C152" s="11">
        <v>1</v>
      </c>
      <c r="D152" s="11" t="s">
        <v>242</v>
      </c>
      <c r="E152" s="11"/>
      <c r="F152" s="11" t="s">
        <v>2194</v>
      </c>
      <c r="G152" s="11" t="s">
        <v>3352</v>
      </c>
      <c r="H152" s="11"/>
      <c r="I152" s="11"/>
    </row>
    <row r="153" spans="1:9" ht="30">
      <c r="A153" s="11">
        <v>151</v>
      </c>
      <c r="B153" s="11" t="s">
        <v>103</v>
      </c>
      <c r="C153" s="11">
        <v>10</v>
      </c>
      <c r="D153" s="11" t="s">
        <v>242</v>
      </c>
      <c r="E153" s="11"/>
      <c r="F153" s="11" t="s">
        <v>2195</v>
      </c>
      <c r="G153" s="11" t="s">
        <v>3353</v>
      </c>
      <c r="H153" s="11"/>
      <c r="I153" s="11"/>
    </row>
    <row r="154" spans="1:9" ht="105">
      <c r="A154" s="11">
        <v>152</v>
      </c>
      <c r="B154" s="11" t="s">
        <v>36</v>
      </c>
      <c r="C154" s="11">
        <v>1</v>
      </c>
      <c r="D154" s="11" t="s">
        <v>242</v>
      </c>
      <c r="E154" s="11"/>
      <c r="F154" s="11" t="s">
        <v>2196</v>
      </c>
      <c r="G154" s="11" t="s">
        <v>3354</v>
      </c>
      <c r="H154" s="11"/>
      <c r="I154" s="11"/>
    </row>
    <row r="155" spans="1:9" ht="75">
      <c r="A155" s="11">
        <v>153</v>
      </c>
      <c r="B155" s="11" t="s">
        <v>37</v>
      </c>
      <c r="C155" s="11">
        <v>1</v>
      </c>
      <c r="D155" s="11" t="s">
        <v>242</v>
      </c>
      <c r="E155" s="11"/>
      <c r="F155" s="11" t="s">
        <v>2197</v>
      </c>
      <c r="G155" s="11" t="s">
        <v>3355</v>
      </c>
      <c r="H155" s="11"/>
      <c r="I155" s="11"/>
    </row>
    <row r="156" spans="1:9">
      <c r="A156" s="11">
        <v>154</v>
      </c>
      <c r="B156" s="11" t="s">
        <v>155</v>
      </c>
      <c r="C156" s="11">
        <v>25</v>
      </c>
      <c r="D156" s="11" t="s">
        <v>242</v>
      </c>
      <c r="E156" s="11"/>
      <c r="F156" s="11" t="s">
        <v>2198</v>
      </c>
      <c r="G156" s="11" t="s">
        <v>3356</v>
      </c>
      <c r="H156" s="11"/>
      <c r="I156" s="11"/>
    </row>
    <row r="157" spans="1:9" ht="90">
      <c r="A157" s="11">
        <v>155</v>
      </c>
      <c r="B157" s="11" t="s">
        <v>38</v>
      </c>
      <c r="C157" s="11">
        <v>1</v>
      </c>
      <c r="D157" s="11" t="s">
        <v>242</v>
      </c>
      <c r="E157" s="11"/>
      <c r="F157" s="11" t="s">
        <v>2199</v>
      </c>
      <c r="G157" s="11" t="s">
        <v>3357</v>
      </c>
      <c r="H157" s="11"/>
      <c r="I157" s="11"/>
    </row>
    <row r="158" spans="1:9" ht="75">
      <c r="A158" s="11">
        <v>156</v>
      </c>
      <c r="B158" s="11" t="s">
        <v>39</v>
      </c>
      <c r="C158" s="11">
        <v>1</v>
      </c>
      <c r="D158" s="11" t="s">
        <v>242</v>
      </c>
      <c r="E158" s="11"/>
      <c r="F158" s="11" t="s">
        <v>2200</v>
      </c>
      <c r="G158" s="11" t="s">
        <v>3358</v>
      </c>
      <c r="H158" s="11"/>
      <c r="I158" s="11"/>
    </row>
    <row r="159" spans="1:9" ht="75">
      <c r="A159" s="11">
        <v>157</v>
      </c>
      <c r="B159" s="11" t="s">
        <v>40</v>
      </c>
      <c r="C159" s="11">
        <v>1</v>
      </c>
      <c r="D159" s="11" t="s">
        <v>242</v>
      </c>
      <c r="E159" s="11"/>
      <c r="F159" s="11" t="s">
        <v>2201</v>
      </c>
      <c r="G159" s="11" t="s">
        <v>3359</v>
      </c>
      <c r="H159" s="11"/>
      <c r="I159" s="11"/>
    </row>
    <row r="160" spans="1:9" ht="30">
      <c r="A160" s="11">
        <v>158</v>
      </c>
      <c r="B160" s="11" t="s">
        <v>104</v>
      </c>
      <c r="C160" s="11">
        <v>10</v>
      </c>
      <c r="D160" s="11" t="s">
        <v>242</v>
      </c>
      <c r="E160" s="11"/>
      <c r="F160" s="11" t="s">
        <v>2202</v>
      </c>
      <c r="G160" s="11" t="s">
        <v>3360</v>
      </c>
      <c r="H160" s="11"/>
      <c r="I160" s="11"/>
    </row>
    <row r="161" spans="1:9" ht="75">
      <c r="A161" s="11">
        <v>159</v>
      </c>
      <c r="B161" s="11" t="s">
        <v>41</v>
      </c>
      <c r="C161" s="11">
        <v>1</v>
      </c>
      <c r="D161" s="11" t="s">
        <v>242</v>
      </c>
      <c r="E161" s="11"/>
      <c r="F161" s="11" t="s">
        <v>2203</v>
      </c>
      <c r="G161" s="11" t="s">
        <v>3361</v>
      </c>
      <c r="H161" s="11"/>
      <c r="I161" s="11"/>
    </row>
    <row r="162" spans="1:9" ht="90">
      <c r="A162" s="11">
        <v>160</v>
      </c>
      <c r="B162" s="11" t="s">
        <v>42</v>
      </c>
      <c r="C162" s="11">
        <v>1</v>
      </c>
      <c r="D162" s="11" t="s">
        <v>242</v>
      </c>
      <c r="E162" s="11"/>
      <c r="F162" s="11" t="s">
        <v>2204</v>
      </c>
      <c r="G162" s="11" t="s">
        <v>3362</v>
      </c>
      <c r="H162" s="11"/>
      <c r="I162" s="11"/>
    </row>
    <row r="163" spans="1:9" ht="30">
      <c r="A163" s="11">
        <v>161</v>
      </c>
      <c r="B163" s="11" t="s">
        <v>105</v>
      </c>
      <c r="C163" s="11">
        <v>10</v>
      </c>
      <c r="D163" s="11" t="s">
        <v>242</v>
      </c>
      <c r="E163" s="11"/>
      <c r="F163" s="11" t="s">
        <v>1716</v>
      </c>
      <c r="G163" s="11" t="s">
        <v>3363</v>
      </c>
      <c r="H163" s="11"/>
      <c r="I163" s="11"/>
    </row>
    <row r="164" spans="1:9" ht="30">
      <c r="A164" s="11">
        <v>162</v>
      </c>
      <c r="B164" s="11" t="s">
        <v>163</v>
      </c>
      <c r="C164" s="11">
        <v>14</v>
      </c>
      <c r="D164" s="11" t="s">
        <v>161</v>
      </c>
      <c r="E164" s="11" t="s">
        <v>162</v>
      </c>
      <c r="F164" s="11" t="s">
        <v>1717</v>
      </c>
      <c r="G164" s="11" t="s">
        <v>3364</v>
      </c>
      <c r="H164" s="11"/>
      <c r="I164" s="11"/>
    </row>
    <row r="165" spans="1:9">
      <c r="A165" s="11">
        <v>163</v>
      </c>
      <c r="B165" s="11" t="s">
        <v>1182</v>
      </c>
      <c r="C165" s="11">
        <v>12</v>
      </c>
      <c r="D165" s="11" t="s">
        <v>189</v>
      </c>
      <c r="E165" s="11" t="s">
        <v>5576</v>
      </c>
      <c r="F165" s="11"/>
      <c r="G165" s="11" t="s">
        <v>1689</v>
      </c>
      <c r="H165" s="11"/>
      <c r="I165" s="11"/>
    </row>
    <row r="166" spans="1:9" ht="30">
      <c r="A166" s="11">
        <v>164</v>
      </c>
      <c r="B166" s="11" t="s">
        <v>1183</v>
      </c>
      <c r="C166" s="11">
        <v>30</v>
      </c>
      <c r="D166" s="11" t="s">
        <v>242</v>
      </c>
      <c r="E166" s="11" t="s">
        <v>5576</v>
      </c>
      <c r="F166" s="11"/>
      <c r="G166" s="11" t="s">
        <v>1691</v>
      </c>
      <c r="H166" s="11"/>
      <c r="I166" s="11"/>
    </row>
    <row r="167" spans="1:9">
      <c r="H167" s="1"/>
    </row>
    <row r="168" spans="1:9">
      <c r="H168" s="1"/>
    </row>
    <row r="169" spans="1:9">
      <c r="H169" s="1"/>
    </row>
    <row r="170" spans="1:9">
      <c r="H170" s="1"/>
    </row>
    <row r="171" spans="1:9">
      <c r="H171" s="1"/>
    </row>
    <row r="172" spans="1:9">
      <c r="H172" s="1"/>
    </row>
    <row r="173" spans="1:9">
      <c r="H173" s="1"/>
    </row>
    <row r="174" spans="1:9">
      <c r="H174" s="1"/>
    </row>
    <row r="175" spans="1:9">
      <c r="H175" s="1"/>
    </row>
    <row r="176" spans="1:9">
      <c r="H176" s="1"/>
    </row>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sheetData>
  <pageMargins left="0.7" right="0.7" top="0.75" bottom="0.75" header="0.3" footer="0.3"/>
  <pageSetup orientation="portrait" verticalDpi="0"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697F3-E6EC-4C5C-89FC-8A7C4F52F1CF}">
  <sheetPr codeName="Sheet98"/>
  <dimension ref="A1:J145"/>
  <sheetViews>
    <sheetView topLeftCell="A40"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9" width="5.5703125" style="1" customWidth="1"/>
    <col min="10" max="16382" width="32.140625" style="1"/>
    <col min="16383" max="16383" width="1.7109375" style="1" customWidth="1"/>
    <col min="16384" max="16384" width="17.7109375" style="1" customWidth="1"/>
  </cols>
  <sheetData>
    <row r="1" spans="1:9">
      <c r="A1" s="12" t="s">
        <v>238</v>
      </c>
      <c r="B1" s="12"/>
      <c r="C1" s="12"/>
      <c r="D1" s="12"/>
      <c r="E1" s="12"/>
      <c r="F1" s="12"/>
      <c r="G1" s="12"/>
      <c r="H1" s="12"/>
      <c r="I1" s="12"/>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8</v>
      </c>
      <c r="D3" s="11" t="s">
        <v>160</v>
      </c>
      <c r="E3" s="11" t="s">
        <v>177</v>
      </c>
      <c r="F3" s="11" t="s">
        <v>1686</v>
      </c>
      <c r="G3" s="11" t="s">
        <v>1687</v>
      </c>
      <c r="H3" s="11" t="s">
        <v>5382</v>
      </c>
      <c r="I3" s="11"/>
    </row>
    <row r="4" spans="1:9" ht="30">
      <c r="A4" s="11">
        <v>2</v>
      </c>
      <c r="B4" s="11" t="s">
        <v>151</v>
      </c>
      <c r="C4" s="11">
        <v>7</v>
      </c>
      <c r="D4" s="11" t="s">
        <v>242</v>
      </c>
      <c r="E4" s="11"/>
      <c r="F4" s="11" t="s">
        <v>1694</v>
      </c>
      <c r="G4" s="11" t="s">
        <v>3218</v>
      </c>
      <c r="H4" s="11" t="s">
        <v>5384</v>
      </c>
      <c r="I4" s="11"/>
    </row>
    <row r="5" spans="1:9" ht="30">
      <c r="A5" s="11">
        <v>3</v>
      </c>
      <c r="B5" s="11" t="s">
        <v>78</v>
      </c>
      <c r="C5" s="11">
        <v>4</v>
      </c>
      <c r="D5" s="11" t="s">
        <v>242</v>
      </c>
      <c r="E5" s="11"/>
      <c r="F5" s="11" t="s">
        <v>1707</v>
      </c>
      <c r="G5" s="11" t="s">
        <v>3214</v>
      </c>
      <c r="H5" s="11"/>
      <c r="I5" s="11" t="s">
        <v>5387</v>
      </c>
    </row>
    <row r="6" spans="1:9" ht="30">
      <c r="A6" s="11">
        <v>4</v>
      </c>
      <c r="B6" s="11" t="s">
        <v>168</v>
      </c>
      <c r="C6" s="11">
        <v>10</v>
      </c>
      <c r="D6" s="11" t="s">
        <v>242</v>
      </c>
      <c r="E6" s="11"/>
      <c r="F6" s="11" t="s">
        <v>1758</v>
      </c>
      <c r="G6" s="11" t="s">
        <v>2292</v>
      </c>
      <c r="H6" s="11"/>
      <c r="I6" s="11"/>
    </row>
    <row r="7" spans="1:9" ht="30">
      <c r="A7" s="11">
        <v>5</v>
      </c>
      <c r="B7" s="11" t="s">
        <v>169</v>
      </c>
      <c r="C7" s="11">
        <v>14</v>
      </c>
      <c r="D7" s="11" t="s">
        <v>1032</v>
      </c>
      <c r="E7" s="11" t="s">
        <v>1033</v>
      </c>
      <c r="F7" s="11" t="s">
        <v>1882</v>
      </c>
      <c r="G7" s="11" t="s">
        <v>2293</v>
      </c>
      <c r="H7" s="11"/>
      <c r="I7" s="11"/>
    </row>
    <row r="8" spans="1:9" ht="30">
      <c r="A8" s="11">
        <v>6</v>
      </c>
      <c r="B8" s="11" t="s">
        <v>44</v>
      </c>
      <c r="C8" s="11">
        <v>15</v>
      </c>
      <c r="D8" s="11" t="s">
        <v>242</v>
      </c>
      <c r="E8" s="11"/>
      <c r="F8" s="11" t="s">
        <v>1697</v>
      </c>
      <c r="G8" s="11" t="s">
        <v>3218</v>
      </c>
      <c r="H8" s="11"/>
      <c r="I8" s="11"/>
    </row>
    <row r="9" spans="1:9" ht="30">
      <c r="A9" s="11">
        <v>7</v>
      </c>
      <c r="B9" s="11" t="s">
        <v>2</v>
      </c>
      <c r="C9" s="11">
        <v>1</v>
      </c>
      <c r="D9" s="11" t="s">
        <v>242</v>
      </c>
      <c r="E9" s="11"/>
      <c r="F9" s="11" t="s">
        <v>1696</v>
      </c>
      <c r="G9" s="11" t="s">
        <v>3221</v>
      </c>
      <c r="H9" s="11"/>
      <c r="I9" s="11"/>
    </row>
    <row r="10" spans="1:9" ht="30">
      <c r="A10" s="11">
        <v>8</v>
      </c>
      <c r="B10" s="11" t="s">
        <v>121</v>
      </c>
      <c r="C10" s="11">
        <v>20</v>
      </c>
      <c r="D10" s="11" t="s">
        <v>242</v>
      </c>
      <c r="E10" s="11"/>
      <c r="F10" s="11" t="s">
        <v>2096</v>
      </c>
      <c r="G10" s="11" t="s">
        <v>3222</v>
      </c>
      <c r="H10" s="11"/>
      <c r="I10" s="11"/>
    </row>
    <row r="11" spans="1:9" ht="30">
      <c r="A11" s="11">
        <v>9</v>
      </c>
      <c r="B11" s="11" t="s">
        <v>3</v>
      </c>
      <c r="C11" s="11">
        <v>1</v>
      </c>
      <c r="D11" s="11" t="s">
        <v>242</v>
      </c>
      <c r="E11" s="11"/>
      <c r="F11" s="11" t="s">
        <v>2097</v>
      </c>
      <c r="G11" s="11" t="s">
        <v>3223</v>
      </c>
      <c r="H11" s="11"/>
      <c r="I11" s="11"/>
    </row>
    <row r="12" spans="1:9" ht="30">
      <c r="A12" s="11">
        <v>10</v>
      </c>
      <c r="B12" s="11" t="s">
        <v>67</v>
      </c>
      <c r="C12" s="11">
        <v>8</v>
      </c>
      <c r="D12" s="11" t="s">
        <v>160</v>
      </c>
      <c r="E12" s="11" t="s">
        <v>177</v>
      </c>
      <c r="F12" s="11" t="s">
        <v>2098</v>
      </c>
      <c r="G12" s="11" t="s">
        <v>3224</v>
      </c>
      <c r="H12" s="11"/>
      <c r="I12" s="11"/>
    </row>
    <row r="13" spans="1:9" ht="30">
      <c r="A13" s="11">
        <v>11</v>
      </c>
      <c r="B13" s="11" t="s">
        <v>68</v>
      </c>
      <c r="C13" s="11">
        <v>8</v>
      </c>
      <c r="D13" s="11" t="s">
        <v>160</v>
      </c>
      <c r="E13" s="11" t="s">
        <v>177</v>
      </c>
      <c r="F13" s="11" t="s">
        <v>2099</v>
      </c>
      <c r="G13" s="11" t="s">
        <v>3225</v>
      </c>
      <c r="H13" s="11"/>
      <c r="I13" s="11"/>
    </row>
    <row r="14" spans="1:9" ht="30">
      <c r="A14" s="11">
        <v>12</v>
      </c>
      <c r="B14" s="11" t="s">
        <v>69</v>
      </c>
      <c r="C14" s="11">
        <v>8</v>
      </c>
      <c r="D14" s="11" t="s">
        <v>160</v>
      </c>
      <c r="E14" s="11" t="s">
        <v>177</v>
      </c>
      <c r="F14" s="11" t="s">
        <v>2100</v>
      </c>
      <c r="G14" s="11" t="s">
        <v>3226</v>
      </c>
      <c r="H14" s="11"/>
      <c r="I14" s="11"/>
    </row>
    <row r="15" spans="1:9" ht="30">
      <c r="A15" s="11">
        <v>13</v>
      </c>
      <c r="B15" s="11" t="s">
        <v>70</v>
      </c>
      <c r="C15" s="11">
        <v>8</v>
      </c>
      <c r="D15" s="11" t="s">
        <v>160</v>
      </c>
      <c r="E15" s="11" t="s">
        <v>177</v>
      </c>
      <c r="F15" s="11" t="s">
        <v>2101</v>
      </c>
      <c r="G15" s="11" t="s">
        <v>3227</v>
      </c>
      <c r="H15" s="11"/>
      <c r="I15" s="11"/>
    </row>
    <row r="16" spans="1:9" ht="30">
      <c r="A16" s="11">
        <v>14</v>
      </c>
      <c r="B16" s="11" t="s">
        <v>4</v>
      </c>
      <c r="C16" s="11">
        <v>1</v>
      </c>
      <c r="D16" s="11" t="s">
        <v>242</v>
      </c>
      <c r="E16" s="11"/>
      <c r="F16" s="11" t="s">
        <v>2102</v>
      </c>
      <c r="G16" s="11" t="s">
        <v>3228</v>
      </c>
      <c r="H16" s="11"/>
      <c r="I16" s="11"/>
    </row>
    <row r="17" spans="1:10">
      <c r="A17" s="11">
        <v>15</v>
      </c>
      <c r="B17" s="11" t="s">
        <v>127</v>
      </c>
      <c r="C17" s="11">
        <v>3</v>
      </c>
      <c r="D17" s="11" t="s">
        <v>242</v>
      </c>
      <c r="E17" s="11"/>
      <c r="F17" s="11" t="s">
        <v>2103</v>
      </c>
      <c r="G17" s="11" t="s">
        <v>3229</v>
      </c>
      <c r="H17" s="11"/>
      <c r="I17" s="11"/>
    </row>
    <row r="18" spans="1:10" ht="30">
      <c r="A18" s="11">
        <v>16</v>
      </c>
      <c r="B18" s="11" t="s">
        <v>45</v>
      </c>
      <c r="C18" s="11">
        <v>15</v>
      </c>
      <c r="D18" s="11" t="s">
        <v>242</v>
      </c>
      <c r="E18" s="11"/>
      <c r="F18" s="11" t="s">
        <v>2104</v>
      </c>
      <c r="G18" s="11" t="s">
        <v>3230</v>
      </c>
      <c r="H18" s="11"/>
      <c r="I18" s="11"/>
    </row>
    <row r="19" spans="1:10" ht="30">
      <c r="A19" s="11">
        <v>17</v>
      </c>
      <c r="B19" s="11" t="s">
        <v>1369</v>
      </c>
      <c r="C19" s="11">
        <v>1</v>
      </c>
      <c r="D19" s="11" t="s">
        <v>242</v>
      </c>
      <c r="E19" s="11"/>
      <c r="F19" s="11" t="s">
        <v>2288</v>
      </c>
      <c r="G19" s="11" t="s">
        <v>2289</v>
      </c>
      <c r="H19" s="11"/>
      <c r="I19" s="11"/>
    </row>
    <row r="20" spans="1:10" ht="30">
      <c r="A20" s="11">
        <v>18</v>
      </c>
      <c r="B20" s="11" t="s">
        <v>1616</v>
      </c>
      <c r="C20" s="11">
        <v>1</v>
      </c>
      <c r="D20" s="11" t="s">
        <v>242</v>
      </c>
      <c r="E20" s="11"/>
      <c r="F20" s="11" t="s">
        <v>2290</v>
      </c>
      <c r="G20" s="11" t="s">
        <v>2291</v>
      </c>
      <c r="H20" s="11"/>
      <c r="I20" s="11"/>
    </row>
    <row r="21" spans="1:10" ht="30">
      <c r="A21" s="11">
        <v>19</v>
      </c>
      <c r="B21" s="11" t="s">
        <v>133</v>
      </c>
      <c r="C21" s="11">
        <v>2</v>
      </c>
      <c r="D21" s="11" t="s">
        <v>242</v>
      </c>
      <c r="E21" s="11"/>
      <c r="F21" s="11" t="s">
        <v>2078</v>
      </c>
      <c r="G21" s="11" t="s">
        <v>3365</v>
      </c>
      <c r="H21" s="11"/>
      <c r="I21" s="11"/>
    </row>
    <row r="22" spans="1:10" ht="30">
      <c r="A22" s="11">
        <v>20</v>
      </c>
      <c r="B22" s="11" t="s">
        <v>5</v>
      </c>
      <c r="C22" s="11">
        <v>1</v>
      </c>
      <c r="D22" s="11" t="s">
        <v>242</v>
      </c>
      <c r="E22" s="11"/>
      <c r="F22" s="11" t="s">
        <v>2105</v>
      </c>
      <c r="G22" s="11" t="s">
        <v>3232</v>
      </c>
      <c r="H22" s="11"/>
      <c r="I22" s="11"/>
    </row>
    <row r="23" spans="1:10">
      <c r="A23" s="11">
        <v>21</v>
      </c>
      <c r="B23" s="11" t="s">
        <v>71</v>
      </c>
      <c r="C23" s="11">
        <v>8</v>
      </c>
      <c r="D23" s="11" t="s">
        <v>160</v>
      </c>
      <c r="E23" s="11" t="s">
        <v>177</v>
      </c>
      <c r="F23" s="11" t="s">
        <v>2106</v>
      </c>
      <c r="G23" s="11" t="s">
        <v>3233</v>
      </c>
      <c r="H23" s="11"/>
      <c r="I23" s="11"/>
    </row>
    <row r="24" spans="1:10">
      <c r="A24" s="11">
        <v>22</v>
      </c>
      <c r="B24" s="11" t="s">
        <v>72</v>
      </c>
      <c r="C24" s="11">
        <v>8</v>
      </c>
      <c r="D24" s="11" t="s">
        <v>160</v>
      </c>
      <c r="E24" s="11" t="s">
        <v>177</v>
      </c>
      <c r="F24" s="11" t="s">
        <v>2107</v>
      </c>
      <c r="G24" s="11" t="s">
        <v>3234</v>
      </c>
      <c r="H24" s="11"/>
      <c r="I24" s="11"/>
    </row>
    <row r="25" spans="1:10">
      <c r="A25" s="11">
        <v>23</v>
      </c>
      <c r="B25" s="11" t="s">
        <v>6</v>
      </c>
      <c r="C25" s="11">
        <v>1</v>
      </c>
      <c r="D25" s="11" t="s">
        <v>242</v>
      </c>
      <c r="E25" s="11"/>
      <c r="F25" s="11" t="s">
        <v>2108</v>
      </c>
      <c r="G25" s="11" t="s">
        <v>3235</v>
      </c>
      <c r="H25" s="11"/>
      <c r="I25" s="11"/>
    </row>
    <row r="26" spans="1:10" ht="30">
      <c r="A26" s="59">
        <v>24</v>
      </c>
      <c r="B26" s="59" t="s">
        <v>818</v>
      </c>
      <c r="C26" s="59">
        <v>1</v>
      </c>
      <c r="D26" s="59" t="s">
        <v>242</v>
      </c>
      <c r="E26" s="59"/>
      <c r="F26" s="59" t="s">
        <v>2109</v>
      </c>
      <c r="G26" s="59" t="s">
        <v>3236</v>
      </c>
      <c r="H26" s="59"/>
      <c r="I26" s="59"/>
      <c r="J26" s="31"/>
    </row>
    <row r="27" spans="1:10">
      <c r="A27" s="59">
        <v>25</v>
      </c>
      <c r="B27" s="59" t="s">
        <v>1563</v>
      </c>
      <c r="C27" s="59">
        <v>1</v>
      </c>
      <c r="D27" s="59" t="s">
        <v>242</v>
      </c>
      <c r="E27" s="59"/>
      <c r="F27" s="59" t="s">
        <v>2110</v>
      </c>
      <c r="G27" s="59" t="s">
        <v>3366</v>
      </c>
      <c r="H27" s="59"/>
      <c r="I27" s="59"/>
      <c r="J27" s="31"/>
    </row>
    <row r="28" spans="1:10" ht="30">
      <c r="A28" s="59">
        <v>26</v>
      </c>
      <c r="B28" s="59" t="s">
        <v>134</v>
      </c>
      <c r="C28" s="59">
        <v>2</v>
      </c>
      <c r="D28" s="59" t="s">
        <v>242</v>
      </c>
      <c r="E28" s="59"/>
      <c r="F28" s="59" t="s">
        <v>2111</v>
      </c>
      <c r="G28" s="59" t="s">
        <v>3238</v>
      </c>
      <c r="H28" s="59"/>
      <c r="I28" s="59"/>
      <c r="J28" s="31" t="s">
        <v>7000</v>
      </c>
    </row>
    <row r="29" spans="1:10">
      <c r="A29" s="59">
        <v>27</v>
      </c>
      <c r="B29" s="59" t="s">
        <v>8</v>
      </c>
      <c r="C29" s="59">
        <v>1</v>
      </c>
      <c r="D29" s="59" t="s">
        <v>242</v>
      </c>
      <c r="E29" s="59"/>
      <c r="F29" s="59" t="s">
        <v>2112</v>
      </c>
      <c r="G29" s="59" t="s">
        <v>3367</v>
      </c>
      <c r="H29" s="59"/>
      <c r="I29" s="59"/>
      <c r="J29" s="31"/>
    </row>
    <row r="30" spans="1:10" ht="30">
      <c r="A30" s="59">
        <v>28</v>
      </c>
      <c r="B30" s="59" t="s">
        <v>128</v>
      </c>
      <c r="C30" s="59">
        <v>3</v>
      </c>
      <c r="D30" s="59" t="s">
        <v>242</v>
      </c>
      <c r="E30" s="59"/>
      <c r="F30" s="59" t="s">
        <v>2113</v>
      </c>
      <c r="G30" s="59" t="s">
        <v>3240</v>
      </c>
      <c r="H30" s="59"/>
      <c r="I30" s="59"/>
      <c r="J30" s="31"/>
    </row>
    <row r="31" spans="1:10" ht="30">
      <c r="A31" s="59">
        <v>29</v>
      </c>
      <c r="B31" s="59" t="s">
        <v>1617</v>
      </c>
      <c r="C31" s="59">
        <v>1</v>
      </c>
      <c r="D31" s="59" t="s">
        <v>242</v>
      </c>
      <c r="E31" s="59"/>
      <c r="F31" s="59" t="s">
        <v>2286</v>
      </c>
      <c r="G31" s="59" t="s">
        <v>2287</v>
      </c>
      <c r="H31" s="59"/>
      <c r="I31" s="59"/>
      <c r="J31" s="31"/>
    </row>
    <row r="32" spans="1:10" ht="30">
      <c r="A32" s="59">
        <v>30</v>
      </c>
      <c r="B32" s="59" t="s">
        <v>46</v>
      </c>
      <c r="C32" s="59">
        <v>15</v>
      </c>
      <c r="D32" s="59" t="s">
        <v>242</v>
      </c>
      <c r="E32" s="59"/>
      <c r="F32" s="59" t="s">
        <v>2114</v>
      </c>
      <c r="G32" s="59" t="s">
        <v>3241</v>
      </c>
      <c r="H32" s="59"/>
      <c r="I32" s="59"/>
      <c r="J32" s="31"/>
    </row>
    <row r="33" spans="1:10" ht="30">
      <c r="A33" s="59">
        <v>31</v>
      </c>
      <c r="B33" s="59" t="s">
        <v>122</v>
      </c>
      <c r="C33" s="59">
        <v>20</v>
      </c>
      <c r="D33" s="59" t="s">
        <v>242</v>
      </c>
      <c r="E33" s="59"/>
      <c r="F33" s="59" t="s">
        <v>2115</v>
      </c>
      <c r="G33" s="59" t="s">
        <v>3242</v>
      </c>
      <c r="H33" s="59"/>
      <c r="I33" s="59"/>
      <c r="J33" s="31"/>
    </row>
    <row r="34" spans="1:10" ht="30">
      <c r="A34" s="59">
        <v>32</v>
      </c>
      <c r="B34" s="59" t="s">
        <v>9</v>
      </c>
      <c r="C34" s="59">
        <v>1</v>
      </c>
      <c r="D34" s="59" t="s">
        <v>242</v>
      </c>
      <c r="E34" s="59"/>
      <c r="F34" s="59" t="s">
        <v>2116</v>
      </c>
      <c r="G34" s="59" t="s">
        <v>3243</v>
      </c>
      <c r="H34" s="59"/>
      <c r="I34" s="59"/>
      <c r="J34" s="31"/>
    </row>
    <row r="35" spans="1:10" ht="30">
      <c r="A35" s="59">
        <v>33</v>
      </c>
      <c r="B35" s="59" t="s">
        <v>73</v>
      </c>
      <c r="C35" s="59">
        <v>8</v>
      </c>
      <c r="D35" s="59" t="s">
        <v>160</v>
      </c>
      <c r="E35" s="59" t="s">
        <v>177</v>
      </c>
      <c r="F35" s="59" t="s">
        <v>2117</v>
      </c>
      <c r="G35" s="59" t="s">
        <v>3244</v>
      </c>
      <c r="H35" s="59"/>
      <c r="I35" s="59"/>
      <c r="J35" s="31"/>
    </row>
    <row r="36" spans="1:10" ht="30">
      <c r="A36" s="11">
        <v>34</v>
      </c>
      <c r="B36" s="11" t="s">
        <v>74</v>
      </c>
      <c r="C36" s="11">
        <v>8</v>
      </c>
      <c r="D36" s="11" t="s">
        <v>160</v>
      </c>
      <c r="E36" s="11" t="s">
        <v>177</v>
      </c>
      <c r="F36" s="11" t="s">
        <v>2118</v>
      </c>
      <c r="G36" s="11" t="s">
        <v>3245</v>
      </c>
      <c r="H36" s="11"/>
      <c r="I36" s="11"/>
    </row>
    <row r="37" spans="1:10" ht="30">
      <c r="A37" s="11">
        <v>35</v>
      </c>
      <c r="B37" s="11" t="s">
        <v>106</v>
      </c>
      <c r="C37" s="11">
        <v>30</v>
      </c>
      <c r="D37" s="11" t="s">
        <v>242</v>
      </c>
      <c r="E37" s="11"/>
      <c r="F37" s="11" t="s">
        <v>2119</v>
      </c>
      <c r="G37" s="11" t="s">
        <v>3246</v>
      </c>
      <c r="H37" s="11"/>
      <c r="I37" s="11"/>
    </row>
    <row r="38" spans="1:10" ht="30">
      <c r="A38" s="11">
        <v>36</v>
      </c>
      <c r="B38" s="11" t="s">
        <v>107</v>
      </c>
      <c r="C38" s="11">
        <v>30</v>
      </c>
      <c r="D38" s="11" t="s">
        <v>242</v>
      </c>
      <c r="E38" s="11"/>
      <c r="F38" s="11" t="s">
        <v>2120</v>
      </c>
      <c r="G38" s="11" t="s">
        <v>3247</v>
      </c>
      <c r="H38" s="11"/>
      <c r="I38" s="11"/>
    </row>
    <row r="39" spans="1:10" ht="30">
      <c r="A39" s="11">
        <v>37</v>
      </c>
      <c r="B39" s="11" t="s">
        <v>108</v>
      </c>
      <c r="C39" s="11">
        <v>30</v>
      </c>
      <c r="D39" s="11" t="s">
        <v>242</v>
      </c>
      <c r="E39" s="11"/>
      <c r="F39" s="11" t="s">
        <v>2121</v>
      </c>
      <c r="G39" s="11" t="s">
        <v>3248</v>
      </c>
      <c r="H39" s="11"/>
      <c r="I39" s="11"/>
    </row>
    <row r="40" spans="1:10" ht="30">
      <c r="A40" s="11">
        <v>38</v>
      </c>
      <c r="B40" s="11" t="s">
        <v>109</v>
      </c>
      <c r="C40" s="11">
        <v>30</v>
      </c>
      <c r="D40" s="11" t="s">
        <v>242</v>
      </c>
      <c r="E40" s="11"/>
      <c r="F40" s="11" t="s">
        <v>2122</v>
      </c>
      <c r="G40" s="11" t="s">
        <v>3249</v>
      </c>
      <c r="H40" s="11"/>
      <c r="I40" s="11"/>
    </row>
    <row r="41" spans="1:10" ht="30">
      <c r="A41" s="11">
        <v>39</v>
      </c>
      <c r="B41" s="11" t="s">
        <v>110</v>
      </c>
      <c r="C41" s="11">
        <v>30</v>
      </c>
      <c r="D41" s="11" t="s">
        <v>242</v>
      </c>
      <c r="E41" s="11"/>
      <c r="F41" s="11" t="s">
        <v>2123</v>
      </c>
      <c r="G41" s="11" t="s">
        <v>3250</v>
      </c>
      <c r="H41" s="11"/>
      <c r="I41" s="11"/>
    </row>
    <row r="42" spans="1:10" ht="30">
      <c r="A42" s="11">
        <v>40</v>
      </c>
      <c r="B42" s="11" t="s">
        <v>111</v>
      </c>
      <c r="C42" s="11">
        <v>30</v>
      </c>
      <c r="D42" s="11" t="s">
        <v>242</v>
      </c>
      <c r="E42" s="11"/>
      <c r="F42" s="11" t="s">
        <v>2124</v>
      </c>
      <c r="G42" s="11" t="s">
        <v>3251</v>
      </c>
      <c r="H42" s="11"/>
      <c r="I42" s="11"/>
    </row>
    <row r="43" spans="1:10">
      <c r="A43" s="11">
        <v>41</v>
      </c>
      <c r="B43" s="11" t="s">
        <v>47</v>
      </c>
      <c r="C43" s="11">
        <v>15</v>
      </c>
      <c r="D43" s="11" t="s">
        <v>242</v>
      </c>
      <c r="E43" s="11"/>
      <c r="F43" s="11" t="s">
        <v>1867</v>
      </c>
      <c r="G43" s="11" t="s">
        <v>3051</v>
      </c>
      <c r="H43" s="11"/>
      <c r="I43" s="11"/>
    </row>
    <row r="44" spans="1:10">
      <c r="A44" s="11">
        <v>42</v>
      </c>
      <c r="B44" s="11" t="s">
        <v>48</v>
      </c>
      <c r="C44" s="11">
        <v>15</v>
      </c>
      <c r="D44" s="11" t="s">
        <v>242</v>
      </c>
      <c r="E44" s="11"/>
      <c r="F44" s="11" t="s">
        <v>1868</v>
      </c>
      <c r="G44" s="11" t="s">
        <v>3252</v>
      </c>
      <c r="H44" s="11"/>
      <c r="I44" s="11"/>
    </row>
    <row r="45" spans="1:10">
      <c r="A45" s="11">
        <v>43</v>
      </c>
      <c r="B45" s="11" t="s">
        <v>49</v>
      </c>
      <c r="C45" s="11">
        <v>15</v>
      </c>
      <c r="D45" s="11" t="s">
        <v>242</v>
      </c>
      <c r="E45" s="11"/>
      <c r="F45" s="11" t="s">
        <v>1869</v>
      </c>
      <c r="G45" s="11" t="s">
        <v>3253</v>
      </c>
      <c r="H45" s="11"/>
      <c r="I45" s="11"/>
    </row>
    <row r="46" spans="1:10">
      <c r="A46" s="11">
        <v>44</v>
      </c>
      <c r="B46" s="11" t="s">
        <v>50</v>
      </c>
      <c r="C46" s="11">
        <v>15</v>
      </c>
      <c r="D46" s="11" t="s">
        <v>242</v>
      </c>
      <c r="E46" s="11"/>
      <c r="F46" s="11" t="s">
        <v>1870</v>
      </c>
      <c r="G46" s="11" t="s">
        <v>3054</v>
      </c>
      <c r="H46" s="11"/>
      <c r="I46" s="11"/>
    </row>
    <row r="47" spans="1:10" ht="30">
      <c r="A47" s="11">
        <v>45</v>
      </c>
      <c r="B47" s="11" t="s">
        <v>112</v>
      </c>
      <c r="C47" s="11">
        <v>30</v>
      </c>
      <c r="D47" s="11" t="s">
        <v>242</v>
      </c>
      <c r="E47" s="11"/>
      <c r="F47" s="11" t="s">
        <v>1871</v>
      </c>
      <c r="G47" s="11" t="s">
        <v>3055</v>
      </c>
      <c r="H47" s="11"/>
      <c r="I47" s="11"/>
    </row>
    <row r="48" spans="1:10">
      <c r="A48" s="11">
        <v>46</v>
      </c>
      <c r="B48" s="11" t="s">
        <v>51</v>
      </c>
      <c r="C48" s="11">
        <v>15</v>
      </c>
      <c r="D48" s="11" t="s">
        <v>242</v>
      </c>
      <c r="E48" s="11"/>
      <c r="F48" s="11" t="s">
        <v>1872</v>
      </c>
      <c r="G48" s="11" t="s">
        <v>3254</v>
      </c>
      <c r="H48" s="11"/>
      <c r="I48" s="11"/>
    </row>
    <row r="49" spans="1:10">
      <c r="A49" s="11">
        <v>47</v>
      </c>
      <c r="B49" s="11" t="s">
        <v>52</v>
      </c>
      <c r="C49" s="11">
        <v>15</v>
      </c>
      <c r="D49" s="11" t="s">
        <v>242</v>
      </c>
      <c r="E49" s="11"/>
      <c r="F49" s="11" t="s">
        <v>1873</v>
      </c>
      <c r="G49" s="11" t="s">
        <v>3255</v>
      </c>
      <c r="H49" s="11"/>
      <c r="I49" s="11"/>
    </row>
    <row r="50" spans="1:10">
      <c r="A50" s="11">
        <v>48</v>
      </c>
      <c r="B50" s="11" t="s">
        <v>53</v>
      </c>
      <c r="C50" s="11">
        <v>15</v>
      </c>
      <c r="D50" s="11" t="s">
        <v>242</v>
      </c>
      <c r="E50" s="11"/>
      <c r="F50" s="11" t="s">
        <v>1874</v>
      </c>
      <c r="G50" s="11" t="s">
        <v>3058</v>
      </c>
      <c r="H50" s="11"/>
      <c r="I50" s="11"/>
    </row>
    <row r="51" spans="1:10">
      <c r="A51" s="11">
        <v>49</v>
      </c>
      <c r="B51" s="11" t="s">
        <v>54</v>
      </c>
      <c r="C51" s="11">
        <v>15</v>
      </c>
      <c r="D51" s="11" t="s">
        <v>242</v>
      </c>
      <c r="E51" s="11"/>
      <c r="F51" s="11" t="s">
        <v>1875</v>
      </c>
      <c r="G51" s="11" t="s">
        <v>3256</v>
      </c>
      <c r="H51" s="11"/>
      <c r="I51" s="11"/>
    </row>
    <row r="52" spans="1:10" ht="30">
      <c r="A52" s="11">
        <v>50</v>
      </c>
      <c r="B52" s="11" t="s">
        <v>113</v>
      </c>
      <c r="C52" s="11">
        <v>30</v>
      </c>
      <c r="D52" s="11" t="s">
        <v>242</v>
      </c>
      <c r="E52" s="11"/>
      <c r="F52" s="11" t="s">
        <v>1876</v>
      </c>
      <c r="G52" s="11" t="s">
        <v>3257</v>
      </c>
      <c r="H52" s="11"/>
      <c r="I52" s="11"/>
    </row>
    <row r="53" spans="1:10">
      <c r="A53" s="11">
        <v>51</v>
      </c>
      <c r="B53" s="11" t="s">
        <v>114</v>
      </c>
      <c r="C53" s="11">
        <v>30</v>
      </c>
      <c r="D53" s="11" t="s">
        <v>242</v>
      </c>
      <c r="E53" s="11"/>
      <c r="F53" s="11" t="s">
        <v>2125</v>
      </c>
      <c r="G53" s="11" t="s">
        <v>3258</v>
      </c>
      <c r="H53" s="11"/>
      <c r="I53" s="11"/>
    </row>
    <row r="54" spans="1:10">
      <c r="A54" s="11">
        <v>52</v>
      </c>
      <c r="B54" s="11" t="s">
        <v>115</v>
      </c>
      <c r="C54" s="11">
        <v>30</v>
      </c>
      <c r="D54" s="11" t="s">
        <v>242</v>
      </c>
      <c r="E54" s="11"/>
      <c r="F54" s="11" t="s">
        <v>2126</v>
      </c>
      <c r="G54" s="11" t="s">
        <v>3259</v>
      </c>
      <c r="H54" s="11"/>
      <c r="I54" s="11"/>
    </row>
    <row r="55" spans="1:10">
      <c r="A55" s="11">
        <v>53</v>
      </c>
      <c r="B55" s="11" t="s">
        <v>91</v>
      </c>
      <c r="C55" s="11">
        <v>10</v>
      </c>
      <c r="D55" s="11" t="s">
        <v>242</v>
      </c>
      <c r="E55" s="11"/>
      <c r="F55" s="11" t="s">
        <v>1735</v>
      </c>
      <c r="G55" s="11" t="s">
        <v>3260</v>
      </c>
      <c r="H55" s="11"/>
      <c r="I55" s="11"/>
    </row>
    <row r="56" spans="1:10">
      <c r="A56" s="11">
        <v>54</v>
      </c>
      <c r="B56" s="11" t="s">
        <v>123</v>
      </c>
      <c r="C56" s="11">
        <v>20</v>
      </c>
      <c r="D56" s="11" t="s">
        <v>242</v>
      </c>
      <c r="E56" s="11"/>
      <c r="F56" s="11" t="s">
        <v>1736</v>
      </c>
      <c r="G56" s="11" t="s">
        <v>3261</v>
      </c>
      <c r="H56" s="11"/>
      <c r="I56" s="11"/>
    </row>
    <row r="57" spans="1:10" ht="30">
      <c r="A57" s="11">
        <v>55</v>
      </c>
      <c r="B57" s="11" t="s">
        <v>92</v>
      </c>
      <c r="C57" s="11">
        <v>10</v>
      </c>
      <c r="D57" s="11" t="s">
        <v>242</v>
      </c>
      <c r="E57" s="11"/>
      <c r="F57" s="11" t="s">
        <v>1737</v>
      </c>
      <c r="G57" s="11" t="s">
        <v>3262</v>
      </c>
      <c r="H57" s="11"/>
      <c r="I57" s="11"/>
    </row>
    <row r="58" spans="1:10" ht="30">
      <c r="A58" s="11">
        <v>56</v>
      </c>
      <c r="B58" s="11" t="s">
        <v>129</v>
      </c>
      <c r="C58" s="11">
        <v>3</v>
      </c>
      <c r="D58" s="11" t="s">
        <v>242</v>
      </c>
      <c r="E58" s="11"/>
      <c r="F58" s="11" t="s">
        <v>1738</v>
      </c>
      <c r="G58" s="11" t="s">
        <v>3263</v>
      </c>
      <c r="H58" s="11"/>
      <c r="I58" s="11"/>
    </row>
    <row r="59" spans="1:10" ht="60">
      <c r="A59" s="11">
        <v>57</v>
      </c>
      <c r="B59" s="11" t="s">
        <v>10</v>
      </c>
      <c r="C59" s="11">
        <v>1</v>
      </c>
      <c r="D59" s="11" t="s">
        <v>242</v>
      </c>
      <c r="E59" s="11"/>
      <c r="F59" s="11" t="s">
        <v>1754</v>
      </c>
      <c r="G59" s="11" t="s">
        <v>3264</v>
      </c>
      <c r="H59" s="11"/>
      <c r="I59" s="11"/>
      <c r="J59" s="1" t="s">
        <v>1291</v>
      </c>
    </row>
    <row r="60" spans="1:10" ht="30">
      <c r="A60" s="11">
        <v>58</v>
      </c>
      <c r="B60" s="11" t="s">
        <v>75</v>
      </c>
      <c r="C60" s="11">
        <v>8</v>
      </c>
      <c r="D60" s="11" t="s">
        <v>242</v>
      </c>
      <c r="E60" s="11"/>
      <c r="F60" s="11" t="s">
        <v>1755</v>
      </c>
      <c r="G60" s="11" t="s">
        <v>3265</v>
      </c>
      <c r="H60" s="11"/>
      <c r="I60" s="11"/>
    </row>
    <row r="61" spans="1:10" ht="30">
      <c r="A61" s="11">
        <v>59</v>
      </c>
      <c r="B61" s="11" t="s">
        <v>141</v>
      </c>
      <c r="C61" s="11">
        <v>5</v>
      </c>
      <c r="D61" s="11" t="s">
        <v>242</v>
      </c>
      <c r="E61" s="11"/>
      <c r="F61" s="11" t="s">
        <v>1756</v>
      </c>
      <c r="G61" s="11" t="s">
        <v>3266</v>
      </c>
      <c r="H61" s="11"/>
      <c r="I61" s="11"/>
    </row>
    <row r="62" spans="1:10" ht="30">
      <c r="A62" s="11">
        <v>60</v>
      </c>
      <c r="B62" s="11" t="s">
        <v>819</v>
      </c>
      <c r="C62" s="11">
        <v>3</v>
      </c>
      <c r="D62" s="11" t="s">
        <v>242</v>
      </c>
      <c r="E62" s="11"/>
      <c r="F62" s="11" t="s">
        <v>1956</v>
      </c>
      <c r="G62" s="11" t="s">
        <v>3267</v>
      </c>
      <c r="H62" s="11"/>
      <c r="I62" s="11"/>
    </row>
    <row r="63" spans="1:10" ht="30">
      <c r="A63" s="11">
        <v>61</v>
      </c>
      <c r="B63" s="11" t="s">
        <v>80</v>
      </c>
      <c r="C63" s="11">
        <v>4</v>
      </c>
      <c r="D63" s="11" t="s">
        <v>242</v>
      </c>
      <c r="E63" s="11"/>
      <c r="F63" s="11" t="s">
        <v>1739</v>
      </c>
      <c r="G63" s="11" t="s">
        <v>3268</v>
      </c>
      <c r="H63" s="11"/>
      <c r="I63" s="11"/>
    </row>
    <row r="64" spans="1:10">
      <c r="A64" s="11">
        <v>62</v>
      </c>
      <c r="B64" s="11" t="s">
        <v>93</v>
      </c>
      <c r="C64" s="11">
        <v>10</v>
      </c>
      <c r="D64" s="11" t="s">
        <v>242</v>
      </c>
      <c r="E64" s="11"/>
      <c r="F64" s="11" t="s">
        <v>1740</v>
      </c>
      <c r="G64" s="11" t="s">
        <v>3269</v>
      </c>
      <c r="H64" s="11"/>
      <c r="I64" s="11"/>
    </row>
    <row r="65" spans="1:9" ht="30">
      <c r="A65" s="11">
        <v>63</v>
      </c>
      <c r="B65" s="11" t="s">
        <v>81</v>
      </c>
      <c r="C65" s="11">
        <v>4</v>
      </c>
      <c r="D65" s="11" t="s">
        <v>242</v>
      </c>
      <c r="E65" s="11"/>
      <c r="F65" s="11" t="s">
        <v>1741</v>
      </c>
      <c r="G65" s="11" t="s">
        <v>3270</v>
      </c>
      <c r="H65" s="11"/>
      <c r="I65" s="11"/>
    </row>
    <row r="66" spans="1:9" ht="30">
      <c r="A66" s="11">
        <v>64</v>
      </c>
      <c r="B66" s="11" t="s">
        <v>82</v>
      </c>
      <c r="C66" s="11">
        <v>4</v>
      </c>
      <c r="D66" s="11" t="s">
        <v>242</v>
      </c>
      <c r="E66" s="11"/>
      <c r="F66" s="11" t="s">
        <v>1742</v>
      </c>
      <c r="G66" s="11" t="s">
        <v>3271</v>
      </c>
      <c r="H66" s="11"/>
      <c r="I66" s="11"/>
    </row>
    <row r="67" spans="1:9">
      <c r="A67" s="11">
        <v>65</v>
      </c>
      <c r="B67" s="11" t="s">
        <v>94</v>
      </c>
      <c r="C67" s="11">
        <v>10</v>
      </c>
      <c r="D67" s="11" t="s">
        <v>242</v>
      </c>
      <c r="E67" s="11"/>
      <c r="F67" s="11" t="s">
        <v>1743</v>
      </c>
      <c r="G67" s="11" t="s">
        <v>3272</v>
      </c>
      <c r="H67" s="11"/>
      <c r="I67" s="11"/>
    </row>
    <row r="68" spans="1:9" ht="30">
      <c r="A68" s="11">
        <v>66</v>
      </c>
      <c r="B68" s="11" t="s">
        <v>83</v>
      </c>
      <c r="C68" s="11">
        <v>4</v>
      </c>
      <c r="D68" s="11" t="s">
        <v>242</v>
      </c>
      <c r="E68" s="11"/>
      <c r="F68" s="11" t="s">
        <v>1744</v>
      </c>
      <c r="G68" s="11" t="s">
        <v>3273</v>
      </c>
      <c r="H68" s="11"/>
      <c r="I68" s="11"/>
    </row>
    <row r="69" spans="1:9">
      <c r="A69" s="11">
        <v>67</v>
      </c>
      <c r="B69" s="11" t="s">
        <v>84</v>
      </c>
      <c r="C69" s="11">
        <v>4</v>
      </c>
      <c r="D69" s="11" t="s">
        <v>242</v>
      </c>
      <c r="E69" s="11"/>
      <c r="F69" s="11" t="s">
        <v>1745</v>
      </c>
      <c r="G69" s="11" t="s">
        <v>2898</v>
      </c>
      <c r="H69" s="11"/>
      <c r="I69" s="11"/>
    </row>
    <row r="70" spans="1:9">
      <c r="A70" s="11">
        <v>68</v>
      </c>
      <c r="B70" s="11" t="s">
        <v>95</v>
      </c>
      <c r="C70" s="11">
        <v>10</v>
      </c>
      <c r="D70" s="11" t="s">
        <v>242</v>
      </c>
      <c r="E70" s="11"/>
      <c r="F70" s="11" t="s">
        <v>1746</v>
      </c>
      <c r="G70" s="11" t="s">
        <v>3274</v>
      </c>
      <c r="H70" s="11"/>
      <c r="I70" s="11"/>
    </row>
    <row r="71" spans="1:9" ht="30">
      <c r="A71" s="11">
        <v>69</v>
      </c>
      <c r="B71" s="11" t="s">
        <v>85</v>
      </c>
      <c r="C71" s="11">
        <v>4</v>
      </c>
      <c r="D71" s="11" t="s">
        <v>242</v>
      </c>
      <c r="E71" s="11"/>
      <c r="F71" s="11" t="s">
        <v>1747</v>
      </c>
      <c r="G71" s="11" t="s">
        <v>3275</v>
      </c>
      <c r="H71" s="11"/>
      <c r="I71" s="11"/>
    </row>
    <row r="72" spans="1:9">
      <c r="A72" s="11">
        <v>70</v>
      </c>
      <c r="B72" s="11" t="s">
        <v>96</v>
      </c>
      <c r="C72" s="11">
        <v>10</v>
      </c>
      <c r="D72" s="11" t="s">
        <v>242</v>
      </c>
      <c r="E72" s="11"/>
      <c r="F72" s="11" t="s">
        <v>1748</v>
      </c>
      <c r="G72" s="11" t="s">
        <v>3276</v>
      </c>
      <c r="H72" s="11"/>
      <c r="I72" s="11"/>
    </row>
    <row r="73" spans="1:9" ht="30">
      <c r="A73" s="11">
        <v>71</v>
      </c>
      <c r="B73" s="11" t="s">
        <v>97</v>
      </c>
      <c r="C73" s="11">
        <v>10</v>
      </c>
      <c r="D73" s="11" t="s">
        <v>242</v>
      </c>
      <c r="E73" s="11"/>
      <c r="F73" s="11" t="s">
        <v>1749</v>
      </c>
      <c r="G73" s="11" t="s">
        <v>3277</v>
      </c>
      <c r="H73" s="11"/>
      <c r="I73" s="11"/>
    </row>
    <row r="74" spans="1:9" ht="30">
      <c r="A74" s="11">
        <v>72</v>
      </c>
      <c r="B74" s="11" t="s">
        <v>116</v>
      </c>
      <c r="C74" s="11">
        <v>30</v>
      </c>
      <c r="D74" s="11" t="s">
        <v>242</v>
      </c>
      <c r="E74" s="11"/>
      <c r="F74" s="11" t="s">
        <v>1750</v>
      </c>
      <c r="G74" s="11" t="s">
        <v>2903</v>
      </c>
      <c r="H74" s="11"/>
      <c r="I74" s="11"/>
    </row>
    <row r="75" spans="1:9" ht="30">
      <c r="A75" s="11">
        <v>73</v>
      </c>
      <c r="B75" s="11" t="s">
        <v>135</v>
      </c>
      <c r="C75" s="11">
        <v>2</v>
      </c>
      <c r="D75" s="11" t="s">
        <v>242</v>
      </c>
      <c r="E75" s="11"/>
      <c r="F75" s="11" t="s">
        <v>1979</v>
      </c>
      <c r="G75" s="11" t="s">
        <v>3278</v>
      </c>
      <c r="H75" s="11"/>
      <c r="I75" s="11"/>
    </row>
    <row r="76" spans="1:9">
      <c r="A76" s="11">
        <v>74</v>
      </c>
      <c r="B76" s="11" t="s">
        <v>136</v>
      </c>
      <c r="C76" s="11">
        <v>2</v>
      </c>
      <c r="D76" s="11" t="s">
        <v>242</v>
      </c>
      <c r="E76" s="11"/>
      <c r="F76" s="11" t="s">
        <v>2014</v>
      </c>
      <c r="G76" s="11" t="s">
        <v>3279</v>
      </c>
      <c r="H76" s="11"/>
      <c r="I76" s="11"/>
    </row>
    <row r="77" spans="1:9" ht="30">
      <c r="A77" s="11">
        <v>75</v>
      </c>
      <c r="B77" s="11" t="s">
        <v>137</v>
      </c>
      <c r="C77" s="11">
        <v>2</v>
      </c>
      <c r="D77" s="11" t="s">
        <v>242</v>
      </c>
      <c r="E77" s="11"/>
      <c r="F77" s="11" t="s">
        <v>2013</v>
      </c>
      <c r="G77" s="11" t="s">
        <v>3280</v>
      </c>
      <c r="H77" s="11"/>
      <c r="I77" s="11"/>
    </row>
    <row r="78" spans="1:9" ht="30">
      <c r="A78" s="11">
        <v>76</v>
      </c>
      <c r="B78" s="11" t="s">
        <v>138</v>
      </c>
      <c r="C78" s="11">
        <v>2</v>
      </c>
      <c r="D78" s="11" t="s">
        <v>242</v>
      </c>
      <c r="E78" s="11"/>
      <c r="F78" s="11" t="s">
        <v>2127</v>
      </c>
      <c r="G78" s="11" t="s">
        <v>3281</v>
      </c>
      <c r="H78" s="11"/>
      <c r="I78" s="11"/>
    </row>
    <row r="79" spans="1:9" ht="225">
      <c r="A79" s="11">
        <v>77</v>
      </c>
      <c r="B79" s="11" t="s">
        <v>98</v>
      </c>
      <c r="C79" s="11">
        <v>10</v>
      </c>
      <c r="D79" s="11" t="s">
        <v>242</v>
      </c>
      <c r="E79" s="11"/>
      <c r="F79" s="11" t="s">
        <v>2128</v>
      </c>
      <c r="G79" s="11" t="s">
        <v>3282</v>
      </c>
      <c r="H79" s="11"/>
      <c r="I79" s="11"/>
    </row>
    <row r="80" spans="1:9" ht="30">
      <c r="A80" s="11">
        <v>78</v>
      </c>
      <c r="B80" s="11" t="s">
        <v>43</v>
      </c>
      <c r="C80" s="11">
        <v>1</v>
      </c>
      <c r="D80" s="11" t="s">
        <v>242</v>
      </c>
      <c r="E80" s="11"/>
      <c r="F80" s="11" t="s">
        <v>2129</v>
      </c>
      <c r="G80" s="11" t="s">
        <v>3283</v>
      </c>
      <c r="H80" s="11"/>
      <c r="I80" s="11"/>
    </row>
    <row r="81" spans="1:10" ht="30">
      <c r="A81" s="11">
        <v>79</v>
      </c>
      <c r="B81" s="11" t="s">
        <v>117</v>
      </c>
      <c r="C81" s="11">
        <v>30</v>
      </c>
      <c r="D81" s="11" t="s">
        <v>242</v>
      </c>
      <c r="E81" s="11"/>
      <c r="F81" s="11" t="s">
        <v>2130</v>
      </c>
      <c r="G81" s="11" t="s">
        <v>3284</v>
      </c>
      <c r="H81" s="11"/>
      <c r="I81" s="11"/>
    </row>
    <row r="82" spans="1:10" ht="30">
      <c r="A82" s="11">
        <v>80</v>
      </c>
      <c r="B82" s="11" t="s">
        <v>124</v>
      </c>
      <c r="C82" s="11">
        <v>20</v>
      </c>
      <c r="D82" s="11" t="s">
        <v>242</v>
      </c>
      <c r="E82" s="11"/>
      <c r="F82" s="11" t="s">
        <v>2131</v>
      </c>
      <c r="G82" s="11" t="s">
        <v>3285</v>
      </c>
      <c r="H82" s="11"/>
      <c r="I82" s="11"/>
    </row>
    <row r="83" spans="1:10" ht="30">
      <c r="A83" s="11">
        <v>81</v>
      </c>
      <c r="B83" s="11" t="s">
        <v>99</v>
      </c>
      <c r="C83" s="11">
        <v>10</v>
      </c>
      <c r="D83" s="11" t="s">
        <v>242</v>
      </c>
      <c r="E83" s="11"/>
      <c r="F83" s="11" t="s">
        <v>2132</v>
      </c>
      <c r="G83" s="11" t="s">
        <v>3286</v>
      </c>
      <c r="H83" s="11"/>
      <c r="I83" s="11"/>
    </row>
    <row r="84" spans="1:10" ht="30">
      <c r="A84" s="11">
        <v>82</v>
      </c>
      <c r="B84" s="11" t="s">
        <v>125</v>
      </c>
      <c r="C84" s="11">
        <v>20</v>
      </c>
      <c r="D84" s="11" t="s">
        <v>242</v>
      </c>
      <c r="E84" s="11"/>
      <c r="F84" s="11" t="s">
        <v>2133</v>
      </c>
      <c r="G84" s="11" t="s">
        <v>3287</v>
      </c>
      <c r="H84" s="11"/>
      <c r="I84" s="11"/>
    </row>
    <row r="85" spans="1:10" ht="30">
      <c r="A85" s="11">
        <v>83</v>
      </c>
      <c r="B85" s="11" t="s">
        <v>100</v>
      </c>
      <c r="C85" s="11">
        <v>10</v>
      </c>
      <c r="D85" s="11" t="s">
        <v>242</v>
      </c>
      <c r="E85" s="11"/>
      <c r="F85" s="11" t="s">
        <v>2134</v>
      </c>
      <c r="G85" s="11" t="s">
        <v>3288</v>
      </c>
      <c r="H85" s="11"/>
      <c r="I85" s="11"/>
    </row>
    <row r="86" spans="1:10" ht="30">
      <c r="A86" s="11">
        <v>84</v>
      </c>
      <c r="B86" s="11" t="s">
        <v>55</v>
      </c>
      <c r="C86" s="11">
        <v>7</v>
      </c>
      <c r="D86" s="11" t="s">
        <v>242</v>
      </c>
      <c r="E86" s="11"/>
      <c r="F86" s="11" t="s">
        <v>2135</v>
      </c>
      <c r="G86" s="11" t="s">
        <v>5588</v>
      </c>
      <c r="H86" s="11"/>
      <c r="I86" s="11"/>
    </row>
    <row r="87" spans="1:10">
      <c r="A87" s="11">
        <v>85</v>
      </c>
      <c r="B87" s="11" t="s">
        <v>1618</v>
      </c>
      <c r="C87" s="11">
        <v>8</v>
      </c>
      <c r="D87" s="11" t="s">
        <v>160</v>
      </c>
      <c r="E87" s="11" t="s">
        <v>177</v>
      </c>
      <c r="F87" s="11"/>
      <c r="G87" s="11"/>
      <c r="H87" s="11"/>
      <c r="I87" s="11"/>
    </row>
    <row r="88" spans="1:10" ht="30">
      <c r="A88" s="11">
        <v>86</v>
      </c>
      <c r="B88" s="11" t="s">
        <v>142</v>
      </c>
      <c r="C88" s="11">
        <v>50</v>
      </c>
      <c r="D88" s="11" t="s">
        <v>242</v>
      </c>
      <c r="E88" s="11"/>
      <c r="F88" s="11" t="s">
        <v>2136</v>
      </c>
      <c r="G88" s="11" t="s">
        <v>3289</v>
      </c>
      <c r="H88" s="11"/>
      <c r="I88" s="11"/>
    </row>
    <row r="89" spans="1:10" ht="90">
      <c r="A89" s="11">
        <v>87</v>
      </c>
      <c r="B89" s="11" t="s">
        <v>11</v>
      </c>
      <c r="C89" s="11">
        <v>1</v>
      </c>
      <c r="D89" s="11" t="s">
        <v>242</v>
      </c>
      <c r="E89" s="11"/>
      <c r="F89" s="11" t="s">
        <v>2137</v>
      </c>
      <c r="G89" s="11" t="s">
        <v>3290</v>
      </c>
      <c r="H89" s="11"/>
      <c r="I89" s="11"/>
    </row>
    <row r="90" spans="1:10" ht="135">
      <c r="A90" s="59">
        <v>88</v>
      </c>
      <c r="B90" s="59" t="s">
        <v>12</v>
      </c>
      <c r="C90" s="59">
        <v>1</v>
      </c>
      <c r="D90" s="59" t="s">
        <v>242</v>
      </c>
      <c r="E90" s="59"/>
      <c r="F90" s="59" t="s">
        <v>2138</v>
      </c>
      <c r="G90" s="59" t="s">
        <v>3291</v>
      </c>
      <c r="H90" s="59"/>
      <c r="I90" s="59"/>
      <c r="J90" s="31"/>
    </row>
    <row r="91" spans="1:10" ht="30">
      <c r="A91" s="59">
        <v>89</v>
      </c>
      <c r="B91" s="59" t="s">
        <v>139</v>
      </c>
      <c r="C91" s="59">
        <v>2</v>
      </c>
      <c r="D91" s="59" t="s">
        <v>242</v>
      </c>
      <c r="E91" s="59"/>
      <c r="F91" s="59" t="s">
        <v>2139</v>
      </c>
      <c r="G91" s="59" t="s">
        <v>3292</v>
      </c>
      <c r="H91" s="59"/>
      <c r="I91" s="59"/>
      <c r="J91" s="31"/>
    </row>
    <row r="92" spans="1:10" ht="30">
      <c r="A92" s="59">
        <v>90</v>
      </c>
      <c r="B92" s="59" t="s">
        <v>144</v>
      </c>
      <c r="C92" s="59">
        <v>60</v>
      </c>
      <c r="D92" s="59" t="s">
        <v>242</v>
      </c>
      <c r="E92" s="59"/>
      <c r="F92" s="59" t="s">
        <v>2140</v>
      </c>
      <c r="G92" s="59" t="s">
        <v>3293</v>
      </c>
      <c r="H92" s="59"/>
      <c r="I92" s="59"/>
      <c r="J92" s="31"/>
    </row>
    <row r="93" spans="1:10" ht="30">
      <c r="A93" s="59">
        <v>91</v>
      </c>
      <c r="B93" s="59" t="s">
        <v>118</v>
      </c>
      <c r="C93" s="59">
        <v>30</v>
      </c>
      <c r="D93" s="59" t="s">
        <v>242</v>
      </c>
      <c r="E93" s="59"/>
      <c r="F93" s="59" t="s">
        <v>2141</v>
      </c>
      <c r="G93" s="59" t="s">
        <v>3294</v>
      </c>
      <c r="H93" s="59"/>
      <c r="I93" s="59"/>
      <c r="J93" s="31"/>
    </row>
    <row r="94" spans="1:10" ht="75">
      <c r="A94" s="59">
        <v>92</v>
      </c>
      <c r="B94" s="59" t="s">
        <v>13</v>
      </c>
      <c r="C94" s="59">
        <v>1</v>
      </c>
      <c r="D94" s="59" t="s">
        <v>242</v>
      </c>
      <c r="E94" s="59"/>
      <c r="F94" s="59" t="s">
        <v>2142</v>
      </c>
      <c r="G94" s="59" t="s">
        <v>3295</v>
      </c>
      <c r="H94" s="59"/>
      <c r="I94" s="59"/>
      <c r="J94" s="31"/>
    </row>
    <row r="95" spans="1:10" ht="30">
      <c r="A95" s="11">
        <v>93</v>
      </c>
      <c r="B95" s="11" t="s">
        <v>1619</v>
      </c>
      <c r="C95" s="11">
        <v>1</v>
      </c>
      <c r="D95" s="11" t="s">
        <v>242</v>
      </c>
      <c r="E95" s="11"/>
      <c r="F95" s="11" t="s">
        <v>2276</v>
      </c>
      <c r="G95" s="11" t="s">
        <v>2277</v>
      </c>
      <c r="H95" s="11"/>
      <c r="I95" s="11"/>
    </row>
    <row r="96" spans="1:10" ht="30">
      <c r="A96" s="11">
        <v>94</v>
      </c>
      <c r="B96" s="11" t="s">
        <v>23</v>
      </c>
      <c r="C96" s="11">
        <v>1</v>
      </c>
      <c r="D96" s="11" t="s">
        <v>242</v>
      </c>
      <c r="E96" s="11"/>
      <c r="F96" s="11" t="s">
        <v>2278</v>
      </c>
      <c r="G96" s="11" t="s">
        <v>2279</v>
      </c>
      <c r="H96" s="11"/>
      <c r="I96" s="11"/>
    </row>
    <row r="97" spans="1:9">
      <c r="A97" s="11">
        <v>95</v>
      </c>
      <c r="B97" s="11" t="s">
        <v>24</v>
      </c>
      <c r="C97" s="11">
        <v>1</v>
      </c>
      <c r="D97" s="11" t="s">
        <v>242</v>
      </c>
      <c r="E97" s="11"/>
      <c r="F97" s="11" t="s">
        <v>2280</v>
      </c>
      <c r="G97" s="11" t="s">
        <v>2281</v>
      </c>
      <c r="H97" s="11"/>
      <c r="I97" s="11"/>
    </row>
    <row r="98" spans="1:9" ht="30">
      <c r="A98" s="11">
        <v>96</v>
      </c>
      <c r="B98" s="11" t="s">
        <v>1620</v>
      </c>
      <c r="C98" s="11">
        <v>1</v>
      </c>
      <c r="D98" s="11" t="s">
        <v>242</v>
      </c>
      <c r="E98" s="11"/>
      <c r="F98" s="11" t="s">
        <v>2282</v>
      </c>
      <c r="G98" s="11" t="s">
        <v>2283</v>
      </c>
      <c r="H98" s="11"/>
      <c r="I98" s="11"/>
    </row>
    <row r="99" spans="1:9" ht="30">
      <c r="A99" s="11">
        <v>97</v>
      </c>
      <c r="B99" s="11" t="s">
        <v>76</v>
      </c>
      <c r="C99" s="11">
        <v>8</v>
      </c>
      <c r="D99" s="11" t="s">
        <v>160</v>
      </c>
      <c r="E99" s="11" t="s">
        <v>177</v>
      </c>
      <c r="F99" s="11" t="s">
        <v>2284</v>
      </c>
      <c r="G99" s="11" t="s">
        <v>2285</v>
      </c>
      <c r="H99" s="11"/>
      <c r="I99" s="11"/>
    </row>
    <row r="100" spans="1:9" ht="30">
      <c r="A100" s="11">
        <v>98</v>
      </c>
      <c r="B100" s="11" t="s">
        <v>77</v>
      </c>
      <c r="C100" s="11">
        <v>8</v>
      </c>
      <c r="D100" s="11" t="s">
        <v>160</v>
      </c>
      <c r="E100" s="11" t="s">
        <v>177</v>
      </c>
      <c r="F100" s="11" t="s">
        <v>5530</v>
      </c>
      <c r="G100" s="11" t="s">
        <v>5531</v>
      </c>
      <c r="H100" s="11"/>
      <c r="I100" s="11"/>
    </row>
    <row r="101" spans="1:9" ht="30">
      <c r="A101" s="11">
        <v>99</v>
      </c>
      <c r="B101" s="11" t="s">
        <v>26</v>
      </c>
      <c r="C101" s="11">
        <v>1</v>
      </c>
      <c r="D101" s="11" t="s">
        <v>242</v>
      </c>
      <c r="E101" s="11"/>
      <c r="F101" s="11" t="s">
        <v>2213</v>
      </c>
      <c r="G101" s="11" t="s">
        <v>2214</v>
      </c>
      <c r="H101" s="11"/>
      <c r="I101" s="11"/>
    </row>
    <row r="102" spans="1:9" ht="30">
      <c r="A102" s="11">
        <v>100</v>
      </c>
      <c r="B102" s="11" t="s">
        <v>27</v>
      </c>
      <c r="C102" s="11">
        <v>1</v>
      </c>
      <c r="D102" s="11" t="s">
        <v>242</v>
      </c>
      <c r="E102" s="11"/>
      <c r="F102" s="11" t="s">
        <v>2215</v>
      </c>
      <c r="G102" s="11" t="s">
        <v>2216</v>
      </c>
      <c r="H102" s="11"/>
      <c r="I102" s="11"/>
    </row>
    <row r="103" spans="1:9" ht="30">
      <c r="A103" s="11">
        <v>101</v>
      </c>
      <c r="B103" s="11" t="s">
        <v>86</v>
      </c>
      <c r="C103" s="11">
        <v>4</v>
      </c>
      <c r="D103" s="11" t="s">
        <v>242</v>
      </c>
      <c r="E103" s="11"/>
      <c r="F103" s="11" t="s">
        <v>2166</v>
      </c>
      <c r="G103" s="11" t="s">
        <v>2217</v>
      </c>
      <c r="H103" s="11"/>
      <c r="I103" s="11"/>
    </row>
    <row r="104" spans="1:9" ht="30">
      <c r="A104" s="11">
        <v>102</v>
      </c>
      <c r="B104" s="11" t="s">
        <v>152</v>
      </c>
      <c r="C104" s="11">
        <v>6</v>
      </c>
      <c r="D104" s="11" t="s">
        <v>242</v>
      </c>
      <c r="E104" s="11"/>
      <c r="F104" s="11" t="s">
        <v>2218</v>
      </c>
      <c r="G104" s="11" t="s">
        <v>2219</v>
      </c>
      <c r="H104" s="11"/>
      <c r="I104" s="11"/>
    </row>
    <row r="105" spans="1:9" ht="30">
      <c r="A105" s="11">
        <v>103</v>
      </c>
      <c r="B105" s="11" t="s">
        <v>28</v>
      </c>
      <c r="C105" s="11">
        <v>1</v>
      </c>
      <c r="D105" s="11" t="s">
        <v>242</v>
      </c>
      <c r="E105" s="11"/>
      <c r="F105" s="11" t="s">
        <v>2220</v>
      </c>
      <c r="G105" s="11" t="s">
        <v>2221</v>
      </c>
      <c r="H105" s="11"/>
      <c r="I105" s="11"/>
    </row>
    <row r="106" spans="1:9" ht="30">
      <c r="A106" s="11">
        <v>104</v>
      </c>
      <c r="B106" s="11" t="s">
        <v>153</v>
      </c>
      <c r="C106" s="11">
        <v>25</v>
      </c>
      <c r="D106" s="11" t="s">
        <v>242</v>
      </c>
      <c r="E106" s="11"/>
      <c r="F106" s="11" t="s">
        <v>2222</v>
      </c>
      <c r="G106" s="11" t="s">
        <v>2223</v>
      </c>
      <c r="H106" s="11"/>
      <c r="I106" s="11"/>
    </row>
    <row r="107" spans="1:9">
      <c r="A107" s="11">
        <v>105</v>
      </c>
      <c r="B107" s="11" t="s">
        <v>154</v>
      </c>
      <c r="C107" s="11">
        <v>25</v>
      </c>
      <c r="D107" s="11" t="s">
        <v>242</v>
      </c>
      <c r="E107" s="11"/>
      <c r="F107" s="11" t="s">
        <v>2224</v>
      </c>
      <c r="G107" s="11" t="s">
        <v>2225</v>
      </c>
      <c r="H107" s="11"/>
      <c r="I107" s="11"/>
    </row>
    <row r="108" spans="1:9">
      <c r="A108" s="11">
        <v>106</v>
      </c>
      <c r="B108" s="11" t="s">
        <v>140</v>
      </c>
      <c r="C108" s="11">
        <v>2</v>
      </c>
      <c r="D108" s="11" t="s">
        <v>242</v>
      </c>
      <c r="E108" s="11"/>
      <c r="F108" s="11" t="s">
        <v>1950</v>
      </c>
      <c r="G108" s="11" t="s">
        <v>2226</v>
      </c>
      <c r="H108" s="11"/>
      <c r="I108" s="11"/>
    </row>
    <row r="109" spans="1:9">
      <c r="A109" s="11">
        <v>107</v>
      </c>
      <c r="B109" s="11" t="s">
        <v>820</v>
      </c>
      <c r="C109" s="11">
        <v>2</v>
      </c>
      <c r="D109" s="11" t="s">
        <v>242</v>
      </c>
      <c r="E109" s="11"/>
      <c r="F109" s="11" t="s">
        <v>2227</v>
      </c>
      <c r="G109" s="11" t="s">
        <v>2228</v>
      </c>
      <c r="H109" s="11"/>
      <c r="I109" s="11"/>
    </row>
    <row r="110" spans="1:9">
      <c r="A110" s="11">
        <v>108</v>
      </c>
      <c r="B110" s="11" t="s">
        <v>56</v>
      </c>
      <c r="C110" s="11">
        <v>15</v>
      </c>
      <c r="D110" s="11" t="s">
        <v>242</v>
      </c>
      <c r="E110" s="11"/>
      <c r="F110" s="11" t="s">
        <v>2171</v>
      </c>
      <c r="G110" s="11" t="s">
        <v>2229</v>
      </c>
      <c r="H110" s="11"/>
      <c r="I110" s="11"/>
    </row>
    <row r="111" spans="1:9" ht="30">
      <c r="A111" s="11">
        <v>109</v>
      </c>
      <c r="B111" s="11" t="s">
        <v>57</v>
      </c>
      <c r="C111" s="11">
        <v>15</v>
      </c>
      <c r="D111" s="11" t="s">
        <v>242</v>
      </c>
      <c r="E111" s="11"/>
      <c r="F111" s="11" t="s">
        <v>2172</v>
      </c>
      <c r="G111" s="11" t="s">
        <v>2230</v>
      </c>
      <c r="H111" s="11"/>
      <c r="I111" s="11"/>
    </row>
    <row r="112" spans="1:9" ht="30">
      <c r="A112" s="11">
        <v>110</v>
      </c>
      <c r="B112" s="11" t="s">
        <v>58</v>
      </c>
      <c r="C112" s="11">
        <v>15</v>
      </c>
      <c r="D112" s="11" t="s">
        <v>242</v>
      </c>
      <c r="E112" s="11"/>
      <c r="F112" s="11" t="s">
        <v>2173</v>
      </c>
      <c r="G112" s="11" t="s">
        <v>2231</v>
      </c>
      <c r="H112" s="11"/>
      <c r="I112" s="11"/>
    </row>
    <row r="113" spans="1:10">
      <c r="A113" s="11">
        <v>111</v>
      </c>
      <c r="B113" s="11" t="s">
        <v>59</v>
      </c>
      <c r="C113" s="11">
        <v>15</v>
      </c>
      <c r="D113" s="11" t="s">
        <v>242</v>
      </c>
      <c r="E113" s="11"/>
      <c r="F113" s="11" t="s">
        <v>2174</v>
      </c>
      <c r="G113" s="11" t="s">
        <v>5589</v>
      </c>
      <c r="H113" s="11"/>
      <c r="I113" s="11"/>
      <c r="J113" s="1" t="s">
        <v>1291</v>
      </c>
    </row>
    <row r="114" spans="1:10" ht="30">
      <c r="A114" s="11">
        <v>112</v>
      </c>
      <c r="B114" s="11" t="s">
        <v>60</v>
      </c>
      <c r="C114" s="11">
        <v>15</v>
      </c>
      <c r="D114" s="11" t="s">
        <v>242</v>
      </c>
      <c r="E114" s="11" t="s">
        <v>177</v>
      </c>
      <c r="F114" s="11" t="s">
        <v>2175</v>
      </c>
      <c r="G114" s="11" t="s">
        <v>2232</v>
      </c>
      <c r="H114" s="11"/>
      <c r="I114" s="11"/>
    </row>
    <row r="115" spans="1:10" ht="30">
      <c r="A115" s="11">
        <v>113</v>
      </c>
      <c r="B115" s="11" t="s">
        <v>61</v>
      </c>
      <c r="C115" s="11">
        <v>15</v>
      </c>
      <c r="D115" s="11" t="s">
        <v>242</v>
      </c>
      <c r="E115" s="11" t="s">
        <v>177</v>
      </c>
      <c r="F115" s="11" t="s">
        <v>2176</v>
      </c>
      <c r="G115" s="11" t="s">
        <v>2233</v>
      </c>
      <c r="H115" s="11"/>
      <c r="I115" s="11"/>
    </row>
    <row r="116" spans="1:10">
      <c r="A116" s="11">
        <v>114</v>
      </c>
      <c r="B116" s="11" t="s">
        <v>62</v>
      </c>
      <c r="C116" s="11">
        <v>15</v>
      </c>
      <c r="D116" s="11" t="s">
        <v>242</v>
      </c>
      <c r="E116" s="11"/>
      <c r="F116" s="11" t="s">
        <v>2177</v>
      </c>
      <c r="G116" s="11" t="s">
        <v>2234</v>
      </c>
      <c r="H116" s="11"/>
      <c r="I116" s="11"/>
    </row>
    <row r="117" spans="1:10" ht="30">
      <c r="A117" s="11">
        <v>115</v>
      </c>
      <c r="B117" s="11" t="s">
        <v>63</v>
      </c>
      <c r="C117" s="11">
        <v>15</v>
      </c>
      <c r="D117" s="11" t="s">
        <v>242</v>
      </c>
      <c r="E117" s="11"/>
      <c r="F117" s="11" t="s">
        <v>2178</v>
      </c>
      <c r="G117" s="11" t="s">
        <v>2235</v>
      </c>
      <c r="H117" s="11"/>
      <c r="I117" s="11"/>
    </row>
    <row r="118" spans="1:10" ht="30">
      <c r="A118" s="11">
        <v>116</v>
      </c>
      <c r="B118" s="11" t="s">
        <v>64</v>
      </c>
      <c r="C118" s="11">
        <v>15</v>
      </c>
      <c r="D118" s="11" t="s">
        <v>242</v>
      </c>
      <c r="E118" s="11"/>
      <c r="F118" s="11" t="s">
        <v>2236</v>
      </c>
      <c r="G118" s="11" t="s">
        <v>2237</v>
      </c>
      <c r="H118" s="11"/>
      <c r="I118" s="11"/>
    </row>
    <row r="119" spans="1:10">
      <c r="A119" s="11">
        <v>117</v>
      </c>
      <c r="B119" s="11" t="s">
        <v>65</v>
      </c>
      <c r="C119" s="11">
        <v>15</v>
      </c>
      <c r="D119" s="11" t="s">
        <v>242</v>
      </c>
      <c r="E119" s="11"/>
      <c r="F119" s="11" t="s">
        <v>2180</v>
      </c>
      <c r="G119" s="11" t="s">
        <v>2238</v>
      </c>
      <c r="H119" s="11"/>
      <c r="I119" s="11"/>
    </row>
    <row r="120" spans="1:10" ht="30">
      <c r="A120" s="11">
        <v>118</v>
      </c>
      <c r="B120" s="11" t="s">
        <v>88</v>
      </c>
      <c r="C120" s="11">
        <v>14</v>
      </c>
      <c r="D120" s="11" t="s">
        <v>242</v>
      </c>
      <c r="E120" s="11"/>
      <c r="F120" s="11" t="s">
        <v>2239</v>
      </c>
      <c r="G120" s="11" t="s">
        <v>2240</v>
      </c>
      <c r="H120" s="11"/>
      <c r="I120" s="11"/>
    </row>
    <row r="121" spans="1:10" ht="30">
      <c r="A121" s="11">
        <v>119</v>
      </c>
      <c r="B121" s="11" t="s">
        <v>66</v>
      </c>
      <c r="C121" s="11">
        <v>15</v>
      </c>
      <c r="D121" s="11" t="s">
        <v>242</v>
      </c>
      <c r="E121" s="11"/>
      <c r="F121" s="11" t="s">
        <v>2182</v>
      </c>
      <c r="G121" s="11" t="s">
        <v>2241</v>
      </c>
      <c r="H121" s="11"/>
      <c r="I121" s="11"/>
    </row>
    <row r="122" spans="1:10" ht="30">
      <c r="A122" s="11">
        <v>120</v>
      </c>
      <c r="B122" s="11" t="s">
        <v>143</v>
      </c>
      <c r="C122" s="11">
        <v>50</v>
      </c>
      <c r="D122" s="11" t="s">
        <v>242</v>
      </c>
      <c r="E122" s="11"/>
      <c r="F122" s="11" t="s">
        <v>2242</v>
      </c>
      <c r="G122" s="11" t="s">
        <v>2243</v>
      </c>
      <c r="H122" s="11"/>
      <c r="I122" s="11"/>
    </row>
    <row r="123" spans="1:10" ht="30">
      <c r="A123" s="11">
        <v>121</v>
      </c>
      <c r="B123" s="11" t="s">
        <v>130</v>
      </c>
      <c r="C123" s="11">
        <v>3</v>
      </c>
      <c r="D123" s="11" t="s">
        <v>242</v>
      </c>
      <c r="E123" s="11"/>
      <c r="F123" s="11" t="s">
        <v>2184</v>
      </c>
      <c r="G123" s="11" t="s">
        <v>2244</v>
      </c>
      <c r="H123" s="11"/>
      <c r="I123" s="11"/>
    </row>
    <row r="124" spans="1:10" ht="30">
      <c r="A124" s="11">
        <v>122</v>
      </c>
      <c r="B124" s="11" t="s">
        <v>131</v>
      </c>
      <c r="C124" s="11">
        <v>3</v>
      </c>
      <c r="D124" s="11" t="s">
        <v>242</v>
      </c>
      <c r="E124" s="11"/>
      <c r="F124" s="11" t="s">
        <v>2185</v>
      </c>
      <c r="G124" s="11" t="s">
        <v>2245</v>
      </c>
      <c r="H124" s="11"/>
      <c r="I124" s="11"/>
    </row>
    <row r="125" spans="1:10" ht="30">
      <c r="A125" s="11">
        <v>123</v>
      </c>
      <c r="B125" s="11" t="s">
        <v>132</v>
      </c>
      <c r="C125" s="11">
        <v>3</v>
      </c>
      <c r="D125" s="11" t="s">
        <v>242</v>
      </c>
      <c r="E125" s="11"/>
      <c r="F125" s="11" t="s">
        <v>2186</v>
      </c>
      <c r="G125" s="11" t="s">
        <v>2246</v>
      </c>
      <c r="H125" s="11"/>
      <c r="I125" s="11"/>
    </row>
    <row r="126" spans="1:10" ht="30">
      <c r="A126" s="11">
        <v>124</v>
      </c>
      <c r="B126" s="11" t="s">
        <v>145</v>
      </c>
      <c r="C126" s="11">
        <v>60</v>
      </c>
      <c r="D126" s="11" t="s">
        <v>242</v>
      </c>
      <c r="E126" s="11"/>
      <c r="F126" s="11" t="s">
        <v>2187</v>
      </c>
      <c r="G126" s="11" t="s">
        <v>2247</v>
      </c>
      <c r="H126" s="11"/>
      <c r="I126" s="11"/>
    </row>
    <row r="127" spans="1:10" ht="30">
      <c r="A127" s="11">
        <v>125</v>
      </c>
      <c r="B127" s="11" t="s">
        <v>29</v>
      </c>
      <c r="C127" s="11">
        <v>1</v>
      </c>
      <c r="D127" s="11" t="s">
        <v>242</v>
      </c>
      <c r="E127" s="11"/>
      <c r="F127" s="11" t="s">
        <v>2248</v>
      </c>
      <c r="G127" s="11" t="s">
        <v>2249</v>
      </c>
      <c r="H127" s="11"/>
      <c r="I127" s="11"/>
    </row>
    <row r="128" spans="1:10">
      <c r="A128" s="11">
        <v>126</v>
      </c>
      <c r="B128" s="11" t="s">
        <v>30</v>
      </c>
      <c r="C128" s="11">
        <v>1</v>
      </c>
      <c r="D128" s="11" t="s">
        <v>242</v>
      </c>
      <c r="E128" s="11"/>
      <c r="F128" s="11" t="s">
        <v>2250</v>
      </c>
      <c r="G128" s="11" t="s">
        <v>2251</v>
      </c>
      <c r="H128" s="11"/>
      <c r="I128" s="11"/>
    </row>
    <row r="129" spans="1:9" ht="30">
      <c r="A129" s="11">
        <v>127</v>
      </c>
      <c r="B129" s="11" t="s">
        <v>31</v>
      </c>
      <c r="C129" s="11">
        <v>1</v>
      </c>
      <c r="D129" s="11" t="s">
        <v>242</v>
      </c>
      <c r="E129" s="11"/>
      <c r="F129" s="11" t="s">
        <v>2252</v>
      </c>
      <c r="G129" s="11" t="s">
        <v>2253</v>
      </c>
      <c r="H129" s="11"/>
      <c r="I129" s="11"/>
    </row>
    <row r="130" spans="1:9" ht="30">
      <c r="A130" s="11">
        <v>128</v>
      </c>
      <c r="B130" s="11" t="s">
        <v>32</v>
      </c>
      <c r="C130" s="11">
        <v>1</v>
      </c>
      <c r="D130" s="11" t="s">
        <v>242</v>
      </c>
      <c r="E130" s="11"/>
      <c r="F130" s="11" t="s">
        <v>2254</v>
      </c>
      <c r="G130" s="11" t="s">
        <v>2255</v>
      </c>
      <c r="H130" s="11"/>
      <c r="I130" s="11"/>
    </row>
    <row r="131" spans="1:9" ht="30">
      <c r="A131" s="11">
        <v>129</v>
      </c>
      <c r="B131" s="11" t="s">
        <v>33</v>
      </c>
      <c r="C131" s="11">
        <v>1</v>
      </c>
      <c r="D131" s="11" t="s">
        <v>242</v>
      </c>
      <c r="E131" s="11"/>
      <c r="F131" s="11" t="s">
        <v>2192</v>
      </c>
      <c r="G131" s="11" t="s">
        <v>2256</v>
      </c>
      <c r="H131" s="11"/>
      <c r="I131" s="11"/>
    </row>
    <row r="132" spans="1:9" ht="30">
      <c r="A132" s="11">
        <v>130</v>
      </c>
      <c r="B132" s="11" t="s">
        <v>34</v>
      </c>
      <c r="C132" s="11">
        <v>1</v>
      </c>
      <c r="D132" s="11" t="s">
        <v>242</v>
      </c>
      <c r="E132" s="11"/>
      <c r="F132" s="11" t="s">
        <v>2257</v>
      </c>
      <c r="G132" s="11" t="s">
        <v>2258</v>
      </c>
      <c r="H132" s="11"/>
      <c r="I132" s="11"/>
    </row>
    <row r="133" spans="1:9" ht="30">
      <c r="A133" s="11">
        <v>131</v>
      </c>
      <c r="B133" s="11" t="s">
        <v>35</v>
      </c>
      <c r="C133" s="11">
        <v>1</v>
      </c>
      <c r="D133" s="11" t="s">
        <v>242</v>
      </c>
      <c r="E133" s="11"/>
      <c r="F133" s="11" t="s">
        <v>2259</v>
      </c>
      <c r="G133" s="11" t="s">
        <v>2260</v>
      </c>
      <c r="H133" s="11"/>
      <c r="I133" s="11"/>
    </row>
    <row r="134" spans="1:9">
      <c r="A134" s="11">
        <v>132</v>
      </c>
      <c r="B134" s="11" t="s">
        <v>103</v>
      </c>
      <c r="C134" s="11">
        <v>10</v>
      </c>
      <c r="D134" s="11" t="s">
        <v>242</v>
      </c>
      <c r="E134" s="11"/>
      <c r="F134" s="11" t="s">
        <v>2261</v>
      </c>
      <c r="G134" s="11" t="s">
        <v>2262</v>
      </c>
      <c r="H134" s="11"/>
      <c r="I134" s="11"/>
    </row>
    <row r="135" spans="1:9" ht="30">
      <c r="A135" s="11">
        <v>133</v>
      </c>
      <c r="B135" s="11" t="s">
        <v>36</v>
      </c>
      <c r="C135" s="11">
        <v>1</v>
      </c>
      <c r="D135" s="11" t="s">
        <v>242</v>
      </c>
      <c r="E135" s="11"/>
      <c r="F135" s="11" t="s">
        <v>2196</v>
      </c>
      <c r="G135" s="11" t="s">
        <v>2263</v>
      </c>
      <c r="H135" s="11"/>
      <c r="I135" s="11"/>
    </row>
    <row r="136" spans="1:9" ht="30">
      <c r="A136" s="11">
        <v>134</v>
      </c>
      <c r="B136" s="11" t="s">
        <v>155</v>
      </c>
      <c r="C136" s="11">
        <v>25</v>
      </c>
      <c r="D136" s="11" t="s">
        <v>242</v>
      </c>
      <c r="E136" s="11"/>
      <c r="F136" s="11" t="s">
        <v>2264</v>
      </c>
      <c r="G136" s="11" t="s">
        <v>2265</v>
      </c>
      <c r="H136" s="11"/>
      <c r="I136" s="11"/>
    </row>
    <row r="137" spans="1:9">
      <c r="A137" s="11">
        <v>135</v>
      </c>
      <c r="B137" s="11" t="s">
        <v>38</v>
      </c>
      <c r="C137" s="11">
        <v>1</v>
      </c>
      <c r="D137" s="11" t="s">
        <v>242</v>
      </c>
      <c r="E137" s="11"/>
      <c r="F137" s="11" t="s">
        <v>2266</v>
      </c>
      <c r="G137" s="11" t="s">
        <v>2267</v>
      </c>
      <c r="H137" s="11"/>
      <c r="I137" s="11"/>
    </row>
    <row r="138" spans="1:9" ht="30">
      <c r="A138" s="11">
        <v>136</v>
      </c>
      <c r="B138" s="11" t="s">
        <v>39</v>
      </c>
      <c r="C138" s="11">
        <v>1</v>
      </c>
      <c r="D138" s="11" t="s">
        <v>242</v>
      </c>
      <c r="E138" s="11"/>
      <c r="F138" s="11" t="s">
        <v>2268</v>
      </c>
      <c r="G138" s="11" t="s">
        <v>2269</v>
      </c>
      <c r="H138" s="11"/>
      <c r="I138" s="11"/>
    </row>
    <row r="139" spans="1:9" ht="30">
      <c r="A139" s="11">
        <v>137</v>
      </c>
      <c r="B139" s="11" t="s">
        <v>40</v>
      </c>
      <c r="C139" s="11">
        <v>1</v>
      </c>
      <c r="D139" s="11" t="s">
        <v>242</v>
      </c>
      <c r="E139" s="11"/>
      <c r="F139" s="11" t="s">
        <v>2270</v>
      </c>
      <c r="G139" s="11" t="s">
        <v>2271</v>
      </c>
      <c r="H139" s="11"/>
      <c r="I139" s="11"/>
    </row>
    <row r="140" spans="1:9" ht="30">
      <c r="A140" s="11">
        <v>138</v>
      </c>
      <c r="B140" s="11" t="s">
        <v>41</v>
      </c>
      <c r="C140" s="11">
        <v>1</v>
      </c>
      <c r="D140" s="11" t="s">
        <v>242</v>
      </c>
      <c r="E140" s="11"/>
      <c r="F140" s="11" t="s">
        <v>2203</v>
      </c>
      <c r="G140" s="11" t="s">
        <v>2272</v>
      </c>
      <c r="H140" s="11"/>
      <c r="I140" s="11"/>
    </row>
    <row r="141" spans="1:9">
      <c r="A141" s="11">
        <v>139</v>
      </c>
      <c r="B141" s="11" t="s">
        <v>105</v>
      </c>
      <c r="C141" s="11">
        <v>10</v>
      </c>
      <c r="D141" s="11" t="s">
        <v>242</v>
      </c>
      <c r="E141" s="11"/>
      <c r="F141" s="11" t="s">
        <v>1716</v>
      </c>
      <c r="G141" s="11" t="s">
        <v>2273</v>
      </c>
      <c r="H141" s="11"/>
      <c r="I141" s="11"/>
    </row>
    <row r="142" spans="1:9">
      <c r="A142" s="11">
        <v>140</v>
      </c>
      <c r="B142" s="11" t="s">
        <v>104</v>
      </c>
      <c r="C142" s="11">
        <v>10</v>
      </c>
      <c r="D142" s="11" t="s">
        <v>242</v>
      </c>
      <c r="E142" s="11"/>
      <c r="F142" s="11" t="s">
        <v>2202</v>
      </c>
      <c r="G142" s="11" t="s">
        <v>2274</v>
      </c>
      <c r="H142" s="11"/>
      <c r="I142" s="11"/>
    </row>
    <row r="143" spans="1:9" ht="30">
      <c r="A143" s="11">
        <v>141</v>
      </c>
      <c r="B143" s="11" t="s">
        <v>163</v>
      </c>
      <c r="C143" s="11">
        <v>14</v>
      </c>
      <c r="D143" s="11" t="s">
        <v>1032</v>
      </c>
      <c r="E143" s="11" t="s">
        <v>1033</v>
      </c>
      <c r="F143" s="11" t="s">
        <v>1717</v>
      </c>
      <c r="G143" s="11" t="s">
        <v>2275</v>
      </c>
      <c r="H143" s="11"/>
      <c r="I143" s="11"/>
    </row>
    <row r="144" spans="1:9">
      <c r="A144" s="11">
        <v>142</v>
      </c>
      <c r="B144" s="11" t="s">
        <v>1182</v>
      </c>
      <c r="C144" s="11">
        <v>12</v>
      </c>
      <c r="D144" s="11" t="s">
        <v>189</v>
      </c>
      <c r="E144" s="11" t="s">
        <v>5576</v>
      </c>
      <c r="F144" s="11" t="s">
        <v>1688</v>
      </c>
      <c r="G144" s="11" t="s">
        <v>1689</v>
      </c>
      <c r="H144" s="11"/>
      <c r="I144" s="11"/>
    </row>
    <row r="145" spans="1:9" ht="30">
      <c r="A145" s="11">
        <v>143</v>
      </c>
      <c r="B145" s="11" t="s">
        <v>1183</v>
      </c>
      <c r="C145" s="11">
        <v>30</v>
      </c>
      <c r="D145" s="11" t="s">
        <v>242</v>
      </c>
      <c r="E145" s="11" t="s">
        <v>5576</v>
      </c>
      <c r="F145" s="11" t="s">
        <v>1690</v>
      </c>
      <c r="G145" s="11" t="s">
        <v>1691</v>
      </c>
      <c r="H145" s="11"/>
      <c r="I145" s="11"/>
    </row>
  </sheetData>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AF24-40E5-469D-984F-C496863D53B3}">
  <sheetPr codeName="Sheet116"/>
  <dimension ref="A1:K24"/>
  <sheetViews>
    <sheetView workbookViewId="0">
      <selection activeCell="C22" sqref="C22"/>
    </sheetView>
  </sheetViews>
  <sheetFormatPr defaultColWidth="32.140625" defaultRowHeight="15"/>
  <cols>
    <col min="1" max="1" width="7.140625" style="1" bestFit="1" customWidth="1"/>
    <col min="2" max="2" width="22.42578125" style="1" bestFit="1" customWidth="1"/>
    <col min="3" max="3" width="4.5703125" style="1" bestFit="1" customWidth="1"/>
    <col min="4" max="4" width="9" style="1" bestFit="1" customWidth="1"/>
    <col min="5" max="5" width="24.42578125" style="1" bestFit="1" customWidth="1"/>
    <col min="6" max="6" width="30" style="1" bestFit="1" customWidth="1"/>
    <col min="7" max="7" width="57" style="1" bestFit="1" customWidth="1"/>
    <col min="8" max="9" width="5.28515625" style="1" bestFit="1" customWidth="1"/>
    <col min="10" max="10" width="5.7109375" style="1" customWidth="1"/>
    <col min="11" max="16382" width="32.140625" style="1"/>
    <col min="16383" max="16383" width="1.7109375" style="1" customWidth="1"/>
    <col min="16384" max="16384" width="17.7109375" style="1" customWidth="1"/>
  </cols>
  <sheetData>
    <row r="1" spans="1:11">
      <c r="A1" s="12" t="s">
        <v>238</v>
      </c>
      <c r="B1" s="12"/>
      <c r="C1" s="12"/>
      <c r="D1" s="12"/>
      <c r="E1" s="12"/>
      <c r="F1" s="12"/>
      <c r="G1" s="12"/>
      <c r="H1" s="12"/>
      <c r="I1" s="12"/>
      <c r="J1" s="12"/>
    </row>
    <row r="2" spans="1:11">
      <c r="A2" s="10" t="s">
        <v>350</v>
      </c>
      <c r="B2" s="10" t="s">
        <v>156</v>
      </c>
      <c r="C2" s="10" t="s">
        <v>157</v>
      </c>
      <c r="D2" s="10" t="s">
        <v>239</v>
      </c>
      <c r="E2" s="10" t="s">
        <v>159</v>
      </c>
      <c r="F2" s="10" t="s">
        <v>1684</v>
      </c>
      <c r="G2" s="10" t="s">
        <v>1685</v>
      </c>
      <c r="H2" s="10" t="s">
        <v>5367</v>
      </c>
      <c r="I2" s="10" t="s">
        <v>5366</v>
      </c>
      <c r="J2" s="10" t="s">
        <v>5677</v>
      </c>
    </row>
    <row r="3" spans="1:11">
      <c r="A3" s="11">
        <v>1</v>
      </c>
      <c r="B3" s="11" t="s">
        <v>240</v>
      </c>
      <c r="C3" s="11">
        <v>8</v>
      </c>
      <c r="D3" s="11" t="s">
        <v>160</v>
      </c>
      <c r="E3" s="11" t="s">
        <v>177</v>
      </c>
      <c r="F3" s="11" t="s">
        <v>1686</v>
      </c>
      <c r="G3" s="11" t="s">
        <v>1687</v>
      </c>
      <c r="H3" s="11" t="s">
        <v>5382</v>
      </c>
      <c r="I3" s="11"/>
      <c r="J3" s="11"/>
    </row>
    <row r="4" spans="1:11" ht="30">
      <c r="A4" s="11">
        <v>2</v>
      </c>
      <c r="B4" s="11" t="s">
        <v>1526</v>
      </c>
      <c r="C4" s="11">
        <v>6</v>
      </c>
      <c r="D4" s="11" t="s">
        <v>242</v>
      </c>
      <c r="E4" s="11"/>
      <c r="F4" s="11" t="s">
        <v>2294</v>
      </c>
      <c r="G4" s="11" t="s">
        <v>5697</v>
      </c>
      <c r="H4" s="11" t="s">
        <v>5384</v>
      </c>
      <c r="I4" s="11"/>
      <c r="J4" s="11"/>
    </row>
    <row r="5" spans="1:11" ht="30">
      <c r="A5" s="11">
        <v>3</v>
      </c>
      <c r="B5" s="11" t="s">
        <v>1527</v>
      </c>
      <c r="C5" s="11">
        <v>14</v>
      </c>
      <c r="D5" s="11" t="s">
        <v>242</v>
      </c>
      <c r="E5" s="11"/>
      <c r="F5" s="11" t="s">
        <v>2295</v>
      </c>
      <c r="G5" s="11" t="s">
        <v>5698</v>
      </c>
      <c r="H5" s="11" t="s">
        <v>5385</v>
      </c>
      <c r="I5" s="11" t="s">
        <v>5387</v>
      </c>
      <c r="J5" s="11"/>
    </row>
    <row r="6" spans="1:11" ht="30">
      <c r="A6" s="59">
        <v>4</v>
      </c>
      <c r="B6" s="59" t="s">
        <v>1528</v>
      </c>
      <c r="C6" s="59">
        <v>14</v>
      </c>
      <c r="D6" s="59" t="s">
        <v>242</v>
      </c>
      <c r="E6" s="59"/>
      <c r="F6" s="59" t="s">
        <v>2296</v>
      </c>
      <c r="G6" s="59" t="s">
        <v>5699</v>
      </c>
      <c r="H6" s="59" t="s">
        <v>5402</v>
      </c>
      <c r="I6" s="59"/>
      <c r="J6" s="59" t="s">
        <v>5388</v>
      </c>
      <c r="K6" s="31"/>
    </row>
    <row r="7" spans="1:11" ht="30">
      <c r="A7" s="59">
        <v>5</v>
      </c>
      <c r="B7" s="59" t="s">
        <v>1529</v>
      </c>
      <c r="C7" s="59">
        <v>14</v>
      </c>
      <c r="D7" s="59" t="s">
        <v>189</v>
      </c>
      <c r="E7" s="59"/>
      <c r="F7" s="59" t="s">
        <v>2297</v>
      </c>
      <c r="G7" s="59" t="s">
        <v>2298</v>
      </c>
      <c r="H7" s="59"/>
      <c r="I7" s="59"/>
      <c r="J7" s="59"/>
      <c r="K7" s="31"/>
    </row>
    <row r="8" spans="1:11" s="47" customFormat="1">
      <c r="A8" s="59">
        <v>6</v>
      </c>
      <c r="B8" s="59" t="s">
        <v>6731</v>
      </c>
      <c r="C8" s="59">
        <v>10</v>
      </c>
      <c r="D8" s="59" t="s">
        <v>242</v>
      </c>
      <c r="E8" s="59"/>
      <c r="F8" s="59" t="s">
        <v>6732</v>
      </c>
      <c r="G8" s="59" t="s">
        <v>6733</v>
      </c>
      <c r="H8" s="59"/>
      <c r="I8" s="59"/>
      <c r="J8" s="59"/>
      <c r="K8" s="31" t="s">
        <v>7001</v>
      </c>
    </row>
    <row r="9" spans="1:11">
      <c r="A9" s="59">
        <v>7</v>
      </c>
      <c r="B9" s="59" t="s">
        <v>1182</v>
      </c>
      <c r="C9" s="59">
        <v>12</v>
      </c>
      <c r="D9" s="59" t="s">
        <v>189</v>
      </c>
      <c r="E9" s="59" t="s">
        <v>5576</v>
      </c>
      <c r="F9" s="59" t="s">
        <v>1688</v>
      </c>
      <c r="G9" s="59" t="s">
        <v>1689</v>
      </c>
      <c r="H9" s="59"/>
      <c r="I9" s="59"/>
      <c r="J9" s="59"/>
      <c r="K9" s="31"/>
    </row>
    <row r="10" spans="1:11" ht="30">
      <c r="A10" s="59">
        <v>8</v>
      </c>
      <c r="B10" s="59" t="s">
        <v>1183</v>
      </c>
      <c r="C10" s="59">
        <v>30</v>
      </c>
      <c r="D10" s="59" t="s">
        <v>242</v>
      </c>
      <c r="E10" s="59" t="s">
        <v>5576</v>
      </c>
      <c r="F10" s="59" t="s">
        <v>1690</v>
      </c>
      <c r="G10" s="59" t="s">
        <v>1691</v>
      </c>
      <c r="H10" s="59"/>
      <c r="I10" s="59"/>
      <c r="J10" s="59"/>
      <c r="K10" s="31"/>
    </row>
    <row r="11" spans="1:11">
      <c r="A11" s="31"/>
      <c r="B11" s="31"/>
      <c r="C11" s="31"/>
      <c r="D11" s="31"/>
      <c r="E11" s="31"/>
      <c r="F11" s="31"/>
      <c r="G11" s="31"/>
      <c r="H11" s="31"/>
      <c r="I11" s="31"/>
      <c r="J11" s="31"/>
      <c r="K11" s="31"/>
    </row>
    <row r="12" spans="1:11">
      <c r="A12" s="31"/>
      <c r="B12" s="31"/>
      <c r="C12" s="31"/>
      <c r="D12" s="31"/>
      <c r="E12" s="31"/>
      <c r="F12" s="31"/>
      <c r="G12" s="31"/>
      <c r="H12" s="31"/>
      <c r="I12" s="31"/>
      <c r="J12" s="31"/>
      <c r="K12" s="31"/>
    </row>
    <row r="13" spans="1:11">
      <c r="A13" s="31"/>
      <c r="B13" s="31"/>
      <c r="C13" s="31"/>
      <c r="D13" s="31"/>
      <c r="E13" s="31"/>
      <c r="F13" s="31"/>
      <c r="G13" s="31"/>
      <c r="H13" s="31"/>
      <c r="I13" s="31"/>
      <c r="J13" s="31"/>
      <c r="K13" s="31"/>
    </row>
    <row r="14" spans="1:11">
      <c r="A14" s="31"/>
      <c r="B14" s="31"/>
      <c r="C14" s="31"/>
      <c r="D14" s="31"/>
      <c r="E14" s="31"/>
      <c r="F14" s="31"/>
      <c r="G14" s="31"/>
      <c r="H14" s="31"/>
      <c r="I14" s="31"/>
      <c r="J14" s="31"/>
      <c r="K14" s="31"/>
    </row>
    <row r="15" spans="1:11">
      <c r="A15" s="31"/>
      <c r="B15" s="31"/>
      <c r="C15" s="31"/>
      <c r="D15" s="31"/>
      <c r="E15" s="31"/>
      <c r="F15" s="31"/>
      <c r="G15" s="31"/>
      <c r="H15" s="31"/>
      <c r="I15" s="31"/>
      <c r="J15" s="31"/>
      <c r="K15" s="31"/>
    </row>
    <row r="16" spans="1:11">
      <c r="A16" s="31"/>
      <c r="B16" s="31"/>
      <c r="C16" s="31"/>
      <c r="D16" s="31"/>
      <c r="E16" s="31"/>
      <c r="F16" s="31"/>
      <c r="G16" s="31"/>
      <c r="H16" s="31"/>
      <c r="I16" s="31"/>
      <c r="J16" s="31"/>
      <c r="K16" s="31"/>
    </row>
    <row r="17" spans="1:11">
      <c r="A17" s="31"/>
      <c r="B17" s="31"/>
      <c r="C17" s="31"/>
      <c r="D17" s="31"/>
      <c r="E17" s="31"/>
      <c r="F17" s="31"/>
      <c r="G17" s="31"/>
      <c r="H17" s="31"/>
      <c r="I17" s="31"/>
      <c r="J17" s="31"/>
      <c r="K17" s="31"/>
    </row>
    <row r="18" spans="1:11">
      <c r="A18" s="31"/>
      <c r="B18" s="31"/>
      <c r="C18" s="31"/>
      <c r="D18" s="31"/>
      <c r="E18" s="31"/>
      <c r="F18" s="31"/>
      <c r="G18" s="31"/>
      <c r="H18" s="31"/>
      <c r="I18" s="31"/>
      <c r="J18" s="31"/>
      <c r="K18" s="31"/>
    </row>
    <row r="19" spans="1:11">
      <c r="A19" s="31"/>
      <c r="B19" s="31"/>
      <c r="C19" s="31"/>
      <c r="D19" s="31"/>
      <c r="E19" s="31"/>
      <c r="F19" s="31"/>
      <c r="G19" s="31"/>
      <c r="H19" s="31"/>
      <c r="I19" s="31"/>
      <c r="J19" s="31"/>
      <c r="K19" s="31"/>
    </row>
    <row r="20" spans="1:11">
      <c r="A20" s="31"/>
      <c r="B20" s="31"/>
      <c r="C20" s="31"/>
      <c r="D20" s="31"/>
      <c r="E20" s="31"/>
      <c r="F20" s="31"/>
      <c r="G20" s="31"/>
      <c r="H20" s="31"/>
      <c r="I20" s="31"/>
      <c r="J20" s="31"/>
      <c r="K20" s="31"/>
    </row>
    <row r="21" spans="1:11">
      <c r="A21" s="31"/>
      <c r="B21" s="31"/>
      <c r="C21" s="31"/>
      <c r="D21" s="31"/>
      <c r="E21" s="31"/>
      <c r="F21" s="31"/>
      <c r="G21" s="31"/>
      <c r="H21" s="31"/>
      <c r="I21" s="31"/>
      <c r="J21" s="31"/>
      <c r="K21" s="31"/>
    </row>
    <row r="22" spans="1:11">
      <c r="A22" s="31"/>
      <c r="B22" s="31"/>
      <c r="C22" s="31"/>
      <c r="D22" s="31"/>
      <c r="E22" s="31"/>
      <c r="F22" s="31"/>
      <c r="G22" s="31"/>
      <c r="H22" s="31"/>
      <c r="I22" s="31"/>
      <c r="J22" s="31"/>
      <c r="K22" s="31"/>
    </row>
    <row r="23" spans="1:11">
      <c r="A23" s="31"/>
      <c r="B23" s="31"/>
      <c r="C23" s="31"/>
      <c r="D23" s="31"/>
      <c r="E23" s="31"/>
      <c r="F23" s="31"/>
      <c r="G23" s="31"/>
      <c r="H23" s="31"/>
      <c r="I23" s="31"/>
      <c r="J23" s="31"/>
      <c r="K23" s="31"/>
    </row>
    <row r="24" spans="1:11">
      <c r="A24" s="31"/>
      <c r="B24" s="31"/>
      <c r="C24" s="31"/>
      <c r="D24" s="31"/>
      <c r="E24" s="31"/>
      <c r="F24" s="31"/>
      <c r="G24" s="31"/>
      <c r="H24" s="31"/>
      <c r="I24" s="31"/>
      <c r="J24" s="31"/>
      <c r="K24" s="31"/>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8CBE8-0F4F-47F8-AB4B-016285987FE7}">
  <sheetPr codeName="Sheet99"/>
  <dimension ref="A1:I38"/>
  <sheetViews>
    <sheetView workbookViewId="0">
      <selection activeCell="C22" sqref="C22"/>
    </sheetView>
  </sheetViews>
  <sheetFormatPr defaultColWidth="32.140625" defaultRowHeight="15"/>
  <cols>
    <col min="1" max="1" width="9.42578125" style="1" bestFit="1" customWidth="1"/>
    <col min="2" max="2" width="19.425781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9" width="5.28515625" style="1" bestFit="1" customWidth="1"/>
    <col min="10" max="16382" width="32.140625" style="1"/>
    <col min="16383" max="16383" width="1.7109375" style="1" customWidth="1"/>
    <col min="16384" max="16384" width="17.7109375" style="1" customWidth="1"/>
  </cols>
  <sheetData>
    <row r="1" spans="1:9">
      <c r="A1" s="12" t="s">
        <v>238</v>
      </c>
      <c r="B1" s="12"/>
      <c r="C1" s="12"/>
      <c r="D1" s="12"/>
      <c r="E1" s="12"/>
      <c r="F1" s="12"/>
      <c r="G1" s="12"/>
      <c r="H1" s="12"/>
      <c r="I1" s="12"/>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6</v>
      </c>
      <c r="D3" s="11" t="s">
        <v>160</v>
      </c>
      <c r="E3" s="11" t="s">
        <v>177</v>
      </c>
      <c r="F3" s="11" t="s">
        <v>1686</v>
      </c>
      <c r="G3" s="11" t="s">
        <v>1687</v>
      </c>
      <c r="H3" s="11" t="s">
        <v>5382</v>
      </c>
      <c r="I3" s="11"/>
    </row>
    <row r="4" spans="1:9" ht="30">
      <c r="A4" s="11">
        <v>2</v>
      </c>
      <c r="B4" s="11" t="s">
        <v>78</v>
      </c>
      <c r="C4" s="11">
        <v>4</v>
      </c>
      <c r="D4" s="11" t="s">
        <v>242</v>
      </c>
      <c r="E4" s="11"/>
      <c r="F4" s="11" t="s">
        <v>1707</v>
      </c>
      <c r="G4" s="11" t="s">
        <v>3368</v>
      </c>
      <c r="H4" s="11" t="s">
        <v>5384</v>
      </c>
      <c r="I4" s="11"/>
    </row>
    <row r="5" spans="1:9" ht="30">
      <c r="A5" s="11">
        <v>3</v>
      </c>
      <c r="B5" s="11" t="s">
        <v>89</v>
      </c>
      <c r="C5" s="11">
        <v>10</v>
      </c>
      <c r="D5" s="11" t="s">
        <v>242</v>
      </c>
      <c r="E5" s="11"/>
      <c r="F5" s="11" t="s">
        <v>1708</v>
      </c>
      <c r="G5" s="11" t="s">
        <v>3369</v>
      </c>
      <c r="H5" s="11" t="s">
        <v>5385</v>
      </c>
      <c r="I5" s="11"/>
    </row>
    <row r="6" spans="1:9" ht="30">
      <c r="A6" s="11">
        <v>4</v>
      </c>
      <c r="B6" s="11" t="s">
        <v>87</v>
      </c>
      <c r="C6" s="11">
        <v>14</v>
      </c>
      <c r="D6" s="11" t="s">
        <v>161</v>
      </c>
      <c r="E6" s="11" t="s">
        <v>1033</v>
      </c>
      <c r="F6" s="11" t="s">
        <v>2299</v>
      </c>
      <c r="G6" s="11" t="s">
        <v>3370</v>
      </c>
      <c r="H6" s="11" t="s">
        <v>5402</v>
      </c>
      <c r="I6" s="11"/>
    </row>
    <row r="7" spans="1:9" ht="30">
      <c r="A7" s="11">
        <v>5</v>
      </c>
      <c r="B7" s="11" t="s">
        <v>0</v>
      </c>
      <c r="C7" s="11">
        <v>1</v>
      </c>
      <c r="D7" s="11" t="s">
        <v>242</v>
      </c>
      <c r="E7" s="11"/>
      <c r="F7" s="11" t="s">
        <v>2300</v>
      </c>
      <c r="G7" s="11" t="s">
        <v>3371</v>
      </c>
      <c r="H7" s="11"/>
      <c r="I7" s="11"/>
    </row>
    <row r="8" spans="1:9" ht="120">
      <c r="A8" s="11">
        <v>6</v>
      </c>
      <c r="B8" s="11" t="s">
        <v>1</v>
      </c>
      <c r="C8" s="11">
        <v>1</v>
      </c>
      <c r="D8" s="11" t="s">
        <v>242</v>
      </c>
      <c r="E8" s="11"/>
      <c r="F8" s="11" t="s">
        <v>5534</v>
      </c>
      <c r="G8" s="11" t="s">
        <v>2317</v>
      </c>
      <c r="H8" s="11"/>
      <c r="I8" s="11"/>
    </row>
    <row r="9" spans="1:9" ht="30">
      <c r="A9" s="11">
        <v>7</v>
      </c>
      <c r="B9" s="11" t="s">
        <v>151</v>
      </c>
      <c r="C9" s="11">
        <v>7</v>
      </c>
      <c r="D9" s="11" t="s">
        <v>242</v>
      </c>
      <c r="E9" s="11"/>
      <c r="F9" s="11" t="s">
        <v>1694</v>
      </c>
      <c r="G9" s="11" t="s">
        <v>3372</v>
      </c>
      <c r="H9" s="11" t="s">
        <v>5451</v>
      </c>
      <c r="I9" s="11" t="s">
        <v>5387</v>
      </c>
    </row>
    <row r="10" spans="1:9" ht="30">
      <c r="A10" s="11">
        <v>8</v>
      </c>
      <c r="B10" s="11" t="s">
        <v>1530</v>
      </c>
      <c r="C10" s="11">
        <v>4</v>
      </c>
      <c r="D10" s="11" t="s">
        <v>242</v>
      </c>
      <c r="E10" s="11"/>
      <c r="F10" s="11" t="s">
        <v>2301</v>
      </c>
      <c r="G10" s="11" t="s">
        <v>3373</v>
      </c>
      <c r="H10" s="11" t="s">
        <v>5670</v>
      </c>
      <c r="I10" s="11" t="s">
        <v>5386</v>
      </c>
    </row>
    <row r="11" spans="1:9" ht="60">
      <c r="A11" s="11">
        <v>9</v>
      </c>
      <c r="B11" s="11" t="s">
        <v>1531</v>
      </c>
      <c r="C11" s="11">
        <v>1</v>
      </c>
      <c r="D11" s="11" t="s">
        <v>242</v>
      </c>
      <c r="E11" s="11"/>
      <c r="F11" s="11" t="s">
        <v>2302</v>
      </c>
      <c r="G11" s="11" t="s">
        <v>3374</v>
      </c>
      <c r="H11" s="11"/>
      <c r="I11" s="11"/>
    </row>
    <row r="12" spans="1:9" ht="30">
      <c r="A12" s="11">
        <v>10</v>
      </c>
      <c r="B12" s="11" t="s">
        <v>90</v>
      </c>
      <c r="C12" s="11">
        <v>10</v>
      </c>
      <c r="D12" s="11" t="s">
        <v>242</v>
      </c>
      <c r="E12" s="11"/>
      <c r="F12" s="11" t="s">
        <v>1761</v>
      </c>
      <c r="G12" s="11" t="s">
        <v>3375</v>
      </c>
      <c r="H12" s="11"/>
      <c r="I12" s="11"/>
    </row>
    <row r="13" spans="1:9" ht="30">
      <c r="A13" s="11">
        <v>11</v>
      </c>
      <c r="B13" s="11" t="s">
        <v>79</v>
      </c>
      <c r="C13" s="11">
        <v>4</v>
      </c>
      <c r="D13" s="11" t="s">
        <v>242</v>
      </c>
      <c r="E13" s="11"/>
      <c r="F13" s="11" t="s">
        <v>1715</v>
      </c>
      <c r="G13" s="11" t="s">
        <v>3376</v>
      </c>
      <c r="H13" s="11"/>
      <c r="I13" s="11"/>
    </row>
    <row r="14" spans="1:9">
      <c r="A14" s="11">
        <v>12</v>
      </c>
      <c r="B14" s="11" t="s">
        <v>47</v>
      </c>
      <c r="C14" s="11">
        <v>15</v>
      </c>
      <c r="D14" s="11" t="s">
        <v>242</v>
      </c>
      <c r="E14" s="11"/>
      <c r="F14" s="11" t="s">
        <v>1867</v>
      </c>
      <c r="G14" s="11" t="s">
        <v>5618</v>
      </c>
      <c r="H14" s="11"/>
      <c r="I14" s="11"/>
    </row>
    <row r="15" spans="1:9">
      <c r="A15" s="11">
        <v>13</v>
      </c>
      <c r="B15" s="11" t="s">
        <v>48</v>
      </c>
      <c r="C15" s="11">
        <v>15</v>
      </c>
      <c r="D15" s="11" t="s">
        <v>242</v>
      </c>
      <c r="E15" s="11"/>
      <c r="F15" s="11" t="s">
        <v>1868</v>
      </c>
      <c r="G15" s="11" t="s">
        <v>3377</v>
      </c>
      <c r="H15" s="11"/>
      <c r="I15" s="11"/>
    </row>
    <row r="16" spans="1:9">
      <c r="A16" s="11">
        <v>14</v>
      </c>
      <c r="B16" s="11" t="s">
        <v>49</v>
      </c>
      <c r="C16" s="11">
        <v>15</v>
      </c>
      <c r="D16" s="11" t="s">
        <v>242</v>
      </c>
      <c r="E16" s="11"/>
      <c r="F16" s="11" t="s">
        <v>1869</v>
      </c>
      <c r="G16" s="11" t="s">
        <v>3378</v>
      </c>
      <c r="H16" s="11"/>
      <c r="I16" s="11"/>
    </row>
    <row r="17" spans="1:9" ht="30">
      <c r="A17" s="11">
        <v>15</v>
      </c>
      <c r="B17" s="11" t="s">
        <v>50</v>
      </c>
      <c r="C17" s="11">
        <v>15</v>
      </c>
      <c r="D17" s="11" t="s">
        <v>242</v>
      </c>
      <c r="E17" s="11"/>
      <c r="F17" s="11" t="s">
        <v>1870</v>
      </c>
      <c r="G17" s="11" t="s">
        <v>5590</v>
      </c>
      <c r="H17" s="11"/>
      <c r="I17" s="11"/>
    </row>
    <row r="18" spans="1:9" ht="30">
      <c r="A18" s="11">
        <v>16</v>
      </c>
      <c r="B18" s="11" t="s">
        <v>112</v>
      </c>
      <c r="C18" s="11">
        <v>30</v>
      </c>
      <c r="D18" s="11" t="s">
        <v>242</v>
      </c>
      <c r="E18" s="11"/>
      <c r="F18" s="11" t="s">
        <v>1871</v>
      </c>
      <c r="G18" s="11" t="s">
        <v>3379</v>
      </c>
      <c r="H18" s="11"/>
      <c r="I18" s="11"/>
    </row>
    <row r="19" spans="1:9">
      <c r="A19" s="11">
        <v>17</v>
      </c>
      <c r="B19" s="11" t="s">
        <v>51</v>
      </c>
      <c r="C19" s="11">
        <v>15</v>
      </c>
      <c r="D19" s="11" t="s">
        <v>242</v>
      </c>
      <c r="E19" s="11"/>
      <c r="F19" s="11" t="s">
        <v>1872</v>
      </c>
      <c r="G19" s="11" t="s">
        <v>3380</v>
      </c>
      <c r="H19" s="11"/>
      <c r="I19" s="11"/>
    </row>
    <row r="20" spans="1:9">
      <c r="A20" s="11">
        <v>18</v>
      </c>
      <c r="B20" s="11" t="s">
        <v>52</v>
      </c>
      <c r="C20" s="11">
        <v>15</v>
      </c>
      <c r="D20" s="11" t="s">
        <v>242</v>
      </c>
      <c r="E20" s="11"/>
      <c r="F20" s="11" t="s">
        <v>1873</v>
      </c>
      <c r="G20" s="11" t="s">
        <v>3381</v>
      </c>
      <c r="H20" s="11"/>
      <c r="I20" s="11"/>
    </row>
    <row r="21" spans="1:9">
      <c r="A21" s="11">
        <v>19</v>
      </c>
      <c r="B21" s="11" t="s">
        <v>53</v>
      </c>
      <c r="C21" s="11">
        <v>15</v>
      </c>
      <c r="D21" s="11" t="s">
        <v>242</v>
      </c>
      <c r="E21" s="11"/>
      <c r="F21" s="11" t="s">
        <v>1874</v>
      </c>
      <c r="G21" s="11" t="s">
        <v>3382</v>
      </c>
      <c r="H21" s="11"/>
      <c r="I21" s="11"/>
    </row>
    <row r="22" spans="1:9" ht="30">
      <c r="A22" s="11">
        <v>20</v>
      </c>
      <c r="B22" s="11" t="s">
        <v>54</v>
      </c>
      <c r="C22" s="11">
        <v>15</v>
      </c>
      <c r="D22" s="11" t="s">
        <v>242</v>
      </c>
      <c r="E22" s="11"/>
      <c r="F22" s="11" t="s">
        <v>1875</v>
      </c>
      <c r="G22" s="11" t="s">
        <v>3383</v>
      </c>
      <c r="H22" s="11"/>
      <c r="I22" s="11"/>
    </row>
    <row r="23" spans="1:9" ht="30">
      <c r="A23" s="11">
        <v>21</v>
      </c>
      <c r="B23" s="11" t="s">
        <v>113</v>
      </c>
      <c r="C23" s="11">
        <v>30</v>
      </c>
      <c r="D23" s="11" t="s">
        <v>242</v>
      </c>
      <c r="E23" s="11"/>
      <c r="F23" s="11" t="s">
        <v>1876</v>
      </c>
      <c r="G23" s="11" t="s">
        <v>3384</v>
      </c>
      <c r="H23" s="11"/>
      <c r="I23" s="11"/>
    </row>
    <row r="24" spans="1:9" ht="30">
      <c r="A24" s="11">
        <v>22</v>
      </c>
      <c r="B24" s="11" t="s">
        <v>2</v>
      </c>
      <c r="C24" s="11">
        <v>1</v>
      </c>
      <c r="D24" s="11" t="s">
        <v>242</v>
      </c>
      <c r="E24" s="11"/>
      <c r="F24" s="11" t="s">
        <v>1696</v>
      </c>
      <c r="G24" s="11" t="s">
        <v>3385</v>
      </c>
      <c r="H24" s="11"/>
      <c r="I24" s="11"/>
    </row>
    <row r="25" spans="1:9" ht="30">
      <c r="A25" s="11">
        <v>23</v>
      </c>
      <c r="B25" s="11" t="s">
        <v>44</v>
      </c>
      <c r="C25" s="11">
        <v>15</v>
      </c>
      <c r="D25" s="11" t="s">
        <v>242</v>
      </c>
      <c r="E25" s="11"/>
      <c r="F25" s="11" t="s">
        <v>1697</v>
      </c>
      <c r="G25" s="11" t="s">
        <v>3386</v>
      </c>
      <c r="H25" s="11"/>
      <c r="I25" s="11"/>
    </row>
    <row r="26" spans="1:9" ht="30">
      <c r="A26" s="11">
        <v>24</v>
      </c>
      <c r="B26" s="11" t="s">
        <v>1532</v>
      </c>
      <c r="C26" s="11">
        <v>1</v>
      </c>
      <c r="D26" s="11" t="s">
        <v>242</v>
      </c>
      <c r="E26" s="11"/>
      <c r="F26" s="11" t="s">
        <v>2303</v>
      </c>
      <c r="G26" s="11" t="s">
        <v>3387</v>
      </c>
      <c r="H26" s="11"/>
      <c r="I26" s="11"/>
    </row>
    <row r="27" spans="1:9" ht="30">
      <c r="A27" s="11">
        <v>25</v>
      </c>
      <c r="B27" s="11" t="s">
        <v>1533</v>
      </c>
      <c r="C27" s="11">
        <v>8</v>
      </c>
      <c r="D27" s="11" t="s">
        <v>160</v>
      </c>
      <c r="E27" s="11" t="s">
        <v>177</v>
      </c>
      <c r="F27" s="11" t="s">
        <v>2304</v>
      </c>
      <c r="G27" s="11" t="s">
        <v>3388</v>
      </c>
      <c r="H27" s="11"/>
      <c r="I27" s="11"/>
    </row>
    <row r="28" spans="1:9" ht="30">
      <c r="A28" s="11">
        <v>26</v>
      </c>
      <c r="B28" s="11" t="s">
        <v>77</v>
      </c>
      <c r="C28" s="11">
        <v>8</v>
      </c>
      <c r="D28" s="11" t="s">
        <v>160</v>
      </c>
      <c r="E28" s="11" t="s">
        <v>177</v>
      </c>
      <c r="F28" s="11" t="s">
        <v>5532</v>
      </c>
      <c r="G28" s="11" t="s">
        <v>5533</v>
      </c>
      <c r="H28" s="11"/>
      <c r="I28" s="11"/>
    </row>
    <row r="29" spans="1:9" ht="30">
      <c r="A29" s="11">
        <v>27</v>
      </c>
      <c r="B29" s="11" t="s">
        <v>175</v>
      </c>
      <c r="C29" s="11">
        <v>1</v>
      </c>
      <c r="D29" s="11" t="s">
        <v>242</v>
      </c>
      <c r="E29" s="11"/>
      <c r="F29" s="11" t="s">
        <v>1879</v>
      </c>
      <c r="G29" s="11" t="s">
        <v>3389</v>
      </c>
      <c r="H29" s="11"/>
      <c r="I29" s="11"/>
    </row>
    <row r="30" spans="1:9" ht="45">
      <c r="A30" s="11">
        <v>28</v>
      </c>
      <c r="B30" s="11" t="s">
        <v>38</v>
      </c>
      <c r="C30" s="11">
        <v>1</v>
      </c>
      <c r="D30" s="11" t="s">
        <v>242</v>
      </c>
      <c r="E30" s="11"/>
      <c r="F30" s="11" t="s">
        <v>2305</v>
      </c>
      <c r="G30" s="11" t="s">
        <v>3390</v>
      </c>
      <c r="H30" s="11"/>
      <c r="I30" s="11"/>
    </row>
    <row r="31" spans="1:9" ht="30">
      <c r="A31" s="11">
        <v>29</v>
      </c>
      <c r="B31" s="11" t="s">
        <v>1534</v>
      </c>
      <c r="C31" s="11">
        <v>15</v>
      </c>
      <c r="D31" s="11" t="s">
        <v>242</v>
      </c>
      <c r="E31" s="11"/>
      <c r="F31" s="11" t="s">
        <v>2306</v>
      </c>
      <c r="G31" s="11" t="s">
        <v>3391</v>
      </c>
      <c r="H31" s="11"/>
      <c r="I31" s="11"/>
    </row>
    <row r="32" spans="1:9" ht="30">
      <c r="A32" s="11">
        <v>30</v>
      </c>
      <c r="B32" s="11" t="s">
        <v>1535</v>
      </c>
      <c r="C32" s="11">
        <v>1</v>
      </c>
      <c r="D32" s="11" t="s">
        <v>242</v>
      </c>
      <c r="E32" s="11"/>
      <c r="F32" s="11" t="s">
        <v>2307</v>
      </c>
      <c r="G32" s="11" t="s">
        <v>3392</v>
      </c>
      <c r="H32" s="11"/>
      <c r="I32" s="11"/>
    </row>
    <row r="33" spans="1:9" ht="30">
      <c r="A33" s="11">
        <v>31</v>
      </c>
      <c r="B33" s="11" t="s">
        <v>1536</v>
      </c>
      <c r="C33" s="11">
        <v>8</v>
      </c>
      <c r="D33" s="11" t="s">
        <v>160</v>
      </c>
      <c r="E33" s="11" t="s">
        <v>177</v>
      </c>
      <c r="F33" s="11" t="s">
        <v>2308</v>
      </c>
      <c r="G33" s="11" t="s">
        <v>3393</v>
      </c>
      <c r="H33" s="11"/>
      <c r="I33" s="11"/>
    </row>
    <row r="34" spans="1:9" ht="30">
      <c r="A34" s="11">
        <v>32</v>
      </c>
      <c r="B34" s="11" t="s">
        <v>1537</v>
      </c>
      <c r="C34" s="11">
        <v>8</v>
      </c>
      <c r="D34" s="11" t="s">
        <v>160</v>
      </c>
      <c r="E34" s="11" t="s">
        <v>177</v>
      </c>
      <c r="F34" s="11" t="s">
        <v>2309</v>
      </c>
      <c r="G34" s="11" t="s">
        <v>3394</v>
      </c>
      <c r="H34" s="11"/>
      <c r="I34" s="11"/>
    </row>
    <row r="35" spans="1:9" ht="30">
      <c r="A35" s="11">
        <v>33</v>
      </c>
      <c r="B35" s="11" t="s">
        <v>105</v>
      </c>
      <c r="C35" s="11">
        <v>10</v>
      </c>
      <c r="D35" s="11" t="s">
        <v>242</v>
      </c>
      <c r="E35" s="11"/>
      <c r="F35" s="11" t="s">
        <v>1716</v>
      </c>
      <c r="G35" s="11" t="s">
        <v>3395</v>
      </c>
      <c r="H35" s="11"/>
      <c r="I35" s="11"/>
    </row>
    <row r="36" spans="1:9" ht="30">
      <c r="A36" s="11">
        <v>34</v>
      </c>
      <c r="B36" s="11" t="s">
        <v>163</v>
      </c>
      <c r="C36" s="11">
        <v>14</v>
      </c>
      <c r="D36" s="11" t="s">
        <v>161</v>
      </c>
      <c r="E36" s="11" t="s">
        <v>1033</v>
      </c>
      <c r="F36" s="11" t="s">
        <v>1717</v>
      </c>
      <c r="G36" s="11" t="s">
        <v>3396</v>
      </c>
      <c r="H36" s="11"/>
      <c r="I36" s="11"/>
    </row>
    <row r="37" spans="1:9">
      <c r="A37" s="11">
        <v>35</v>
      </c>
      <c r="B37" s="11" t="s">
        <v>1182</v>
      </c>
      <c r="C37" s="11">
        <v>12</v>
      </c>
      <c r="D37" s="11" t="s">
        <v>189</v>
      </c>
      <c r="E37" s="11" t="s">
        <v>5576</v>
      </c>
      <c r="F37" s="11" t="s">
        <v>1688</v>
      </c>
      <c r="G37" s="11" t="s">
        <v>1689</v>
      </c>
      <c r="H37" s="11"/>
      <c r="I37" s="11"/>
    </row>
    <row r="38" spans="1:9" ht="30">
      <c r="A38" s="11">
        <v>36</v>
      </c>
      <c r="B38" s="11" t="s">
        <v>1183</v>
      </c>
      <c r="C38" s="11">
        <v>30</v>
      </c>
      <c r="D38" s="11" t="s">
        <v>242</v>
      </c>
      <c r="E38" s="11" t="s">
        <v>5576</v>
      </c>
      <c r="F38" s="11" t="s">
        <v>1690</v>
      </c>
      <c r="G38" s="11" t="s">
        <v>1691</v>
      </c>
      <c r="H38" s="11"/>
      <c r="I38" s="11"/>
    </row>
  </sheetData>
  <autoFilter ref="A1:E38" xr:uid="{8748CBE8-0F4F-47F8-AB4B-016285987FE7}"/>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E8263-3523-4DA8-8D60-64D23F8126FB}">
  <sheetPr codeName="Sheet100"/>
  <dimension ref="A1:J43"/>
  <sheetViews>
    <sheetView workbookViewId="0">
      <selection activeCell="C22" sqref="C22"/>
    </sheetView>
  </sheetViews>
  <sheetFormatPr defaultColWidth="32.140625" defaultRowHeight="15"/>
  <cols>
    <col min="1" max="1" width="7.140625" style="1" bestFit="1" customWidth="1"/>
    <col min="2" max="2" width="19.42578125" style="1" bestFit="1" customWidth="1"/>
    <col min="3" max="3" width="4.5703125" style="1" bestFit="1" customWidth="1"/>
    <col min="4" max="4" width="9" style="1" bestFit="1" customWidth="1"/>
    <col min="5" max="5" width="24.42578125" style="1" bestFit="1" customWidth="1"/>
    <col min="6" max="6" width="36.42578125" style="1" bestFit="1" customWidth="1"/>
    <col min="7" max="7" width="57.140625" style="1" bestFit="1" customWidth="1"/>
    <col min="8" max="8" width="5.28515625" style="1" bestFit="1" customWidth="1"/>
    <col min="9" max="16381" width="32.140625" style="1"/>
    <col min="16382" max="16382" width="1.7109375" style="1" customWidth="1"/>
    <col min="16383" max="16384" width="17.7109375" style="1" customWidth="1"/>
  </cols>
  <sheetData>
    <row r="1" spans="1:8">
      <c r="A1" s="12" t="s">
        <v>238</v>
      </c>
      <c r="B1" s="12"/>
      <c r="C1" s="12"/>
      <c r="D1" s="12"/>
      <c r="E1" s="12"/>
      <c r="F1" s="12"/>
      <c r="G1" s="12"/>
      <c r="H1" s="12"/>
    </row>
    <row r="2" spans="1:8">
      <c r="A2" s="10" t="s">
        <v>350</v>
      </c>
      <c r="B2" s="10" t="s">
        <v>156</v>
      </c>
      <c r="C2" s="10" t="s">
        <v>157</v>
      </c>
      <c r="D2" s="10" t="s">
        <v>239</v>
      </c>
      <c r="E2" s="10" t="s">
        <v>159</v>
      </c>
      <c r="F2" s="10" t="s">
        <v>1684</v>
      </c>
      <c r="G2" s="10" t="s">
        <v>1685</v>
      </c>
      <c r="H2" s="10" t="s">
        <v>5367</v>
      </c>
    </row>
    <row r="3" spans="1:8">
      <c r="A3" s="11">
        <v>1</v>
      </c>
      <c r="B3" s="11" t="s">
        <v>240</v>
      </c>
      <c r="C3" s="11">
        <v>6</v>
      </c>
      <c r="D3" s="11" t="s">
        <v>160</v>
      </c>
      <c r="E3" s="11" t="s">
        <v>177</v>
      </c>
      <c r="F3" s="11" t="s">
        <v>1686</v>
      </c>
      <c r="G3" s="11" t="s">
        <v>1687</v>
      </c>
      <c r="H3" s="11" t="s">
        <v>5382</v>
      </c>
    </row>
    <row r="4" spans="1:8" ht="30">
      <c r="A4" s="11">
        <v>2</v>
      </c>
      <c r="B4" s="11" t="s">
        <v>151</v>
      </c>
      <c r="C4" s="11">
        <v>7</v>
      </c>
      <c r="D4" s="11" t="s">
        <v>242</v>
      </c>
      <c r="E4" s="11"/>
      <c r="F4" s="11" t="s">
        <v>1694</v>
      </c>
      <c r="G4" s="11" t="s">
        <v>3372</v>
      </c>
      <c r="H4" s="11" t="s">
        <v>5384</v>
      </c>
    </row>
    <row r="5" spans="1:8" ht="30">
      <c r="A5" s="11">
        <v>3</v>
      </c>
      <c r="B5" s="11" t="s">
        <v>1530</v>
      </c>
      <c r="C5" s="11">
        <v>4</v>
      </c>
      <c r="D5" s="11" t="s">
        <v>242</v>
      </c>
      <c r="E5" s="11"/>
      <c r="F5" s="11" t="s">
        <v>2301</v>
      </c>
      <c r="G5" s="11" t="s">
        <v>3373</v>
      </c>
      <c r="H5" s="11" t="s">
        <v>5385</v>
      </c>
    </row>
    <row r="6" spans="1:8" ht="60">
      <c r="A6" s="11">
        <v>4</v>
      </c>
      <c r="B6" s="11" t="s">
        <v>1531</v>
      </c>
      <c r="C6" s="11">
        <v>1</v>
      </c>
      <c r="D6" s="11" t="s">
        <v>242</v>
      </c>
      <c r="E6" s="11"/>
      <c r="F6" s="11" t="s">
        <v>2302</v>
      </c>
      <c r="G6" s="11" t="s">
        <v>3374</v>
      </c>
      <c r="H6" s="11"/>
    </row>
    <row r="7" spans="1:8">
      <c r="A7" s="11">
        <v>5</v>
      </c>
      <c r="B7" s="11" t="s">
        <v>47</v>
      </c>
      <c r="C7" s="11">
        <v>15</v>
      </c>
      <c r="D7" s="11" t="s">
        <v>242</v>
      </c>
      <c r="E7" s="11"/>
      <c r="F7" s="11" t="s">
        <v>1867</v>
      </c>
      <c r="G7" s="11" t="s">
        <v>5618</v>
      </c>
      <c r="H7" s="11"/>
    </row>
    <row r="8" spans="1:8">
      <c r="A8" s="11">
        <v>6</v>
      </c>
      <c r="B8" s="11" t="s">
        <v>183</v>
      </c>
      <c r="C8" s="11">
        <v>15</v>
      </c>
      <c r="D8" s="11" t="s">
        <v>242</v>
      </c>
      <c r="E8" s="11"/>
      <c r="F8" s="11" t="s">
        <v>1868</v>
      </c>
      <c r="G8" s="11" t="s">
        <v>3377</v>
      </c>
      <c r="H8" s="11"/>
    </row>
    <row r="9" spans="1:8">
      <c r="A9" s="11">
        <v>7</v>
      </c>
      <c r="B9" s="11" t="s">
        <v>184</v>
      </c>
      <c r="C9" s="11">
        <v>15</v>
      </c>
      <c r="D9" s="11" t="s">
        <v>242</v>
      </c>
      <c r="E9" s="11"/>
      <c r="F9" s="11" t="s">
        <v>1869</v>
      </c>
      <c r="G9" s="11" t="s">
        <v>3378</v>
      </c>
      <c r="H9" s="11"/>
    </row>
    <row r="10" spans="1:8" ht="30">
      <c r="A10" s="11">
        <v>8</v>
      </c>
      <c r="B10" s="11" t="s">
        <v>50</v>
      </c>
      <c r="C10" s="11">
        <v>15</v>
      </c>
      <c r="D10" s="11" t="s">
        <v>242</v>
      </c>
      <c r="E10" s="11"/>
      <c r="F10" s="11" t="s">
        <v>1870</v>
      </c>
      <c r="G10" s="11" t="s">
        <v>5590</v>
      </c>
      <c r="H10" s="11"/>
    </row>
    <row r="11" spans="1:8" ht="30">
      <c r="A11" s="11">
        <v>9</v>
      </c>
      <c r="B11" s="11" t="s">
        <v>112</v>
      </c>
      <c r="C11" s="11">
        <v>30</v>
      </c>
      <c r="D11" s="11" t="s">
        <v>242</v>
      </c>
      <c r="E11" s="11"/>
      <c r="F11" s="11" t="s">
        <v>1871</v>
      </c>
      <c r="G11" s="11" t="s">
        <v>3379</v>
      </c>
      <c r="H11" s="11"/>
    </row>
    <row r="12" spans="1:8">
      <c r="A12" s="11">
        <v>10</v>
      </c>
      <c r="B12" s="11" t="s">
        <v>51</v>
      </c>
      <c r="C12" s="11">
        <v>15</v>
      </c>
      <c r="D12" s="11" t="s">
        <v>242</v>
      </c>
      <c r="E12" s="11"/>
      <c r="F12" s="11" t="s">
        <v>1872</v>
      </c>
      <c r="G12" s="11" t="s">
        <v>3380</v>
      </c>
      <c r="H12" s="11"/>
    </row>
    <row r="13" spans="1:8">
      <c r="A13" s="11">
        <v>11</v>
      </c>
      <c r="B13" s="11" t="s">
        <v>185</v>
      </c>
      <c r="C13" s="11">
        <v>15</v>
      </c>
      <c r="D13" s="11" t="s">
        <v>242</v>
      </c>
      <c r="E13" s="11"/>
      <c r="F13" s="11" t="s">
        <v>1873</v>
      </c>
      <c r="G13" s="11" t="s">
        <v>3381</v>
      </c>
      <c r="H13" s="11"/>
    </row>
    <row r="14" spans="1:8">
      <c r="A14" s="11">
        <v>12</v>
      </c>
      <c r="B14" s="11" t="s">
        <v>186</v>
      </c>
      <c r="C14" s="11">
        <v>15</v>
      </c>
      <c r="D14" s="11" t="s">
        <v>242</v>
      </c>
      <c r="E14" s="11"/>
      <c r="F14" s="11" t="s">
        <v>1874</v>
      </c>
      <c r="G14" s="11" t="s">
        <v>3382</v>
      </c>
      <c r="H14" s="11"/>
    </row>
    <row r="15" spans="1:8" ht="30">
      <c r="A15" s="11">
        <v>13</v>
      </c>
      <c r="B15" s="11" t="s">
        <v>54</v>
      </c>
      <c r="C15" s="11">
        <v>15</v>
      </c>
      <c r="D15" s="11" t="s">
        <v>242</v>
      </c>
      <c r="E15" s="11"/>
      <c r="F15" s="11" t="s">
        <v>1875</v>
      </c>
      <c r="G15" s="11" t="s">
        <v>3383</v>
      </c>
      <c r="H15" s="11"/>
    </row>
    <row r="16" spans="1:8" ht="30">
      <c r="A16" s="11">
        <v>14</v>
      </c>
      <c r="B16" s="11" t="s">
        <v>113</v>
      </c>
      <c r="C16" s="11">
        <v>30</v>
      </c>
      <c r="D16" s="11" t="s">
        <v>242</v>
      </c>
      <c r="E16" s="11"/>
      <c r="F16" s="11" t="s">
        <v>1876</v>
      </c>
      <c r="G16" s="11" t="s">
        <v>3384</v>
      </c>
      <c r="H16" s="11"/>
    </row>
    <row r="17" spans="1:8" ht="30">
      <c r="A17" s="11">
        <v>15</v>
      </c>
      <c r="B17" s="11" t="s">
        <v>2</v>
      </c>
      <c r="C17" s="11">
        <v>1</v>
      </c>
      <c r="D17" s="11" t="s">
        <v>242</v>
      </c>
      <c r="E17" s="11"/>
      <c r="F17" s="11" t="s">
        <v>1696</v>
      </c>
      <c r="G17" s="11" t="s">
        <v>3385</v>
      </c>
      <c r="H17" s="11"/>
    </row>
    <row r="18" spans="1:8" ht="30">
      <c r="A18" s="11">
        <v>16</v>
      </c>
      <c r="B18" s="11" t="s">
        <v>44</v>
      </c>
      <c r="C18" s="11">
        <v>15</v>
      </c>
      <c r="D18" s="11" t="s">
        <v>242</v>
      </c>
      <c r="E18" s="11"/>
      <c r="F18" s="11" t="s">
        <v>1697</v>
      </c>
      <c r="G18" s="11" t="s">
        <v>3386</v>
      </c>
      <c r="H18" s="11"/>
    </row>
    <row r="19" spans="1:8" ht="30">
      <c r="A19" s="11">
        <v>17</v>
      </c>
      <c r="B19" s="11" t="s">
        <v>1524</v>
      </c>
      <c r="C19" s="11">
        <v>1</v>
      </c>
      <c r="D19" s="11" t="s">
        <v>242</v>
      </c>
      <c r="E19" s="11"/>
      <c r="F19" s="11" t="s">
        <v>2303</v>
      </c>
      <c r="G19" s="11" t="s">
        <v>3387</v>
      </c>
      <c r="H19" s="11"/>
    </row>
    <row r="20" spans="1:8" ht="30">
      <c r="A20" s="11">
        <v>18</v>
      </c>
      <c r="B20" s="11" t="s">
        <v>1525</v>
      </c>
      <c r="C20" s="11">
        <v>8</v>
      </c>
      <c r="D20" s="11" t="s">
        <v>160</v>
      </c>
      <c r="E20" s="11" t="s">
        <v>177</v>
      </c>
      <c r="F20" s="11" t="s">
        <v>2304</v>
      </c>
      <c r="G20" s="11" t="s">
        <v>3388</v>
      </c>
      <c r="H20" s="11"/>
    </row>
    <row r="21" spans="1:8" ht="30">
      <c r="A21" s="11">
        <v>19</v>
      </c>
      <c r="B21" s="11" t="s">
        <v>77</v>
      </c>
      <c r="C21" s="11">
        <v>8</v>
      </c>
      <c r="D21" s="11" t="s">
        <v>160</v>
      </c>
      <c r="E21" s="11" t="s">
        <v>177</v>
      </c>
      <c r="F21" s="11" t="s">
        <v>5532</v>
      </c>
      <c r="G21" s="11" t="s">
        <v>5533</v>
      </c>
      <c r="H21" s="11"/>
    </row>
    <row r="22" spans="1:8" ht="30">
      <c r="A22" s="11">
        <v>20</v>
      </c>
      <c r="B22" s="11" t="s">
        <v>78</v>
      </c>
      <c r="C22" s="11">
        <v>4</v>
      </c>
      <c r="D22" s="11" t="s">
        <v>242</v>
      </c>
      <c r="E22" s="11"/>
      <c r="F22" s="11" t="s">
        <v>1707</v>
      </c>
      <c r="G22" s="11" t="s">
        <v>3368</v>
      </c>
      <c r="H22" s="11"/>
    </row>
    <row r="23" spans="1:8" ht="45">
      <c r="A23" s="11">
        <v>21</v>
      </c>
      <c r="B23" s="11" t="s">
        <v>38</v>
      </c>
      <c r="C23" s="11">
        <v>1</v>
      </c>
      <c r="D23" s="11" t="s">
        <v>242</v>
      </c>
      <c r="E23" s="11"/>
      <c r="F23" s="11" t="s">
        <v>2305</v>
      </c>
      <c r="G23" s="11" t="s">
        <v>3390</v>
      </c>
      <c r="H23" s="11"/>
    </row>
    <row r="24" spans="1:8" ht="30">
      <c r="A24" s="11">
        <v>22</v>
      </c>
      <c r="B24" s="11" t="s">
        <v>1534</v>
      </c>
      <c r="C24" s="11">
        <v>15</v>
      </c>
      <c r="D24" s="11" t="s">
        <v>242</v>
      </c>
      <c r="E24" s="11"/>
      <c r="F24" s="11" t="s">
        <v>2306</v>
      </c>
      <c r="G24" s="11" t="s">
        <v>3391</v>
      </c>
      <c r="H24" s="11"/>
    </row>
    <row r="25" spans="1:8" ht="30">
      <c r="A25" s="11">
        <v>23</v>
      </c>
      <c r="B25" s="11" t="s">
        <v>1535</v>
      </c>
      <c r="C25" s="11">
        <v>1</v>
      </c>
      <c r="D25" s="11" t="s">
        <v>242</v>
      </c>
      <c r="E25" s="11"/>
      <c r="F25" s="11" t="s">
        <v>2307</v>
      </c>
      <c r="G25" s="11" t="s">
        <v>3392</v>
      </c>
      <c r="H25" s="11"/>
    </row>
    <row r="26" spans="1:8" ht="30">
      <c r="A26" s="11">
        <v>24</v>
      </c>
      <c r="B26" s="11" t="s">
        <v>1536</v>
      </c>
      <c r="C26" s="11">
        <v>8</v>
      </c>
      <c r="D26" s="11" t="s">
        <v>160</v>
      </c>
      <c r="E26" s="11" t="s">
        <v>177</v>
      </c>
      <c r="F26" s="11" t="s">
        <v>2308</v>
      </c>
      <c r="G26" s="11" t="s">
        <v>3393</v>
      </c>
      <c r="H26" s="11"/>
    </row>
    <row r="27" spans="1:8" ht="30">
      <c r="A27" s="11">
        <v>25</v>
      </c>
      <c r="B27" s="11" t="s">
        <v>1537</v>
      </c>
      <c r="C27" s="11">
        <v>8</v>
      </c>
      <c r="D27" s="11" t="s">
        <v>160</v>
      </c>
      <c r="E27" s="11" t="s">
        <v>177</v>
      </c>
      <c r="F27" s="11" t="s">
        <v>2309</v>
      </c>
      <c r="G27" s="11" t="s">
        <v>3394</v>
      </c>
      <c r="H27" s="11"/>
    </row>
    <row r="28" spans="1:8" ht="30">
      <c r="A28" s="11">
        <v>26</v>
      </c>
      <c r="B28" s="11" t="s">
        <v>168</v>
      </c>
      <c r="C28" s="11">
        <v>10</v>
      </c>
      <c r="D28" s="11" t="s">
        <v>242</v>
      </c>
      <c r="E28" s="11"/>
      <c r="F28" s="11" t="s">
        <v>2310</v>
      </c>
      <c r="G28" s="11" t="s">
        <v>3397</v>
      </c>
      <c r="H28" s="11"/>
    </row>
    <row r="29" spans="1:8" ht="30">
      <c r="A29" s="11">
        <v>27</v>
      </c>
      <c r="B29" s="11" t="s">
        <v>169</v>
      </c>
      <c r="C29" s="11">
        <v>14</v>
      </c>
      <c r="D29" s="11" t="s">
        <v>161</v>
      </c>
      <c r="E29" s="11" t="s">
        <v>1033</v>
      </c>
      <c r="F29" s="11" t="s">
        <v>2311</v>
      </c>
      <c r="G29" s="11" t="s">
        <v>3398</v>
      </c>
      <c r="H29" s="11"/>
    </row>
    <row r="30" spans="1:8" ht="30">
      <c r="A30" s="11">
        <v>28</v>
      </c>
      <c r="B30" s="11" t="s">
        <v>105</v>
      </c>
      <c r="C30" s="11">
        <v>10</v>
      </c>
      <c r="D30" s="11" t="s">
        <v>242</v>
      </c>
      <c r="E30" s="11"/>
      <c r="F30" s="11" t="s">
        <v>1716</v>
      </c>
      <c r="G30" s="11" t="s">
        <v>3395</v>
      </c>
      <c r="H30" s="11"/>
    </row>
    <row r="31" spans="1:8" ht="30">
      <c r="A31" s="11">
        <v>29</v>
      </c>
      <c r="B31" s="11" t="s">
        <v>163</v>
      </c>
      <c r="C31" s="11">
        <v>14</v>
      </c>
      <c r="D31" s="11" t="s">
        <v>161</v>
      </c>
      <c r="E31" s="11" t="s">
        <v>1033</v>
      </c>
      <c r="F31" s="11" t="s">
        <v>1717</v>
      </c>
      <c r="G31" s="11" t="s">
        <v>3396</v>
      </c>
      <c r="H31" s="11"/>
    </row>
    <row r="32" spans="1:8">
      <c r="A32" s="11">
        <v>35</v>
      </c>
      <c r="B32" s="11" t="s">
        <v>1182</v>
      </c>
      <c r="C32" s="11">
        <v>12</v>
      </c>
      <c r="D32" s="11" t="s">
        <v>189</v>
      </c>
      <c r="E32" s="11" t="s">
        <v>5576</v>
      </c>
      <c r="F32" s="11" t="s">
        <v>1688</v>
      </c>
      <c r="G32" s="11" t="s">
        <v>1689</v>
      </c>
      <c r="H32" s="11"/>
    </row>
    <row r="33" spans="1:10" ht="30">
      <c r="A33" s="11">
        <v>36</v>
      </c>
      <c r="B33" s="11" t="s">
        <v>1183</v>
      </c>
      <c r="C33" s="11">
        <v>30</v>
      </c>
      <c r="D33" s="11" t="s">
        <v>242</v>
      </c>
      <c r="E33" s="11" t="s">
        <v>5576</v>
      </c>
      <c r="F33" s="11" t="s">
        <v>1690</v>
      </c>
      <c r="G33" s="11" t="s">
        <v>1691</v>
      </c>
      <c r="H33" s="11"/>
    </row>
    <row r="34" spans="1:10">
      <c r="G34"/>
      <c r="H34"/>
      <c r="I34"/>
      <c r="J34"/>
    </row>
    <row r="35" spans="1:10">
      <c r="G35"/>
      <c r="H35"/>
      <c r="I35"/>
      <c r="J35"/>
    </row>
    <row r="36" spans="1:10">
      <c r="G36"/>
      <c r="H36"/>
      <c r="I36"/>
      <c r="J36"/>
    </row>
    <row r="37" spans="1:10">
      <c r="G37"/>
      <c r="H37"/>
      <c r="I37"/>
      <c r="J37"/>
    </row>
    <row r="38" spans="1:10">
      <c r="G38"/>
      <c r="H38"/>
      <c r="I38"/>
      <c r="J38"/>
    </row>
    <row r="39" spans="1:10">
      <c r="G39"/>
      <c r="H39"/>
      <c r="I39"/>
      <c r="J39"/>
    </row>
    <row r="40" spans="1:10">
      <c r="G40"/>
      <c r="H40"/>
      <c r="I40"/>
      <c r="J40"/>
    </row>
    <row r="41" spans="1:10">
      <c r="G41"/>
      <c r="H41"/>
      <c r="I41"/>
      <c r="J41"/>
    </row>
    <row r="42" spans="1:10">
      <c r="G42"/>
      <c r="H42"/>
      <c r="I42"/>
      <c r="J42"/>
    </row>
    <row r="43" spans="1:10">
      <c r="G43"/>
      <c r="H43"/>
      <c r="I43"/>
      <c r="J43"/>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F4226-977F-4607-8F79-6877FC3D3407}">
  <sheetPr codeName="Sheet101"/>
  <dimension ref="A1:L43"/>
  <sheetViews>
    <sheetView topLeftCell="A22" workbookViewId="0">
      <selection activeCell="C22" sqref="C22"/>
    </sheetView>
  </sheetViews>
  <sheetFormatPr defaultColWidth="7" defaultRowHeight="15"/>
  <cols>
    <col min="1" max="1" width="9.42578125" style="1" bestFit="1" customWidth="1"/>
    <col min="2" max="2" width="12.140625" style="1" bestFit="1" customWidth="1"/>
    <col min="3" max="3" width="4.5703125" style="1" bestFit="1" customWidth="1"/>
    <col min="4" max="4" width="9" style="1" bestFit="1" customWidth="1"/>
    <col min="5" max="5" width="24.42578125" style="1" bestFit="1" customWidth="1"/>
    <col min="6" max="6" width="20.140625" style="1" bestFit="1" customWidth="1"/>
    <col min="7" max="7" width="55.140625" style="1" bestFit="1" customWidth="1"/>
    <col min="8" max="9" width="5.28515625" style="1" bestFit="1" customWidth="1"/>
    <col min="10" max="16384" width="7" style="1"/>
  </cols>
  <sheetData>
    <row r="1" spans="1:10">
      <c r="A1" s="12" t="s">
        <v>238</v>
      </c>
      <c r="B1" s="12"/>
      <c r="C1" s="12"/>
      <c r="D1" s="12"/>
      <c r="E1" s="12"/>
      <c r="F1" s="12"/>
      <c r="G1" s="12"/>
      <c r="H1" s="12"/>
      <c r="I1" s="12"/>
      <c r="J1" s="12"/>
    </row>
    <row r="2" spans="1:10">
      <c r="A2" s="10" t="s">
        <v>350</v>
      </c>
      <c r="B2" s="10" t="s">
        <v>156</v>
      </c>
      <c r="C2" s="10" t="s">
        <v>157</v>
      </c>
      <c r="D2" s="10" t="s">
        <v>239</v>
      </c>
      <c r="E2" s="10" t="s">
        <v>159</v>
      </c>
      <c r="F2" s="10" t="s">
        <v>1684</v>
      </c>
      <c r="G2" s="10" t="s">
        <v>1685</v>
      </c>
      <c r="H2" s="10" t="s">
        <v>5367</v>
      </c>
      <c r="I2" s="10" t="s">
        <v>5366</v>
      </c>
      <c r="J2" s="10" t="s">
        <v>5677</v>
      </c>
    </row>
    <row r="3" spans="1:10">
      <c r="A3" s="11">
        <v>1</v>
      </c>
      <c r="B3" s="11" t="s">
        <v>240</v>
      </c>
      <c r="C3" s="11">
        <v>6</v>
      </c>
      <c r="D3" s="11" t="s">
        <v>160</v>
      </c>
      <c r="E3" s="11" t="s">
        <v>177</v>
      </c>
      <c r="F3" s="11" t="s">
        <v>1686</v>
      </c>
      <c r="G3" s="11" t="s">
        <v>1687</v>
      </c>
      <c r="H3" s="11" t="s">
        <v>5382</v>
      </c>
      <c r="I3" s="11"/>
      <c r="J3" s="11"/>
    </row>
    <row r="4" spans="1:10" ht="30">
      <c r="A4" s="11">
        <v>2</v>
      </c>
      <c r="B4" s="11" t="s">
        <v>78</v>
      </c>
      <c r="C4" s="11">
        <v>4</v>
      </c>
      <c r="D4" s="11" t="s">
        <v>242</v>
      </c>
      <c r="E4" s="11"/>
      <c r="F4" s="11" t="s">
        <v>1707</v>
      </c>
      <c r="G4" s="11" t="s">
        <v>3399</v>
      </c>
      <c r="H4" s="11" t="s">
        <v>5384</v>
      </c>
      <c r="I4" s="11"/>
      <c r="J4" s="11"/>
    </row>
    <row r="5" spans="1:10" ht="30">
      <c r="A5" s="11">
        <v>3</v>
      </c>
      <c r="B5" s="11" t="s">
        <v>89</v>
      </c>
      <c r="C5" s="11">
        <v>10</v>
      </c>
      <c r="D5" s="11" t="s">
        <v>242</v>
      </c>
      <c r="E5" s="11"/>
      <c r="F5" s="11" t="s">
        <v>1722</v>
      </c>
      <c r="G5" s="11" t="s">
        <v>3400</v>
      </c>
      <c r="H5" s="11" t="s">
        <v>5385</v>
      </c>
      <c r="I5" s="11"/>
      <c r="J5" s="11"/>
    </row>
    <row r="6" spans="1:10" ht="30">
      <c r="A6" s="11">
        <v>4</v>
      </c>
      <c r="B6" s="11" t="s">
        <v>87</v>
      </c>
      <c r="C6" s="11">
        <v>14</v>
      </c>
      <c r="D6" s="11" t="s">
        <v>161</v>
      </c>
      <c r="E6" s="11" t="s">
        <v>1033</v>
      </c>
      <c r="F6" s="11" t="s">
        <v>2312</v>
      </c>
      <c r="G6" s="11" t="s">
        <v>3401</v>
      </c>
      <c r="H6" s="11" t="s">
        <v>5402</v>
      </c>
      <c r="I6" s="11"/>
      <c r="J6" s="11"/>
    </row>
    <row r="7" spans="1:10" ht="30">
      <c r="A7" s="11">
        <v>5</v>
      </c>
      <c r="B7" s="11" t="s">
        <v>0</v>
      </c>
      <c r="C7" s="11">
        <v>1</v>
      </c>
      <c r="D7" s="11" t="s">
        <v>242</v>
      </c>
      <c r="E7" s="11"/>
      <c r="F7" s="11" t="s">
        <v>1724</v>
      </c>
      <c r="G7" s="11" t="s">
        <v>3402</v>
      </c>
      <c r="H7" s="11"/>
      <c r="I7" s="11"/>
      <c r="J7" s="11"/>
    </row>
    <row r="8" spans="1:10" ht="30">
      <c r="A8" s="11">
        <v>6</v>
      </c>
      <c r="B8" s="11" t="s">
        <v>151</v>
      </c>
      <c r="C8" s="11">
        <v>7</v>
      </c>
      <c r="D8" s="11" t="s">
        <v>242</v>
      </c>
      <c r="E8" s="11"/>
      <c r="F8" s="11" t="s">
        <v>1694</v>
      </c>
      <c r="G8" s="11" t="s">
        <v>3218</v>
      </c>
      <c r="H8" s="11"/>
      <c r="I8" s="11" t="s">
        <v>5387</v>
      </c>
      <c r="J8" s="11"/>
    </row>
    <row r="9" spans="1:10" ht="120">
      <c r="A9" s="11">
        <v>7</v>
      </c>
      <c r="B9" s="11" t="s">
        <v>1</v>
      </c>
      <c r="C9" s="11">
        <v>1</v>
      </c>
      <c r="D9" s="11" t="s">
        <v>242</v>
      </c>
      <c r="E9" s="11"/>
      <c r="F9" s="11" t="s">
        <v>1760</v>
      </c>
      <c r="G9" s="11" t="s">
        <v>2317</v>
      </c>
      <c r="H9" s="11"/>
      <c r="I9" s="11"/>
      <c r="J9" s="11"/>
    </row>
    <row r="10" spans="1:10" ht="240">
      <c r="A10" s="11">
        <v>8</v>
      </c>
      <c r="B10" s="11" t="s">
        <v>2</v>
      </c>
      <c r="C10" s="11">
        <v>1</v>
      </c>
      <c r="D10" s="11" t="s">
        <v>242</v>
      </c>
      <c r="E10" s="11"/>
      <c r="F10" s="11" t="s">
        <v>1696</v>
      </c>
      <c r="G10" s="11" t="s">
        <v>3403</v>
      </c>
      <c r="H10" s="11" t="s">
        <v>5451</v>
      </c>
      <c r="I10" s="11"/>
      <c r="J10" s="11" t="s">
        <v>5388</v>
      </c>
    </row>
    <row r="11" spans="1:10" ht="30">
      <c r="A11" s="11">
        <v>9</v>
      </c>
      <c r="B11" s="11" t="s">
        <v>44</v>
      </c>
      <c r="C11" s="11">
        <v>15</v>
      </c>
      <c r="D11" s="11" t="s">
        <v>242</v>
      </c>
      <c r="E11" s="11"/>
      <c r="F11" s="11" t="s">
        <v>1697</v>
      </c>
      <c r="G11" s="11" t="s">
        <v>3404</v>
      </c>
      <c r="H11" s="11" t="s">
        <v>5670</v>
      </c>
      <c r="I11" s="11"/>
      <c r="J11" s="11" t="s">
        <v>5396</v>
      </c>
    </row>
    <row r="12" spans="1:10" ht="120">
      <c r="A12" s="11">
        <v>10</v>
      </c>
      <c r="B12" s="11" t="s">
        <v>170</v>
      </c>
      <c r="C12" s="11">
        <v>1</v>
      </c>
      <c r="D12" s="11" t="s">
        <v>242</v>
      </c>
      <c r="E12" s="11"/>
      <c r="F12" s="11" t="s">
        <v>2205</v>
      </c>
      <c r="G12" s="11" t="s">
        <v>3405</v>
      </c>
      <c r="H12" s="11"/>
      <c r="I12" s="11"/>
      <c r="J12" s="11"/>
    </row>
    <row r="13" spans="1:10" ht="30">
      <c r="A13" s="11">
        <v>11</v>
      </c>
      <c r="B13" s="11" t="s">
        <v>3</v>
      </c>
      <c r="C13" s="11">
        <v>1</v>
      </c>
      <c r="D13" s="11" t="s">
        <v>242</v>
      </c>
      <c r="E13" s="11"/>
      <c r="F13" s="11" t="s">
        <v>2097</v>
      </c>
      <c r="G13" s="11" t="s">
        <v>3406</v>
      </c>
      <c r="H13" s="11" t="s">
        <v>5671</v>
      </c>
      <c r="I13" s="11"/>
      <c r="J13" s="11"/>
    </row>
    <row r="14" spans="1:10" ht="60">
      <c r="A14" s="11">
        <v>12</v>
      </c>
      <c r="B14" s="11" t="s">
        <v>121</v>
      </c>
      <c r="C14" s="11">
        <v>20</v>
      </c>
      <c r="D14" s="11" t="s">
        <v>242</v>
      </c>
      <c r="E14" s="11"/>
      <c r="F14" s="11" t="s">
        <v>2313</v>
      </c>
      <c r="G14" s="11" t="s">
        <v>2314</v>
      </c>
      <c r="H14" s="11"/>
      <c r="I14" s="11"/>
      <c r="J14" s="11"/>
    </row>
    <row r="15" spans="1:10" ht="30">
      <c r="A15" s="11">
        <v>13</v>
      </c>
      <c r="B15" s="11" t="s">
        <v>67</v>
      </c>
      <c r="C15" s="11">
        <v>8</v>
      </c>
      <c r="D15" s="11" t="s">
        <v>160</v>
      </c>
      <c r="E15" s="11" t="s">
        <v>177</v>
      </c>
      <c r="F15" s="11" t="s">
        <v>2098</v>
      </c>
      <c r="G15" s="11" t="s">
        <v>3224</v>
      </c>
      <c r="H15" s="11"/>
      <c r="I15" s="11"/>
      <c r="J15" s="11"/>
    </row>
    <row r="16" spans="1:10" ht="30">
      <c r="A16" s="11">
        <v>14</v>
      </c>
      <c r="B16" s="11" t="s">
        <v>68</v>
      </c>
      <c r="C16" s="11">
        <v>8</v>
      </c>
      <c r="D16" s="11" t="s">
        <v>160</v>
      </c>
      <c r="E16" s="11" t="s">
        <v>177</v>
      </c>
      <c r="F16" s="11" t="s">
        <v>2099</v>
      </c>
      <c r="G16" s="11" t="s">
        <v>3225</v>
      </c>
      <c r="H16" s="11"/>
      <c r="I16" s="11"/>
      <c r="J16" s="11"/>
    </row>
    <row r="17" spans="1:10" ht="30">
      <c r="A17" s="11">
        <v>15</v>
      </c>
      <c r="B17" s="11" t="s">
        <v>69</v>
      </c>
      <c r="C17" s="11">
        <v>8</v>
      </c>
      <c r="D17" s="11" t="s">
        <v>160</v>
      </c>
      <c r="E17" s="11" t="s">
        <v>177</v>
      </c>
      <c r="F17" s="11" t="s">
        <v>2100</v>
      </c>
      <c r="G17" s="11" t="s">
        <v>3226</v>
      </c>
      <c r="H17" s="11"/>
      <c r="I17" s="11"/>
      <c r="J17" s="11"/>
    </row>
    <row r="18" spans="1:10" ht="30">
      <c r="A18" s="11">
        <v>16</v>
      </c>
      <c r="B18" s="11" t="s">
        <v>70</v>
      </c>
      <c r="C18" s="11">
        <v>8</v>
      </c>
      <c r="D18" s="11" t="s">
        <v>160</v>
      </c>
      <c r="E18" s="11" t="s">
        <v>177</v>
      </c>
      <c r="F18" s="11" t="s">
        <v>2101</v>
      </c>
      <c r="G18" s="11" t="s">
        <v>3227</v>
      </c>
      <c r="H18" s="11"/>
      <c r="I18" s="11"/>
      <c r="J18" s="11"/>
    </row>
    <row r="19" spans="1:10" ht="30">
      <c r="A19" s="11">
        <v>17</v>
      </c>
      <c r="B19" s="11" t="s">
        <v>77</v>
      </c>
      <c r="C19" s="11">
        <v>8</v>
      </c>
      <c r="D19" s="11" t="s">
        <v>160</v>
      </c>
      <c r="E19" s="11" t="s">
        <v>177</v>
      </c>
      <c r="F19" s="11" t="s">
        <v>1751</v>
      </c>
      <c r="G19" s="11" t="s">
        <v>3407</v>
      </c>
      <c r="H19" s="11"/>
      <c r="I19" s="11"/>
      <c r="J19" s="11"/>
    </row>
    <row r="20" spans="1:10" ht="30">
      <c r="A20" s="11">
        <v>18</v>
      </c>
      <c r="B20" s="11" t="s">
        <v>35</v>
      </c>
      <c r="C20" s="11">
        <v>1</v>
      </c>
      <c r="D20" s="11" t="s">
        <v>242</v>
      </c>
      <c r="E20" s="11"/>
      <c r="F20" s="11" t="s">
        <v>2194</v>
      </c>
      <c r="G20" s="11" t="s">
        <v>3408</v>
      </c>
      <c r="H20" s="11"/>
      <c r="I20" s="11"/>
      <c r="J20" s="11"/>
    </row>
    <row r="21" spans="1:10" ht="30">
      <c r="A21" s="53">
        <v>19</v>
      </c>
      <c r="B21" s="11" t="s">
        <v>171</v>
      </c>
      <c r="C21" s="11">
        <v>1</v>
      </c>
      <c r="D21" s="11" t="s">
        <v>242</v>
      </c>
      <c r="E21" s="11"/>
      <c r="F21" s="11" t="s">
        <v>2206</v>
      </c>
      <c r="G21" s="11" t="s">
        <v>3409</v>
      </c>
      <c r="H21" s="11"/>
      <c r="I21" s="11"/>
      <c r="J21" s="11"/>
    </row>
    <row r="22" spans="1:10" ht="30">
      <c r="A22" s="53">
        <v>20</v>
      </c>
      <c r="B22" s="11" t="s">
        <v>164</v>
      </c>
      <c r="C22" s="11">
        <v>8</v>
      </c>
      <c r="D22" s="11" t="s">
        <v>160</v>
      </c>
      <c r="E22" s="11" t="s">
        <v>177</v>
      </c>
      <c r="F22" s="11" t="s">
        <v>2207</v>
      </c>
      <c r="G22" s="11" t="s">
        <v>3410</v>
      </c>
      <c r="H22" s="11"/>
      <c r="I22" s="11"/>
      <c r="J22" s="11"/>
    </row>
    <row r="23" spans="1:10" ht="30">
      <c r="A23" s="53">
        <v>21</v>
      </c>
      <c r="B23" s="11" t="s">
        <v>172</v>
      </c>
      <c r="C23" s="11">
        <v>1</v>
      </c>
      <c r="D23" s="11" t="s">
        <v>242</v>
      </c>
      <c r="E23" s="11"/>
      <c r="F23" s="11" t="s">
        <v>2208</v>
      </c>
      <c r="G23" s="11" t="s">
        <v>3411</v>
      </c>
      <c r="H23" s="11"/>
      <c r="I23" s="11"/>
      <c r="J23" s="11"/>
    </row>
    <row r="24" spans="1:10" ht="30">
      <c r="A24" s="53">
        <v>22</v>
      </c>
      <c r="B24" s="11" t="s">
        <v>165</v>
      </c>
      <c r="C24" s="11">
        <v>8</v>
      </c>
      <c r="D24" s="11" t="s">
        <v>160</v>
      </c>
      <c r="E24" s="11" t="s">
        <v>177</v>
      </c>
      <c r="F24" s="11" t="s">
        <v>2209</v>
      </c>
      <c r="G24" s="11" t="s">
        <v>3412</v>
      </c>
      <c r="H24" s="11"/>
      <c r="I24" s="11"/>
      <c r="J24" s="11"/>
    </row>
    <row r="25" spans="1:10" ht="60">
      <c r="A25" s="53">
        <v>23</v>
      </c>
      <c r="B25" s="11" t="s">
        <v>166</v>
      </c>
      <c r="C25" s="11">
        <v>4</v>
      </c>
      <c r="D25" s="11" t="s">
        <v>242</v>
      </c>
      <c r="E25" s="11"/>
      <c r="F25" s="11" t="s">
        <v>2315</v>
      </c>
      <c r="G25" s="11" t="s">
        <v>2316</v>
      </c>
      <c r="H25" s="11"/>
      <c r="I25" s="11"/>
      <c r="J25" s="11"/>
    </row>
    <row r="26" spans="1:10" ht="30">
      <c r="A26" s="53">
        <v>24</v>
      </c>
      <c r="B26" s="11" t="s">
        <v>175</v>
      </c>
      <c r="C26" s="11">
        <v>1</v>
      </c>
      <c r="D26" s="11" t="s">
        <v>242</v>
      </c>
      <c r="E26" s="11"/>
      <c r="F26" s="11" t="s">
        <v>1724</v>
      </c>
      <c r="G26" s="11" t="s">
        <v>3413</v>
      </c>
      <c r="H26" s="11"/>
      <c r="I26" s="11"/>
      <c r="J26" s="11"/>
    </row>
    <row r="27" spans="1:10" ht="30">
      <c r="A27" s="53">
        <v>25</v>
      </c>
      <c r="B27" s="11" t="s">
        <v>167</v>
      </c>
      <c r="C27" s="11">
        <v>30</v>
      </c>
      <c r="D27" s="11" t="s">
        <v>242</v>
      </c>
      <c r="E27" s="11"/>
      <c r="F27" s="11" t="s">
        <v>2210</v>
      </c>
      <c r="G27" s="11" t="s">
        <v>3414</v>
      </c>
      <c r="H27" s="11"/>
      <c r="I27" s="11"/>
      <c r="J27" s="11"/>
    </row>
    <row r="28" spans="1:10" ht="30">
      <c r="A28" s="53">
        <v>26</v>
      </c>
      <c r="B28" s="11" t="s">
        <v>173</v>
      </c>
      <c r="C28" s="11">
        <v>1</v>
      </c>
      <c r="D28" s="11" t="s">
        <v>242</v>
      </c>
      <c r="E28" s="11"/>
      <c r="F28" s="11" t="s">
        <v>2211</v>
      </c>
      <c r="G28" s="11" t="s">
        <v>3415</v>
      </c>
      <c r="H28" s="11"/>
      <c r="I28" s="11"/>
      <c r="J28" s="11"/>
    </row>
    <row r="29" spans="1:10" ht="30">
      <c r="A29" s="53">
        <v>27</v>
      </c>
      <c r="B29" s="11" t="s">
        <v>105</v>
      </c>
      <c r="C29" s="11">
        <v>10</v>
      </c>
      <c r="D29" s="11" t="s">
        <v>242</v>
      </c>
      <c r="E29" s="11"/>
      <c r="F29" s="11" t="s">
        <v>1716</v>
      </c>
      <c r="G29" s="11" t="s">
        <v>3416</v>
      </c>
      <c r="H29" s="11"/>
      <c r="I29" s="11"/>
      <c r="J29" s="11"/>
    </row>
    <row r="30" spans="1:10" ht="30">
      <c r="A30" s="53">
        <v>28</v>
      </c>
      <c r="B30" s="11" t="s">
        <v>163</v>
      </c>
      <c r="C30" s="11">
        <v>14</v>
      </c>
      <c r="D30" s="11" t="s">
        <v>161</v>
      </c>
      <c r="E30" s="11" t="s">
        <v>1033</v>
      </c>
      <c r="F30" s="11" t="s">
        <v>1717</v>
      </c>
      <c r="G30" s="11" t="s">
        <v>3417</v>
      </c>
      <c r="H30" s="11"/>
      <c r="I30" s="11"/>
      <c r="J30" s="11"/>
    </row>
    <row r="31" spans="1:10">
      <c r="A31" s="53">
        <v>29</v>
      </c>
      <c r="B31" s="11" t="s">
        <v>1182</v>
      </c>
      <c r="C31" s="11">
        <v>12</v>
      </c>
      <c r="D31" s="11" t="s">
        <v>189</v>
      </c>
      <c r="E31" s="11" t="s">
        <v>5576</v>
      </c>
      <c r="F31" s="11" t="s">
        <v>1688</v>
      </c>
      <c r="G31" s="11" t="s">
        <v>1689</v>
      </c>
      <c r="H31" s="11"/>
      <c r="I31" s="11"/>
      <c r="J31" s="11"/>
    </row>
    <row r="32" spans="1:10" ht="30">
      <c r="A32" s="53">
        <v>30</v>
      </c>
      <c r="B32" s="11" t="s">
        <v>1183</v>
      </c>
      <c r="C32" s="11">
        <v>30</v>
      </c>
      <c r="D32" s="11" t="s">
        <v>242</v>
      </c>
      <c r="E32" s="11" t="s">
        <v>5576</v>
      </c>
      <c r="F32" s="11" t="s">
        <v>1690</v>
      </c>
      <c r="G32" s="11" t="s">
        <v>1691</v>
      </c>
      <c r="H32" s="11"/>
      <c r="I32" s="11"/>
      <c r="J32" s="11"/>
    </row>
    <row r="33" spans="6:12">
      <c r="G33"/>
      <c r="H33"/>
      <c r="I33"/>
      <c r="J33"/>
      <c r="K33"/>
      <c r="L33"/>
    </row>
    <row r="34" spans="6:12">
      <c r="G34"/>
      <c r="H34"/>
      <c r="I34"/>
      <c r="J34"/>
      <c r="K34"/>
      <c r="L34"/>
    </row>
    <row r="35" spans="6:12">
      <c r="F35" s="1" t="s">
        <v>1291</v>
      </c>
      <c r="H35"/>
      <c r="I35"/>
    </row>
    <row r="36" spans="6:12">
      <c r="H36"/>
      <c r="I36"/>
    </row>
    <row r="37" spans="6:12">
      <c r="H37"/>
      <c r="I37"/>
    </row>
    <row r="38" spans="6:12">
      <c r="H38"/>
      <c r="I38"/>
    </row>
    <row r="39" spans="6:12">
      <c r="H39"/>
      <c r="I39"/>
    </row>
    <row r="40" spans="6:12">
      <c r="H40"/>
      <c r="I40"/>
    </row>
    <row r="41" spans="6:12">
      <c r="H41"/>
      <c r="I41"/>
    </row>
    <row r="42" spans="6:12">
      <c r="H42"/>
      <c r="I42"/>
    </row>
    <row r="43" spans="6:12">
      <c r="H43"/>
      <c r="I43"/>
    </row>
  </sheetData>
  <autoFilter ref="A1:E32" xr:uid="{691F4226-977F-4607-8F79-6877FC3D3407}"/>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1FB73-B000-4E6C-A4FF-C3C0D03AC953}">
  <sheetPr codeName="Sheet3"/>
  <dimension ref="A1:K43"/>
  <sheetViews>
    <sheetView topLeftCell="A4"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9" width="5.28515625" style="1" bestFit="1" customWidth="1"/>
    <col min="10" max="16382" width="32.140625" style="1"/>
    <col min="16383" max="16383" width="1.7109375" style="1" customWidth="1"/>
    <col min="16384" max="16384" width="17.7109375" style="1" customWidth="1"/>
  </cols>
  <sheetData>
    <row r="1" spans="1:9" ht="30">
      <c r="A1" s="12" t="s">
        <v>188</v>
      </c>
      <c r="B1" s="12"/>
      <c r="C1" s="12"/>
      <c r="D1" s="12"/>
      <c r="E1" s="12"/>
      <c r="F1" s="12"/>
      <c r="G1" s="12"/>
      <c r="H1" s="12"/>
      <c r="I1" s="12"/>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8</v>
      </c>
      <c r="D3" s="11" t="s">
        <v>160</v>
      </c>
      <c r="E3" s="11" t="s">
        <v>177</v>
      </c>
      <c r="F3" s="11" t="s">
        <v>1686</v>
      </c>
      <c r="G3" s="11" t="s">
        <v>1687</v>
      </c>
      <c r="H3" s="11" t="s">
        <v>5382</v>
      </c>
      <c r="I3" s="11"/>
    </row>
    <row r="4" spans="1:9" ht="30">
      <c r="A4" s="11">
        <v>2</v>
      </c>
      <c r="B4" s="11" t="s">
        <v>151</v>
      </c>
      <c r="C4" s="11">
        <v>7</v>
      </c>
      <c r="D4" s="11" t="s">
        <v>158</v>
      </c>
      <c r="E4" s="11"/>
      <c r="F4" s="11" t="s">
        <v>1694</v>
      </c>
      <c r="G4" s="11" t="s">
        <v>3218</v>
      </c>
      <c r="H4" s="11" t="s">
        <v>5384</v>
      </c>
      <c r="I4" s="11"/>
    </row>
    <row r="5" spans="1:9" ht="225">
      <c r="A5" s="11">
        <v>3</v>
      </c>
      <c r="B5" s="11" t="s">
        <v>2</v>
      </c>
      <c r="C5" s="11">
        <v>1</v>
      </c>
      <c r="D5" s="11" t="s">
        <v>158</v>
      </c>
      <c r="E5" s="11"/>
      <c r="F5" s="11" t="s">
        <v>1696</v>
      </c>
      <c r="G5" s="11" t="s">
        <v>3418</v>
      </c>
      <c r="H5" s="11" t="s">
        <v>5385</v>
      </c>
      <c r="I5" s="11" t="s">
        <v>5387</v>
      </c>
    </row>
    <row r="6" spans="1:9" ht="30">
      <c r="A6" s="11">
        <v>4</v>
      </c>
      <c r="B6" s="11" t="s">
        <v>44</v>
      </c>
      <c r="C6" s="11">
        <v>15</v>
      </c>
      <c r="D6" s="11" t="s">
        <v>158</v>
      </c>
      <c r="E6" s="11"/>
      <c r="F6" s="11" t="s">
        <v>1697</v>
      </c>
      <c r="G6" s="11" t="s">
        <v>3404</v>
      </c>
      <c r="H6" s="11" t="s">
        <v>5402</v>
      </c>
      <c r="I6" s="11" t="s">
        <v>5386</v>
      </c>
    </row>
    <row r="7" spans="1:9" ht="120">
      <c r="A7" s="11">
        <v>5</v>
      </c>
      <c r="B7" s="11" t="s">
        <v>170</v>
      </c>
      <c r="C7" s="11">
        <v>1</v>
      </c>
      <c r="D7" s="11" t="s">
        <v>158</v>
      </c>
      <c r="E7" s="11"/>
      <c r="F7" s="11" t="s">
        <v>2205</v>
      </c>
      <c r="G7" s="11" t="s">
        <v>3405</v>
      </c>
      <c r="H7" s="11" t="s">
        <v>5451</v>
      </c>
      <c r="I7" s="11"/>
    </row>
    <row r="8" spans="1:9" ht="30">
      <c r="A8" s="11">
        <v>6</v>
      </c>
      <c r="B8" s="11" t="s">
        <v>3</v>
      </c>
      <c r="C8" s="11">
        <v>1</v>
      </c>
      <c r="D8" s="11" t="s">
        <v>158</v>
      </c>
      <c r="E8" s="11"/>
      <c r="F8" s="11" t="s">
        <v>2097</v>
      </c>
      <c r="G8" s="11" t="s">
        <v>3406</v>
      </c>
      <c r="H8" s="11"/>
      <c r="I8" s="11"/>
    </row>
    <row r="9" spans="1:9" ht="30">
      <c r="A9" s="11">
        <v>7</v>
      </c>
      <c r="B9" s="11" t="s">
        <v>121</v>
      </c>
      <c r="C9" s="11">
        <v>20</v>
      </c>
      <c r="D9" s="11" t="s">
        <v>158</v>
      </c>
      <c r="E9" s="11"/>
      <c r="F9" s="11" t="s">
        <v>2096</v>
      </c>
      <c r="G9" s="11" t="s">
        <v>3419</v>
      </c>
      <c r="H9" s="11"/>
      <c r="I9" s="11"/>
    </row>
    <row r="10" spans="1:9" ht="30">
      <c r="A10" s="11">
        <v>8</v>
      </c>
      <c r="B10" s="11" t="s">
        <v>67</v>
      </c>
      <c r="C10" s="11">
        <v>8</v>
      </c>
      <c r="D10" s="11" t="s">
        <v>160</v>
      </c>
      <c r="E10" s="11" t="s">
        <v>177</v>
      </c>
      <c r="F10" s="11" t="s">
        <v>2098</v>
      </c>
      <c r="G10" s="11" t="s">
        <v>3224</v>
      </c>
      <c r="H10" s="11"/>
      <c r="I10" s="11"/>
    </row>
    <row r="11" spans="1:9" ht="30">
      <c r="A11" s="11">
        <v>9</v>
      </c>
      <c r="B11" s="11" t="s">
        <v>68</v>
      </c>
      <c r="C11" s="11">
        <v>8</v>
      </c>
      <c r="D11" s="11" t="s">
        <v>160</v>
      </c>
      <c r="E11" s="11" t="s">
        <v>177</v>
      </c>
      <c r="F11" s="11" t="s">
        <v>2099</v>
      </c>
      <c r="G11" s="11" t="s">
        <v>3225</v>
      </c>
      <c r="H11" s="11"/>
      <c r="I11" s="11"/>
    </row>
    <row r="12" spans="1:9" ht="30">
      <c r="A12" s="11">
        <v>10</v>
      </c>
      <c r="B12" s="11" t="s">
        <v>69</v>
      </c>
      <c r="C12" s="11">
        <v>8</v>
      </c>
      <c r="D12" s="11" t="s">
        <v>160</v>
      </c>
      <c r="E12" s="11" t="s">
        <v>177</v>
      </c>
      <c r="F12" s="11" t="s">
        <v>2100</v>
      </c>
      <c r="G12" s="11" t="s">
        <v>3226</v>
      </c>
      <c r="H12" s="11"/>
      <c r="I12" s="11"/>
    </row>
    <row r="13" spans="1:9" ht="30">
      <c r="A13" s="11">
        <v>11</v>
      </c>
      <c r="B13" s="11" t="s">
        <v>70</v>
      </c>
      <c r="C13" s="11">
        <v>8</v>
      </c>
      <c r="D13" s="11" t="s">
        <v>160</v>
      </c>
      <c r="E13" s="11" t="s">
        <v>177</v>
      </c>
      <c r="F13" s="11" t="s">
        <v>2101</v>
      </c>
      <c r="G13" s="11" t="s">
        <v>3227</v>
      </c>
      <c r="H13" s="11"/>
      <c r="I13" s="11"/>
    </row>
    <row r="14" spans="1:9" ht="30">
      <c r="A14" s="11">
        <v>12</v>
      </c>
      <c r="B14" s="11" t="s">
        <v>77</v>
      </c>
      <c r="C14" s="11">
        <v>8</v>
      </c>
      <c r="D14" s="11" t="s">
        <v>160</v>
      </c>
      <c r="E14" s="11" t="s">
        <v>177</v>
      </c>
      <c r="F14" s="11" t="s">
        <v>1751</v>
      </c>
      <c r="G14" s="11" t="s">
        <v>3407</v>
      </c>
      <c r="H14" s="11"/>
      <c r="I14" s="11"/>
    </row>
    <row r="15" spans="1:9" ht="30">
      <c r="A15" s="11">
        <v>13</v>
      </c>
      <c r="B15" s="11" t="s">
        <v>35</v>
      </c>
      <c r="C15" s="11">
        <v>1</v>
      </c>
      <c r="D15" s="11" t="s">
        <v>158</v>
      </c>
      <c r="E15" s="11"/>
      <c r="F15" s="11" t="s">
        <v>2194</v>
      </c>
      <c r="G15" s="11" t="s">
        <v>3408</v>
      </c>
      <c r="H15" s="11"/>
      <c r="I15" s="11"/>
    </row>
    <row r="16" spans="1:9" ht="30">
      <c r="A16" s="11">
        <v>14</v>
      </c>
      <c r="B16" s="11" t="s">
        <v>171</v>
      </c>
      <c r="C16" s="11">
        <v>1</v>
      </c>
      <c r="D16" s="11" t="s">
        <v>158</v>
      </c>
      <c r="E16" s="11"/>
      <c r="F16" s="11" t="s">
        <v>2206</v>
      </c>
      <c r="G16" s="11" t="s">
        <v>3409</v>
      </c>
      <c r="H16" s="11"/>
      <c r="I16" s="11"/>
    </row>
    <row r="17" spans="1:11" ht="30">
      <c r="A17" s="11">
        <v>15</v>
      </c>
      <c r="B17" s="11" t="s">
        <v>164</v>
      </c>
      <c r="C17" s="11">
        <v>8</v>
      </c>
      <c r="D17" s="11" t="s">
        <v>160</v>
      </c>
      <c r="E17" s="11" t="s">
        <v>177</v>
      </c>
      <c r="F17" s="11" t="s">
        <v>2207</v>
      </c>
      <c r="G17" s="11" t="s">
        <v>3410</v>
      </c>
      <c r="H17" s="11"/>
      <c r="I17" s="11"/>
    </row>
    <row r="18" spans="1:11" ht="30">
      <c r="A18" s="11">
        <v>16</v>
      </c>
      <c r="B18" s="11" t="s">
        <v>172</v>
      </c>
      <c r="C18" s="11">
        <v>1</v>
      </c>
      <c r="D18" s="11" t="s">
        <v>158</v>
      </c>
      <c r="E18" s="11"/>
      <c r="F18" s="11" t="s">
        <v>2208</v>
      </c>
      <c r="G18" s="11" t="s">
        <v>3411</v>
      </c>
      <c r="H18" s="11"/>
      <c r="I18" s="11"/>
    </row>
    <row r="19" spans="1:11" ht="30">
      <c r="A19" s="11">
        <v>17</v>
      </c>
      <c r="B19" s="11" t="s">
        <v>165</v>
      </c>
      <c r="C19" s="11">
        <v>8</v>
      </c>
      <c r="D19" s="11" t="s">
        <v>160</v>
      </c>
      <c r="E19" s="11" t="s">
        <v>177</v>
      </c>
      <c r="F19" s="11" t="s">
        <v>2209</v>
      </c>
      <c r="G19" s="11" t="s">
        <v>3412</v>
      </c>
      <c r="H19" s="11"/>
      <c r="I19" s="11"/>
    </row>
    <row r="20" spans="1:11" ht="30">
      <c r="A20" s="11">
        <v>18</v>
      </c>
      <c r="B20" s="11" t="s">
        <v>0</v>
      </c>
      <c r="C20" s="11">
        <v>1</v>
      </c>
      <c r="D20" s="11" t="s">
        <v>158</v>
      </c>
      <c r="E20" s="11"/>
      <c r="F20" s="11" t="s">
        <v>1724</v>
      </c>
      <c r="G20" s="11" t="s">
        <v>3413</v>
      </c>
      <c r="H20" s="11"/>
      <c r="I20" s="11"/>
    </row>
    <row r="21" spans="1:11" ht="30">
      <c r="A21" s="11">
        <v>19</v>
      </c>
      <c r="B21" s="11" t="s">
        <v>166</v>
      </c>
      <c r="C21" s="11">
        <v>4</v>
      </c>
      <c r="D21" s="11" t="s">
        <v>158</v>
      </c>
      <c r="E21" s="11"/>
      <c r="F21" s="11" t="s">
        <v>2210</v>
      </c>
      <c r="G21" s="11" t="s">
        <v>3414</v>
      </c>
      <c r="H21" s="11"/>
      <c r="I21" s="11"/>
    </row>
    <row r="22" spans="1:11" ht="30">
      <c r="A22" s="11">
        <v>20</v>
      </c>
      <c r="B22" s="11" t="s">
        <v>167</v>
      </c>
      <c r="C22" s="11">
        <v>30</v>
      </c>
      <c r="D22" s="11" t="s">
        <v>158</v>
      </c>
      <c r="E22" s="11"/>
      <c r="F22" s="11" t="s">
        <v>2211</v>
      </c>
      <c r="G22" s="11" t="s">
        <v>3415</v>
      </c>
      <c r="H22" s="11"/>
      <c r="I22" s="11"/>
    </row>
    <row r="23" spans="1:11" ht="30">
      <c r="A23" s="11">
        <v>21</v>
      </c>
      <c r="B23" s="11" t="s">
        <v>173</v>
      </c>
      <c r="C23" s="11">
        <v>1</v>
      </c>
      <c r="D23" s="11" t="s">
        <v>158</v>
      </c>
      <c r="E23" s="11"/>
      <c r="F23" s="11" t="s">
        <v>2212</v>
      </c>
      <c r="G23" s="11" t="s">
        <v>3420</v>
      </c>
      <c r="H23" s="11"/>
      <c r="I23" s="11"/>
    </row>
    <row r="24" spans="1:11" ht="30">
      <c r="A24" s="11">
        <v>22</v>
      </c>
      <c r="B24" s="11" t="s">
        <v>168</v>
      </c>
      <c r="C24" s="11">
        <v>10</v>
      </c>
      <c r="D24" s="11" t="s">
        <v>158</v>
      </c>
      <c r="E24" s="11"/>
      <c r="F24" s="11" t="s">
        <v>1758</v>
      </c>
      <c r="G24" s="11" t="s">
        <v>3421</v>
      </c>
      <c r="H24" s="11"/>
      <c r="I24" s="11"/>
    </row>
    <row r="25" spans="1:11" ht="30">
      <c r="A25" s="11">
        <v>23</v>
      </c>
      <c r="B25" s="11" t="s">
        <v>169</v>
      </c>
      <c r="C25" s="11">
        <v>14</v>
      </c>
      <c r="D25" s="11" t="s">
        <v>161</v>
      </c>
      <c r="E25" s="11" t="s">
        <v>162</v>
      </c>
      <c r="F25" s="11" t="s">
        <v>1882</v>
      </c>
      <c r="G25" s="11" t="s">
        <v>3422</v>
      </c>
      <c r="H25" s="11"/>
      <c r="I25" s="11"/>
    </row>
    <row r="26" spans="1:11" ht="30">
      <c r="A26" s="11">
        <v>24</v>
      </c>
      <c r="B26" s="11" t="s">
        <v>105</v>
      </c>
      <c r="C26" s="11">
        <v>10</v>
      </c>
      <c r="D26" s="11" t="s">
        <v>158</v>
      </c>
      <c r="E26" s="11"/>
      <c r="F26" s="11" t="s">
        <v>1716</v>
      </c>
      <c r="G26" s="11" t="s">
        <v>3416</v>
      </c>
      <c r="H26" s="11"/>
      <c r="I26" s="11"/>
    </row>
    <row r="27" spans="1:11" ht="30">
      <c r="A27" s="11">
        <v>25</v>
      </c>
      <c r="B27" s="11" t="s">
        <v>163</v>
      </c>
      <c r="C27" s="11">
        <v>14</v>
      </c>
      <c r="D27" s="11" t="s">
        <v>161</v>
      </c>
      <c r="E27" s="11" t="s">
        <v>162</v>
      </c>
      <c r="F27" s="11" t="s">
        <v>1717</v>
      </c>
      <c r="G27" s="11" t="s">
        <v>3417</v>
      </c>
      <c r="H27" s="11"/>
      <c r="I27" s="11"/>
    </row>
    <row r="28" spans="1:11">
      <c r="A28" s="11">
        <v>26</v>
      </c>
      <c r="B28" s="11" t="s">
        <v>1182</v>
      </c>
      <c r="C28" s="11">
        <v>12</v>
      </c>
      <c r="D28" s="11" t="s">
        <v>189</v>
      </c>
      <c r="E28" s="11" t="s">
        <v>5576</v>
      </c>
      <c r="F28" s="11" t="s">
        <v>1688</v>
      </c>
      <c r="G28" s="11" t="s">
        <v>1689</v>
      </c>
      <c r="H28" s="11"/>
      <c r="I28" s="11"/>
    </row>
    <row r="29" spans="1:11" ht="30">
      <c r="A29" s="11">
        <v>27</v>
      </c>
      <c r="B29" s="11" t="s">
        <v>1183</v>
      </c>
      <c r="C29" s="11">
        <v>30</v>
      </c>
      <c r="D29" s="11" t="s">
        <v>242</v>
      </c>
      <c r="E29" s="11" t="s">
        <v>5576</v>
      </c>
      <c r="F29" s="11" t="s">
        <v>1690</v>
      </c>
      <c r="G29" s="11" t="s">
        <v>1691</v>
      </c>
      <c r="H29" s="11"/>
      <c r="I29" s="11"/>
    </row>
    <row r="30" spans="1:11">
      <c r="G30"/>
      <c r="H30"/>
      <c r="I30"/>
      <c r="J30"/>
      <c r="K30"/>
    </row>
    <row r="31" spans="1:11">
      <c r="G31"/>
      <c r="H31"/>
      <c r="I31"/>
      <c r="J31"/>
      <c r="K31"/>
    </row>
    <row r="32" spans="1:11">
      <c r="G32"/>
      <c r="H32"/>
      <c r="I32"/>
      <c r="J32"/>
      <c r="K32"/>
    </row>
    <row r="33" spans="7:11">
      <c r="G33"/>
      <c r="H33"/>
      <c r="I33"/>
      <c r="J33"/>
      <c r="K33"/>
    </row>
    <row r="34" spans="7:11">
      <c r="G34"/>
      <c r="H34"/>
      <c r="I34"/>
      <c r="J34"/>
      <c r="K34"/>
    </row>
    <row r="35" spans="7:11">
      <c r="G35"/>
      <c r="H35"/>
      <c r="I35"/>
      <c r="J35"/>
      <c r="K35"/>
    </row>
    <row r="36" spans="7:11">
      <c r="G36"/>
      <c r="H36"/>
      <c r="I36"/>
      <c r="J36"/>
      <c r="K36"/>
    </row>
    <row r="37" spans="7:11">
      <c r="H37"/>
      <c r="I37"/>
    </row>
    <row r="38" spans="7:11">
      <c r="H38"/>
      <c r="I38"/>
    </row>
    <row r="39" spans="7:11">
      <c r="H39"/>
      <c r="I39"/>
    </row>
    <row r="40" spans="7:11">
      <c r="H40"/>
      <c r="I40"/>
    </row>
    <row r="41" spans="7:11">
      <c r="H41"/>
      <c r="I41"/>
    </row>
    <row r="42" spans="7:11">
      <c r="H42"/>
      <c r="I42"/>
    </row>
    <row r="43" spans="7:11">
      <c r="H43"/>
      <c r="I43"/>
    </row>
  </sheetData>
  <pageMargins left="0.7" right="0.7" top="0.75" bottom="0.75" header="0.3" footer="0.3"/>
  <pageSetup orientation="portrait" verticalDpi="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97DD4-52DC-4A28-96DB-056941565FE7}">
  <sheetPr codeName="Sheet59"/>
  <dimension ref="A1:J81"/>
  <sheetViews>
    <sheetView topLeftCell="A79"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9" width="5.28515625" style="1" bestFit="1" customWidth="1"/>
    <col min="10" max="16382" width="32.140625" style="1"/>
    <col min="16383" max="16383" width="1.7109375" style="1" customWidth="1"/>
    <col min="16384" max="16384" width="17.7109375" style="1" customWidth="1"/>
  </cols>
  <sheetData>
    <row r="1" spans="1:9">
      <c r="A1" s="12" t="s">
        <v>238</v>
      </c>
      <c r="B1" s="12"/>
      <c r="C1" s="12"/>
      <c r="D1" s="12"/>
      <c r="E1" s="12"/>
      <c r="F1" s="12"/>
      <c r="G1" s="12"/>
      <c r="H1" s="11"/>
      <c r="I1" s="11"/>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8</v>
      </c>
      <c r="D3" s="11" t="s">
        <v>160</v>
      </c>
      <c r="E3" s="11" t="s">
        <v>177</v>
      </c>
      <c r="F3" s="11" t="s">
        <v>1686</v>
      </c>
      <c r="G3" s="11" t="s">
        <v>1687</v>
      </c>
      <c r="H3" s="11" t="s">
        <v>5382</v>
      </c>
      <c r="I3" s="11"/>
    </row>
    <row r="4" spans="1:9" ht="30">
      <c r="A4" s="11">
        <v>2</v>
      </c>
      <c r="B4" s="11" t="s">
        <v>78</v>
      </c>
      <c r="C4" s="11">
        <v>4</v>
      </c>
      <c r="D4" s="11" t="s">
        <v>242</v>
      </c>
      <c r="E4" s="11"/>
      <c r="F4" s="11" t="s">
        <v>1707</v>
      </c>
      <c r="G4" s="11" t="s">
        <v>3423</v>
      </c>
      <c r="H4" s="11" t="s">
        <v>5384</v>
      </c>
      <c r="I4" s="11"/>
    </row>
    <row r="5" spans="1:9" ht="30">
      <c r="A5" s="11">
        <v>3</v>
      </c>
      <c r="B5" s="11" t="s">
        <v>89</v>
      </c>
      <c r="C5" s="11">
        <v>10</v>
      </c>
      <c r="D5" s="11" t="s">
        <v>242</v>
      </c>
      <c r="E5" s="11"/>
      <c r="F5" s="11" t="s">
        <v>1708</v>
      </c>
      <c r="G5" s="11" t="s">
        <v>3424</v>
      </c>
      <c r="H5" s="11" t="s">
        <v>5385</v>
      </c>
      <c r="I5" s="11"/>
    </row>
    <row r="6" spans="1:9" ht="30">
      <c r="A6" s="11">
        <v>4</v>
      </c>
      <c r="B6" s="11" t="s">
        <v>87</v>
      </c>
      <c r="C6" s="11">
        <v>14</v>
      </c>
      <c r="D6" s="11" t="s">
        <v>1032</v>
      </c>
      <c r="E6" s="11" t="s">
        <v>1033</v>
      </c>
      <c r="F6" s="11" t="s">
        <v>2299</v>
      </c>
      <c r="G6" s="11" t="s">
        <v>3425</v>
      </c>
      <c r="H6" s="11" t="s">
        <v>5402</v>
      </c>
      <c r="I6" s="11"/>
    </row>
    <row r="7" spans="1:9" ht="30">
      <c r="A7" s="11">
        <v>5</v>
      </c>
      <c r="B7" s="11" t="s">
        <v>151</v>
      </c>
      <c r="C7" s="11">
        <v>7</v>
      </c>
      <c r="D7" s="11" t="s">
        <v>242</v>
      </c>
      <c r="E7" s="11"/>
      <c r="F7" s="11" t="s">
        <v>1694</v>
      </c>
      <c r="G7" s="11" t="s">
        <v>3426</v>
      </c>
      <c r="H7" s="11"/>
      <c r="I7" s="11" t="s">
        <v>5387</v>
      </c>
    </row>
    <row r="8" spans="1:9" ht="30">
      <c r="A8" s="11">
        <v>6</v>
      </c>
      <c r="B8" s="11" t="s">
        <v>1562</v>
      </c>
      <c r="C8" s="11">
        <v>2</v>
      </c>
      <c r="D8" s="11" t="s">
        <v>242</v>
      </c>
      <c r="E8" s="11"/>
      <c r="F8" s="11" t="s">
        <v>2318</v>
      </c>
      <c r="G8" s="11" t="s">
        <v>3427</v>
      </c>
      <c r="H8" s="11"/>
      <c r="I8" s="11" t="s">
        <v>5386</v>
      </c>
    </row>
    <row r="9" spans="1:9" ht="30">
      <c r="A9" s="11">
        <v>7</v>
      </c>
      <c r="B9" s="11" t="s">
        <v>0</v>
      </c>
      <c r="C9" s="11">
        <v>1</v>
      </c>
      <c r="D9" s="11" t="s">
        <v>242</v>
      </c>
      <c r="E9" s="11"/>
      <c r="F9" s="11" t="s">
        <v>2300</v>
      </c>
      <c r="G9" s="11" t="s">
        <v>3428</v>
      </c>
      <c r="H9" s="11"/>
      <c r="I9" s="11"/>
    </row>
    <row r="10" spans="1:9" ht="30">
      <c r="A10" s="11">
        <v>8</v>
      </c>
      <c r="B10" s="11" t="s">
        <v>90</v>
      </c>
      <c r="C10" s="11">
        <v>10</v>
      </c>
      <c r="D10" s="11" t="s">
        <v>242</v>
      </c>
      <c r="E10" s="11"/>
      <c r="F10" s="11" t="s">
        <v>1761</v>
      </c>
      <c r="G10" s="11" t="s">
        <v>3429</v>
      </c>
      <c r="H10" s="11"/>
      <c r="I10" s="11"/>
    </row>
    <row r="11" spans="1:9" ht="30">
      <c r="A11" s="11">
        <v>9</v>
      </c>
      <c r="B11" s="11" t="s">
        <v>44</v>
      </c>
      <c r="C11" s="11">
        <v>15</v>
      </c>
      <c r="D11" s="11" t="s">
        <v>242</v>
      </c>
      <c r="E11" s="11"/>
      <c r="F11" s="11" t="s">
        <v>1697</v>
      </c>
      <c r="G11" s="11" t="s">
        <v>3430</v>
      </c>
      <c r="H11" s="11"/>
      <c r="I11" s="11"/>
    </row>
    <row r="12" spans="1:9" ht="30">
      <c r="A12" s="11">
        <v>10</v>
      </c>
      <c r="B12" s="11" t="s">
        <v>2</v>
      </c>
      <c r="C12" s="11">
        <v>1</v>
      </c>
      <c r="D12" s="11" t="s">
        <v>242</v>
      </c>
      <c r="E12" s="11"/>
      <c r="F12" s="11" t="s">
        <v>1696</v>
      </c>
      <c r="G12" s="11" t="s">
        <v>3431</v>
      </c>
      <c r="H12" s="11"/>
      <c r="I12" s="11"/>
    </row>
    <row r="13" spans="1:9" ht="30">
      <c r="A13" s="11">
        <v>11</v>
      </c>
      <c r="B13" s="11" t="s">
        <v>121</v>
      </c>
      <c r="C13" s="11">
        <v>20</v>
      </c>
      <c r="D13" s="11" t="s">
        <v>242</v>
      </c>
      <c r="E13" s="11"/>
      <c r="F13" s="11" t="s">
        <v>1975</v>
      </c>
      <c r="G13" s="11" t="s">
        <v>3432</v>
      </c>
      <c r="H13" s="11"/>
      <c r="I13" s="11"/>
    </row>
    <row r="14" spans="1:9" ht="30">
      <c r="A14" s="11">
        <v>12</v>
      </c>
      <c r="B14" s="11" t="s">
        <v>3</v>
      </c>
      <c r="C14" s="11">
        <v>1</v>
      </c>
      <c r="D14" s="11" t="s">
        <v>242</v>
      </c>
      <c r="E14" s="11"/>
      <c r="F14" s="11" t="s">
        <v>2319</v>
      </c>
      <c r="G14" s="11" t="s">
        <v>3223</v>
      </c>
      <c r="H14" s="11"/>
      <c r="I14" s="11"/>
    </row>
    <row r="15" spans="1:9" ht="30">
      <c r="A15" s="11">
        <v>13</v>
      </c>
      <c r="B15" s="11" t="s">
        <v>67</v>
      </c>
      <c r="C15" s="11">
        <v>8</v>
      </c>
      <c r="D15" s="11" t="s">
        <v>160</v>
      </c>
      <c r="E15" s="11" t="s">
        <v>177</v>
      </c>
      <c r="F15" s="11" t="s">
        <v>2320</v>
      </c>
      <c r="G15" s="11" t="s">
        <v>3434</v>
      </c>
      <c r="H15" s="11"/>
      <c r="I15" s="11"/>
    </row>
    <row r="16" spans="1:9" ht="30">
      <c r="A16" s="11">
        <v>14</v>
      </c>
      <c r="B16" s="11" t="s">
        <v>68</v>
      </c>
      <c r="C16" s="11">
        <v>8</v>
      </c>
      <c r="D16" s="11" t="s">
        <v>160</v>
      </c>
      <c r="E16" s="11" t="s">
        <v>177</v>
      </c>
      <c r="F16" s="11" t="s">
        <v>2321</v>
      </c>
      <c r="G16" s="11" t="s">
        <v>3435</v>
      </c>
      <c r="H16" s="11"/>
      <c r="I16" s="11"/>
    </row>
    <row r="17" spans="1:10" ht="30">
      <c r="A17" s="11">
        <v>15</v>
      </c>
      <c r="B17" s="11" t="s">
        <v>69</v>
      </c>
      <c r="C17" s="11">
        <v>8</v>
      </c>
      <c r="D17" s="11" t="s">
        <v>160</v>
      </c>
      <c r="E17" s="11" t="s">
        <v>177</v>
      </c>
      <c r="F17" s="11" t="s">
        <v>2322</v>
      </c>
      <c r="G17" s="11" t="s">
        <v>3436</v>
      </c>
      <c r="H17" s="11"/>
      <c r="I17" s="11"/>
    </row>
    <row r="18" spans="1:10" ht="30">
      <c r="A18" s="11">
        <v>16</v>
      </c>
      <c r="B18" s="11" t="s">
        <v>70</v>
      </c>
      <c r="C18" s="11">
        <v>8</v>
      </c>
      <c r="D18" s="11" t="s">
        <v>160</v>
      </c>
      <c r="E18" s="11" t="s">
        <v>177</v>
      </c>
      <c r="F18" s="11" t="s">
        <v>2323</v>
      </c>
      <c r="G18" s="11" t="s">
        <v>3437</v>
      </c>
      <c r="H18" s="11"/>
      <c r="I18" s="11"/>
    </row>
    <row r="19" spans="1:10" ht="30">
      <c r="A19" s="11">
        <v>17</v>
      </c>
      <c r="B19" s="11" t="s">
        <v>4</v>
      </c>
      <c r="C19" s="11">
        <v>1</v>
      </c>
      <c r="D19" s="11" t="s">
        <v>242</v>
      </c>
      <c r="E19" s="11"/>
      <c r="F19" s="11" t="s">
        <v>2102</v>
      </c>
      <c r="G19" s="11" t="s">
        <v>3438</v>
      </c>
      <c r="H19" s="11"/>
      <c r="I19" s="11"/>
    </row>
    <row r="20" spans="1:10">
      <c r="A20" s="11">
        <v>18</v>
      </c>
      <c r="B20" s="11" t="s">
        <v>127</v>
      </c>
      <c r="C20" s="11">
        <v>3</v>
      </c>
      <c r="D20" s="11" t="s">
        <v>242</v>
      </c>
      <c r="E20" s="11"/>
      <c r="F20" s="11" t="s">
        <v>2103</v>
      </c>
      <c r="G20" s="11" t="s">
        <v>3439</v>
      </c>
      <c r="H20" s="11"/>
      <c r="I20" s="11"/>
    </row>
    <row r="21" spans="1:10" ht="30">
      <c r="A21" s="11">
        <v>19</v>
      </c>
      <c r="B21" s="11" t="s">
        <v>133</v>
      </c>
      <c r="C21" s="11">
        <v>2</v>
      </c>
      <c r="D21" s="11" t="s">
        <v>242</v>
      </c>
      <c r="E21" s="11"/>
      <c r="F21" s="11" t="s">
        <v>2078</v>
      </c>
      <c r="G21" s="11" t="s">
        <v>3440</v>
      </c>
      <c r="H21" s="11"/>
      <c r="I21" s="11"/>
    </row>
    <row r="22" spans="1:10" ht="30">
      <c r="A22" s="11">
        <v>20</v>
      </c>
      <c r="B22" s="11" t="s">
        <v>5</v>
      </c>
      <c r="C22" s="11">
        <v>1</v>
      </c>
      <c r="D22" s="11" t="s">
        <v>242</v>
      </c>
      <c r="E22" s="11"/>
      <c r="F22" s="11" t="s">
        <v>2324</v>
      </c>
      <c r="G22" s="11" t="s">
        <v>3441</v>
      </c>
      <c r="H22" s="11"/>
      <c r="I22" s="11"/>
    </row>
    <row r="23" spans="1:10" ht="30">
      <c r="A23" s="11">
        <v>21</v>
      </c>
      <c r="B23" s="11" t="s">
        <v>71</v>
      </c>
      <c r="C23" s="11">
        <v>8</v>
      </c>
      <c r="D23" s="11" t="s">
        <v>160</v>
      </c>
      <c r="E23" s="11" t="s">
        <v>177</v>
      </c>
      <c r="F23" s="11" t="s">
        <v>2106</v>
      </c>
      <c r="G23" s="11" t="s">
        <v>3442</v>
      </c>
      <c r="H23" s="11"/>
      <c r="I23" s="11"/>
    </row>
    <row r="24" spans="1:10" ht="30">
      <c r="A24" s="11">
        <v>22</v>
      </c>
      <c r="B24" s="11" t="s">
        <v>72</v>
      </c>
      <c r="C24" s="11">
        <v>8</v>
      </c>
      <c r="D24" s="11" t="s">
        <v>160</v>
      </c>
      <c r="E24" s="11" t="s">
        <v>177</v>
      </c>
      <c r="F24" s="11" t="s">
        <v>2107</v>
      </c>
      <c r="G24" s="11" t="s">
        <v>3443</v>
      </c>
      <c r="H24" s="11"/>
      <c r="I24" s="11"/>
    </row>
    <row r="25" spans="1:10">
      <c r="A25" s="11">
        <v>23</v>
      </c>
      <c r="B25" s="11" t="s">
        <v>6</v>
      </c>
      <c r="C25" s="11">
        <v>1</v>
      </c>
      <c r="D25" s="11" t="s">
        <v>242</v>
      </c>
      <c r="E25" s="11"/>
      <c r="F25" s="11" t="s">
        <v>2108</v>
      </c>
      <c r="G25" s="11" t="s">
        <v>3444</v>
      </c>
      <c r="H25" s="11"/>
      <c r="I25" s="11"/>
    </row>
    <row r="26" spans="1:10" ht="30">
      <c r="A26" s="11">
        <v>24</v>
      </c>
      <c r="B26" s="11" t="s">
        <v>818</v>
      </c>
      <c r="C26" s="11">
        <v>1</v>
      </c>
      <c r="D26" s="11" t="s">
        <v>242</v>
      </c>
      <c r="E26" s="11"/>
      <c r="F26" s="11" t="s">
        <v>2325</v>
      </c>
      <c r="G26" s="11" t="s">
        <v>3445</v>
      </c>
      <c r="H26" s="11"/>
      <c r="I26" s="11"/>
    </row>
    <row r="27" spans="1:10" ht="30">
      <c r="A27" s="11">
        <v>25</v>
      </c>
      <c r="B27" s="11" t="s">
        <v>1563</v>
      </c>
      <c r="C27" s="11">
        <v>1</v>
      </c>
      <c r="D27" s="11" t="s">
        <v>242</v>
      </c>
      <c r="E27" s="11"/>
      <c r="F27" s="11" t="s">
        <v>2110</v>
      </c>
      <c r="G27" s="11" t="s">
        <v>3446</v>
      </c>
      <c r="H27" s="11"/>
      <c r="I27" s="11"/>
    </row>
    <row r="28" spans="1:10" ht="30">
      <c r="A28" s="59">
        <v>26</v>
      </c>
      <c r="B28" s="59" t="s">
        <v>134</v>
      </c>
      <c r="C28" s="59">
        <v>2</v>
      </c>
      <c r="D28" s="59" t="s">
        <v>242</v>
      </c>
      <c r="E28" s="59"/>
      <c r="F28" s="59" t="s">
        <v>2111</v>
      </c>
      <c r="G28" s="59" t="s">
        <v>3447</v>
      </c>
      <c r="H28" s="59"/>
      <c r="I28" s="59"/>
      <c r="J28" s="31" t="s">
        <v>7000</v>
      </c>
    </row>
    <row r="29" spans="1:10" ht="30">
      <c r="A29" s="59">
        <v>27</v>
      </c>
      <c r="B29" s="59" t="s">
        <v>8</v>
      </c>
      <c r="C29" s="59">
        <v>1</v>
      </c>
      <c r="D29" s="59" t="s">
        <v>242</v>
      </c>
      <c r="E29" s="59"/>
      <c r="F29" s="59" t="s">
        <v>2326</v>
      </c>
      <c r="G29" s="59" t="s">
        <v>3448</v>
      </c>
      <c r="H29" s="59"/>
      <c r="I29" s="59"/>
      <c r="J29" s="31"/>
    </row>
    <row r="30" spans="1:10" ht="30">
      <c r="A30" s="59">
        <v>28</v>
      </c>
      <c r="B30" s="59" t="s">
        <v>128</v>
      </c>
      <c r="C30" s="59">
        <v>3</v>
      </c>
      <c r="D30" s="59" t="s">
        <v>242</v>
      </c>
      <c r="E30" s="59"/>
      <c r="F30" s="59" t="s">
        <v>2113</v>
      </c>
      <c r="G30" s="59" t="s">
        <v>3449</v>
      </c>
      <c r="H30" s="59"/>
      <c r="I30" s="59"/>
      <c r="J30" s="31"/>
    </row>
    <row r="31" spans="1:10" ht="30">
      <c r="A31" s="59">
        <v>29</v>
      </c>
      <c r="B31" s="59" t="s">
        <v>47</v>
      </c>
      <c r="C31" s="59">
        <v>15</v>
      </c>
      <c r="D31" s="59" t="s">
        <v>242</v>
      </c>
      <c r="E31" s="59"/>
      <c r="F31" s="59" t="s">
        <v>1867</v>
      </c>
      <c r="G31" s="59" t="s">
        <v>3450</v>
      </c>
      <c r="H31" s="59"/>
      <c r="I31" s="59"/>
      <c r="J31" s="31"/>
    </row>
    <row r="32" spans="1:10" ht="30">
      <c r="A32" s="59">
        <v>30</v>
      </c>
      <c r="B32" s="59" t="s">
        <v>48</v>
      </c>
      <c r="C32" s="59">
        <v>15</v>
      </c>
      <c r="D32" s="59" t="s">
        <v>242</v>
      </c>
      <c r="E32" s="59"/>
      <c r="F32" s="59" t="s">
        <v>1868</v>
      </c>
      <c r="G32" s="59" t="s">
        <v>3451</v>
      </c>
      <c r="H32" s="59"/>
      <c r="I32" s="59"/>
      <c r="J32" s="31"/>
    </row>
    <row r="33" spans="1:9" ht="30">
      <c r="A33" s="11">
        <v>31</v>
      </c>
      <c r="B33" s="11" t="s">
        <v>49</v>
      </c>
      <c r="C33" s="11">
        <v>15</v>
      </c>
      <c r="D33" s="11" t="s">
        <v>242</v>
      </c>
      <c r="E33" s="11"/>
      <c r="F33" s="11" t="s">
        <v>1869</v>
      </c>
      <c r="G33" s="11" t="s">
        <v>3452</v>
      </c>
      <c r="H33" s="11"/>
      <c r="I33" s="11"/>
    </row>
    <row r="34" spans="1:9" ht="30">
      <c r="A34" s="11">
        <v>32</v>
      </c>
      <c r="B34" s="11" t="s">
        <v>50</v>
      </c>
      <c r="C34" s="11">
        <v>15</v>
      </c>
      <c r="D34" s="11" t="s">
        <v>242</v>
      </c>
      <c r="E34" s="11"/>
      <c r="F34" s="11" t="s">
        <v>1870</v>
      </c>
      <c r="G34" s="11" t="s">
        <v>3453</v>
      </c>
      <c r="H34" s="11"/>
      <c r="I34" s="11"/>
    </row>
    <row r="35" spans="1:9" ht="30">
      <c r="A35" s="11">
        <v>33</v>
      </c>
      <c r="B35" s="11" t="s">
        <v>112</v>
      </c>
      <c r="C35" s="11">
        <v>30</v>
      </c>
      <c r="D35" s="11" t="s">
        <v>242</v>
      </c>
      <c r="E35" s="11"/>
      <c r="F35" s="11" t="s">
        <v>1871</v>
      </c>
      <c r="G35" s="11" t="s">
        <v>3454</v>
      </c>
      <c r="H35" s="11"/>
      <c r="I35" s="11"/>
    </row>
    <row r="36" spans="1:9" ht="30">
      <c r="A36" s="11">
        <v>34</v>
      </c>
      <c r="B36" s="11" t="s">
        <v>51</v>
      </c>
      <c r="C36" s="11">
        <v>15</v>
      </c>
      <c r="D36" s="11" t="s">
        <v>242</v>
      </c>
      <c r="E36" s="11"/>
      <c r="F36" s="11" t="s">
        <v>1872</v>
      </c>
      <c r="G36" s="11" t="s">
        <v>3455</v>
      </c>
      <c r="H36" s="11"/>
      <c r="I36" s="11"/>
    </row>
    <row r="37" spans="1:9" ht="30">
      <c r="A37" s="11">
        <v>35</v>
      </c>
      <c r="B37" s="11" t="s">
        <v>52</v>
      </c>
      <c r="C37" s="11">
        <v>15</v>
      </c>
      <c r="D37" s="11" t="s">
        <v>242</v>
      </c>
      <c r="E37" s="11"/>
      <c r="F37" s="11" t="s">
        <v>1873</v>
      </c>
      <c r="G37" s="11" t="s">
        <v>3456</v>
      </c>
      <c r="H37" s="11"/>
      <c r="I37" s="11"/>
    </row>
    <row r="38" spans="1:9" ht="30">
      <c r="A38" s="11">
        <v>36</v>
      </c>
      <c r="B38" s="11" t="s">
        <v>53</v>
      </c>
      <c r="C38" s="11">
        <v>15</v>
      </c>
      <c r="D38" s="11" t="s">
        <v>242</v>
      </c>
      <c r="E38" s="11"/>
      <c r="F38" s="11" t="s">
        <v>1874</v>
      </c>
      <c r="G38" s="11" t="s">
        <v>3457</v>
      </c>
      <c r="H38" s="11"/>
      <c r="I38" s="11"/>
    </row>
    <row r="39" spans="1:9" ht="30">
      <c r="A39" s="11">
        <v>37</v>
      </c>
      <c r="B39" s="11" t="s">
        <v>54</v>
      </c>
      <c r="C39" s="11">
        <v>15</v>
      </c>
      <c r="D39" s="11" t="s">
        <v>242</v>
      </c>
      <c r="E39" s="11"/>
      <c r="F39" s="11" t="s">
        <v>1875</v>
      </c>
      <c r="G39" s="11" t="s">
        <v>3458</v>
      </c>
      <c r="H39" s="11"/>
      <c r="I39" s="11"/>
    </row>
    <row r="40" spans="1:9" ht="30">
      <c r="A40" s="11">
        <v>38</v>
      </c>
      <c r="B40" s="11" t="s">
        <v>113</v>
      </c>
      <c r="C40" s="11">
        <v>30</v>
      </c>
      <c r="D40" s="11" t="s">
        <v>242</v>
      </c>
      <c r="E40" s="11"/>
      <c r="F40" s="11" t="s">
        <v>1876</v>
      </c>
      <c r="G40" s="11" t="s">
        <v>3459</v>
      </c>
      <c r="H40" s="11"/>
      <c r="I40" s="11"/>
    </row>
    <row r="41" spans="1:9" ht="30">
      <c r="A41" s="11">
        <v>39</v>
      </c>
      <c r="B41" s="11" t="s">
        <v>114</v>
      </c>
      <c r="C41" s="11">
        <v>30</v>
      </c>
      <c r="D41" s="11" t="s">
        <v>242</v>
      </c>
      <c r="E41" s="11"/>
      <c r="F41" s="11" t="s">
        <v>2125</v>
      </c>
      <c r="G41" s="11" t="s">
        <v>3460</v>
      </c>
      <c r="H41" s="11"/>
      <c r="I41" s="11"/>
    </row>
    <row r="42" spans="1:9" ht="30">
      <c r="A42" s="11">
        <v>40</v>
      </c>
      <c r="B42" s="11" t="s">
        <v>115</v>
      </c>
      <c r="C42" s="11">
        <v>30</v>
      </c>
      <c r="D42" s="11" t="s">
        <v>242</v>
      </c>
      <c r="E42" s="11"/>
      <c r="F42" s="11" t="s">
        <v>2126</v>
      </c>
      <c r="G42" s="11" t="s">
        <v>3461</v>
      </c>
      <c r="H42" s="11"/>
      <c r="I42" s="11"/>
    </row>
    <row r="43" spans="1:9" ht="30">
      <c r="A43" s="11">
        <v>41</v>
      </c>
      <c r="B43" s="11" t="s">
        <v>91</v>
      </c>
      <c r="C43" s="11">
        <v>10</v>
      </c>
      <c r="D43" s="11" t="s">
        <v>242</v>
      </c>
      <c r="E43" s="11"/>
      <c r="F43" s="11" t="s">
        <v>1735</v>
      </c>
      <c r="G43" s="11" t="s">
        <v>3462</v>
      </c>
      <c r="H43" s="11"/>
      <c r="I43" s="11"/>
    </row>
    <row r="44" spans="1:9" ht="30">
      <c r="A44" s="11">
        <v>42</v>
      </c>
      <c r="B44" s="11" t="s">
        <v>123</v>
      </c>
      <c r="C44" s="11">
        <v>20</v>
      </c>
      <c r="D44" s="11" t="s">
        <v>242</v>
      </c>
      <c r="E44" s="11"/>
      <c r="F44" s="11" t="s">
        <v>1736</v>
      </c>
      <c r="G44" s="11" t="s">
        <v>3463</v>
      </c>
      <c r="H44" s="11"/>
      <c r="I44" s="11"/>
    </row>
    <row r="45" spans="1:9" ht="30">
      <c r="A45" s="11">
        <v>43</v>
      </c>
      <c r="B45" s="11" t="s">
        <v>92</v>
      </c>
      <c r="C45" s="11">
        <v>10</v>
      </c>
      <c r="D45" s="11" t="s">
        <v>242</v>
      </c>
      <c r="E45" s="11"/>
      <c r="F45" s="11" t="s">
        <v>2327</v>
      </c>
      <c r="G45" s="11" t="s">
        <v>3464</v>
      </c>
      <c r="H45" s="11"/>
      <c r="I45" s="11"/>
    </row>
    <row r="46" spans="1:9" ht="30">
      <c r="A46" s="11">
        <v>44</v>
      </c>
      <c r="B46" s="11" t="s">
        <v>129</v>
      </c>
      <c r="C46" s="11">
        <v>3</v>
      </c>
      <c r="D46" s="11" t="s">
        <v>242</v>
      </c>
      <c r="E46" s="11"/>
      <c r="F46" s="11" t="s">
        <v>1738</v>
      </c>
      <c r="G46" s="11" t="s">
        <v>3465</v>
      </c>
      <c r="H46" s="11"/>
      <c r="I46" s="11"/>
    </row>
    <row r="47" spans="1:9" ht="30">
      <c r="A47" s="11">
        <v>45</v>
      </c>
      <c r="B47" s="11" t="s">
        <v>10</v>
      </c>
      <c r="C47" s="11">
        <v>1</v>
      </c>
      <c r="D47" s="11" t="s">
        <v>242</v>
      </c>
      <c r="E47" s="11"/>
      <c r="F47" s="11" t="s">
        <v>1754</v>
      </c>
      <c r="G47" s="11" t="s">
        <v>3466</v>
      </c>
      <c r="H47" s="11"/>
      <c r="I47" s="11"/>
    </row>
    <row r="48" spans="1:9" ht="30">
      <c r="A48" s="11">
        <v>46</v>
      </c>
      <c r="B48" s="11" t="s">
        <v>75</v>
      </c>
      <c r="C48" s="11">
        <v>8</v>
      </c>
      <c r="D48" s="11" t="s">
        <v>160</v>
      </c>
      <c r="E48" s="11" t="s">
        <v>177</v>
      </c>
      <c r="F48" s="11" t="s">
        <v>1755</v>
      </c>
      <c r="G48" s="11" t="s">
        <v>3467</v>
      </c>
      <c r="H48" s="11"/>
      <c r="I48" s="11"/>
    </row>
    <row r="49" spans="1:9" ht="30">
      <c r="A49" s="11">
        <v>47</v>
      </c>
      <c r="B49" s="11" t="s">
        <v>141</v>
      </c>
      <c r="C49" s="11">
        <v>5</v>
      </c>
      <c r="D49" s="11" t="s">
        <v>242</v>
      </c>
      <c r="E49" s="11"/>
      <c r="F49" s="11" t="s">
        <v>1756</v>
      </c>
      <c r="G49" s="11" t="s">
        <v>3468</v>
      </c>
      <c r="H49" s="11"/>
      <c r="I49" s="11"/>
    </row>
    <row r="50" spans="1:9" ht="30">
      <c r="A50" s="11">
        <v>48</v>
      </c>
      <c r="B50" s="11" t="s">
        <v>80</v>
      </c>
      <c r="C50" s="11">
        <v>4</v>
      </c>
      <c r="D50" s="11" t="s">
        <v>242</v>
      </c>
      <c r="E50" s="11"/>
      <c r="F50" s="11" t="s">
        <v>2328</v>
      </c>
      <c r="G50" s="11" t="s">
        <v>3469</v>
      </c>
      <c r="H50" s="11"/>
      <c r="I50" s="11"/>
    </row>
    <row r="51" spans="1:9" ht="30">
      <c r="A51" s="11">
        <v>49</v>
      </c>
      <c r="B51" s="11" t="s">
        <v>93</v>
      </c>
      <c r="C51" s="11">
        <v>10</v>
      </c>
      <c r="D51" s="11" t="s">
        <v>242</v>
      </c>
      <c r="E51" s="11"/>
      <c r="F51" s="11" t="s">
        <v>2329</v>
      </c>
      <c r="G51" s="11" t="s">
        <v>3470</v>
      </c>
      <c r="H51" s="11"/>
      <c r="I51" s="11"/>
    </row>
    <row r="52" spans="1:9" ht="30">
      <c r="A52" s="11">
        <v>50</v>
      </c>
      <c r="B52" s="11" t="s">
        <v>81</v>
      </c>
      <c r="C52" s="11">
        <v>4</v>
      </c>
      <c r="D52" s="11" t="s">
        <v>242</v>
      </c>
      <c r="E52" s="11"/>
      <c r="F52" s="11" t="s">
        <v>2330</v>
      </c>
      <c r="G52" s="11" t="s">
        <v>3471</v>
      </c>
      <c r="H52" s="11"/>
      <c r="I52" s="11"/>
    </row>
    <row r="53" spans="1:9" ht="30">
      <c r="A53" s="11">
        <v>51</v>
      </c>
      <c r="B53" s="11" t="s">
        <v>82</v>
      </c>
      <c r="C53" s="11">
        <v>4</v>
      </c>
      <c r="D53" s="11" t="s">
        <v>242</v>
      </c>
      <c r="E53" s="11"/>
      <c r="F53" s="11" t="s">
        <v>2331</v>
      </c>
      <c r="G53" s="11" t="s">
        <v>3472</v>
      </c>
      <c r="H53" s="11"/>
      <c r="I53" s="11"/>
    </row>
    <row r="54" spans="1:9" ht="30">
      <c r="A54" s="11">
        <v>52</v>
      </c>
      <c r="B54" s="11" t="s">
        <v>94</v>
      </c>
      <c r="C54" s="11">
        <v>10</v>
      </c>
      <c r="D54" s="11" t="s">
        <v>242</v>
      </c>
      <c r="E54" s="11"/>
      <c r="F54" s="11" t="s">
        <v>2332</v>
      </c>
      <c r="G54" s="11" t="s">
        <v>3473</v>
      </c>
      <c r="H54" s="11"/>
      <c r="I54" s="11"/>
    </row>
    <row r="55" spans="1:9" ht="30">
      <c r="A55" s="11">
        <v>53</v>
      </c>
      <c r="B55" s="11" t="s">
        <v>83</v>
      </c>
      <c r="C55" s="11">
        <v>4</v>
      </c>
      <c r="D55" s="11" t="s">
        <v>242</v>
      </c>
      <c r="E55" s="11"/>
      <c r="F55" s="11" t="s">
        <v>2333</v>
      </c>
      <c r="G55" s="11" t="s">
        <v>3474</v>
      </c>
      <c r="H55" s="11"/>
      <c r="I55" s="11"/>
    </row>
    <row r="56" spans="1:9" ht="30">
      <c r="A56" s="11">
        <v>54</v>
      </c>
      <c r="B56" s="11" t="s">
        <v>84</v>
      </c>
      <c r="C56" s="11">
        <v>4</v>
      </c>
      <c r="D56" s="11" t="s">
        <v>242</v>
      </c>
      <c r="E56" s="11"/>
      <c r="F56" s="11" t="s">
        <v>1745</v>
      </c>
      <c r="G56" s="11" t="s">
        <v>3475</v>
      </c>
      <c r="H56" s="11"/>
      <c r="I56" s="11"/>
    </row>
    <row r="57" spans="1:9">
      <c r="A57" s="11">
        <v>55</v>
      </c>
      <c r="B57" s="11" t="s">
        <v>95</v>
      </c>
      <c r="C57" s="11">
        <v>10</v>
      </c>
      <c r="D57" s="11" t="s">
        <v>242</v>
      </c>
      <c r="E57" s="11"/>
      <c r="F57" s="11" t="s">
        <v>1746</v>
      </c>
      <c r="G57" s="11" t="s">
        <v>3476</v>
      </c>
      <c r="H57" s="11"/>
      <c r="I57" s="11"/>
    </row>
    <row r="58" spans="1:9">
      <c r="A58" s="11">
        <v>56</v>
      </c>
      <c r="B58" s="11" t="s">
        <v>85</v>
      </c>
      <c r="C58" s="11">
        <v>4</v>
      </c>
      <c r="D58" s="11" t="s">
        <v>242</v>
      </c>
      <c r="E58" s="11"/>
      <c r="F58" s="11" t="s">
        <v>1747</v>
      </c>
      <c r="G58" s="11" t="s">
        <v>3477</v>
      </c>
      <c r="H58" s="11"/>
      <c r="I58" s="11"/>
    </row>
    <row r="59" spans="1:9" ht="30">
      <c r="A59" s="11">
        <v>57</v>
      </c>
      <c r="B59" s="11" t="s">
        <v>96</v>
      </c>
      <c r="C59" s="11">
        <v>10</v>
      </c>
      <c r="D59" s="11" t="s">
        <v>242</v>
      </c>
      <c r="E59" s="11"/>
      <c r="F59" s="11" t="s">
        <v>2334</v>
      </c>
      <c r="G59" s="11" t="s">
        <v>3478</v>
      </c>
      <c r="H59" s="11"/>
      <c r="I59" s="11"/>
    </row>
    <row r="60" spans="1:9" ht="30">
      <c r="A60" s="11">
        <v>58</v>
      </c>
      <c r="B60" s="11" t="s">
        <v>97</v>
      </c>
      <c r="C60" s="11">
        <v>10</v>
      </c>
      <c r="D60" s="11" t="s">
        <v>242</v>
      </c>
      <c r="E60" s="11"/>
      <c r="F60" s="11" t="s">
        <v>1749</v>
      </c>
      <c r="G60" s="11" t="s">
        <v>3479</v>
      </c>
      <c r="H60" s="11"/>
      <c r="I60" s="11"/>
    </row>
    <row r="61" spans="1:9" ht="30">
      <c r="A61" s="11">
        <v>59</v>
      </c>
      <c r="B61" s="11" t="s">
        <v>116</v>
      </c>
      <c r="C61" s="11">
        <v>30</v>
      </c>
      <c r="D61" s="11" t="s">
        <v>242</v>
      </c>
      <c r="E61" s="11"/>
      <c r="F61" s="11" t="s">
        <v>1750</v>
      </c>
      <c r="G61" s="11" t="s">
        <v>3480</v>
      </c>
      <c r="H61" s="11"/>
      <c r="I61" s="11"/>
    </row>
    <row r="62" spans="1:9" ht="30">
      <c r="A62" s="11">
        <v>60</v>
      </c>
      <c r="B62" s="11" t="s">
        <v>135</v>
      </c>
      <c r="C62" s="11">
        <v>2</v>
      </c>
      <c r="D62" s="11" t="s">
        <v>242</v>
      </c>
      <c r="E62" s="11"/>
      <c r="F62" s="11" t="s">
        <v>1979</v>
      </c>
      <c r="G62" s="11" t="s">
        <v>3481</v>
      </c>
      <c r="H62" s="11"/>
      <c r="I62" s="11"/>
    </row>
    <row r="63" spans="1:9" ht="30">
      <c r="A63" s="11">
        <v>61</v>
      </c>
      <c r="B63" s="11" t="s">
        <v>136</v>
      </c>
      <c r="C63" s="11">
        <v>2</v>
      </c>
      <c r="D63" s="11" t="s">
        <v>242</v>
      </c>
      <c r="E63" s="11"/>
      <c r="F63" s="11" t="s">
        <v>2014</v>
      </c>
      <c r="G63" s="11" t="s">
        <v>3482</v>
      </c>
      <c r="H63" s="11"/>
      <c r="I63" s="11"/>
    </row>
    <row r="64" spans="1:9" ht="30">
      <c r="A64" s="11">
        <v>62</v>
      </c>
      <c r="B64" s="11" t="s">
        <v>137</v>
      </c>
      <c r="C64" s="11">
        <v>2</v>
      </c>
      <c r="D64" s="11" t="s">
        <v>242</v>
      </c>
      <c r="E64" s="11"/>
      <c r="F64" s="11" t="s">
        <v>2013</v>
      </c>
      <c r="G64" s="11" t="s">
        <v>3483</v>
      </c>
      <c r="H64" s="11"/>
      <c r="I64" s="11"/>
    </row>
    <row r="65" spans="1:9" ht="30">
      <c r="A65" s="11">
        <v>63</v>
      </c>
      <c r="B65" s="11" t="s">
        <v>138</v>
      </c>
      <c r="C65" s="11">
        <v>2</v>
      </c>
      <c r="D65" s="11" t="s">
        <v>242</v>
      </c>
      <c r="E65" s="11"/>
      <c r="F65" s="11" t="s">
        <v>2127</v>
      </c>
      <c r="G65" s="11" t="s">
        <v>3484</v>
      </c>
      <c r="H65" s="11"/>
      <c r="I65" s="11"/>
    </row>
    <row r="66" spans="1:9" ht="30">
      <c r="A66" s="11">
        <v>64</v>
      </c>
      <c r="B66" s="11" t="s">
        <v>98</v>
      </c>
      <c r="C66" s="11">
        <v>10</v>
      </c>
      <c r="D66" s="11" t="s">
        <v>242</v>
      </c>
      <c r="E66" s="11"/>
      <c r="F66" s="11" t="s">
        <v>2128</v>
      </c>
      <c r="G66" s="11" t="s">
        <v>3485</v>
      </c>
      <c r="H66" s="11"/>
      <c r="I66" s="11"/>
    </row>
    <row r="67" spans="1:9" ht="30">
      <c r="A67" s="11">
        <v>65</v>
      </c>
      <c r="B67" s="11" t="s">
        <v>43</v>
      </c>
      <c r="C67" s="11">
        <v>1</v>
      </c>
      <c r="D67" s="11" t="s">
        <v>242</v>
      </c>
      <c r="E67" s="11"/>
      <c r="F67" s="11" t="s">
        <v>2335</v>
      </c>
      <c r="G67" s="11" t="s">
        <v>3486</v>
      </c>
      <c r="H67" s="11"/>
      <c r="I67" s="11"/>
    </row>
    <row r="68" spans="1:9" ht="30">
      <c r="A68" s="11">
        <v>66</v>
      </c>
      <c r="B68" s="11" t="s">
        <v>117</v>
      </c>
      <c r="C68" s="11">
        <v>30</v>
      </c>
      <c r="D68" s="11" t="s">
        <v>242</v>
      </c>
      <c r="E68" s="11"/>
      <c r="F68" s="11" t="s">
        <v>2130</v>
      </c>
      <c r="G68" s="11" t="s">
        <v>3487</v>
      </c>
      <c r="H68" s="11"/>
      <c r="I68" s="11"/>
    </row>
    <row r="69" spans="1:9" ht="30">
      <c r="A69" s="11">
        <v>67</v>
      </c>
      <c r="B69" s="11" t="s">
        <v>124</v>
      </c>
      <c r="C69" s="11">
        <v>20</v>
      </c>
      <c r="D69" s="11" t="s">
        <v>242</v>
      </c>
      <c r="E69" s="11"/>
      <c r="F69" s="11" t="s">
        <v>2131</v>
      </c>
      <c r="G69" s="11" t="s">
        <v>3488</v>
      </c>
      <c r="H69" s="11"/>
      <c r="I69" s="11"/>
    </row>
    <row r="70" spans="1:9" ht="30">
      <c r="A70" s="11">
        <v>68</v>
      </c>
      <c r="B70" s="11" t="s">
        <v>99</v>
      </c>
      <c r="C70" s="11">
        <v>10</v>
      </c>
      <c r="D70" s="11" t="s">
        <v>242</v>
      </c>
      <c r="E70" s="11"/>
      <c r="F70" s="11" t="s">
        <v>2336</v>
      </c>
      <c r="G70" s="11" t="s">
        <v>3489</v>
      </c>
      <c r="H70" s="11"/>
      <c r="I70" s="11"/>
    </row>
    <row r="71" spans="1:9" ht="30">
      <c r="A71" s="11">
        <v>69</v>
      </c>
      <c r="B71" s="11" t="s">
        <v>125</v>
      </c>
      <c r="C71" s="11">
        <v>20</v>
      </c>
      <c r="D71" s="11" t="s">
        <v>242</v>
      </c>
      <c r="E71" s="11"/>
      <c r="F71" s="11" t="s">
        <v>2133</v>
      </c>
      <c r="G71" s="11" t="s">
        <v>3490</v>
      </c>
      <c r="H71" s="11"/>
      <c r="I71" s="11"/>
    </row>
    <row r="72" spans="1:9" ht="30">
      <c r="A72" s="11">
        <v>70</v>
      </c>
      <c r="B72" s="11" t="s">
        <v>100</v>
      </c>
      <c r="C72" s="11">
        <v>10</v>
      </c>
      <c r="D72" s="11" t="s">
        <v>242</v>
      </c>
      <c r="E72" s="11"/>
      <c r="F72" s="11" t="s">
        <v>2134</v>
      </c>
      <c r="G72" s="11" t="s">
        <v>3491</v>
      </c>
      <c r="H72" s="11"/>
      <c r="I72" s="11"/>
    </row>
    <row r="73" spans="1:9" ht="30">
      <c r="A73" s="11">
        <v>71</v>
      </c>
      <c r="B73" s="11" t="s">
        <v>1565</v>
      </c>
      <c r="C73" s="11">
        <v>8</v>
      </c>
      <c r="D73" s="11" t="s">
        <v>160</v>
      </c>
      <c r="E73" s="11" t="s">
        <v>177</v>
      </c>
      <c r="F73" s="11" t="s">
        <v>2337</v>
      </c>
      <c r="G73" s="11" t="s">
        <v>3492</v>
      </c>
      <c r="H73" s="11"/>
      <c r="I73" s="11"/>
    </row>
    <row r="74" spans="1:9" ht="30">
      <c r="A74" s="11">
        <v>72</v>
      </c>
      <c r="B74" s="11" t="s">
        <v>77</v>
      </c>
      <c r="C74" s="11">
        <v>8</v>
      </c>
      <c r="D74" s="11" t="s">
        <v>160</v>
      </c>
      <c r="E74" s="11" t="s">
        <v>177</v>
      </c>
      <c r="F74" s="11" t="s">
        <v>5532</v>
      </c>
      <c r="G74" s="11" t="s">
        <v>5535</v>
      </c>
      <c r="H74" s="11"/>
      <c r="I74" s="11"/>
    </row>
    <row r="75" spans="1:9" ht="30">
      <c r="A75" s="11">
        <v>73</v>
      </c>
      <c r="B75" s="11" t="s">
        <v>1524</v>
      </c>
      <c r="C75" s="11">
        <v>1</v>
      </c>
      <c r="D75" s="11" t="s">
        <v>242</v>
      </c>
      <c r="E75" s="11"/>
      <c r="F75" s="11" t="s">
        <v>2338</v>
      </c>
      <c r="G75" s="11" t="s">
        <v>3493</v>
      </c>
      <c r="H75" s="11"/>
      <c r="I75" s="11"/>
    </row>
    <row r="76" spans="1:9" ht="30">
      <c r="A76" s="11">
        <v>74</v>
      </c>
      <c r="B76" s="11" t="s">
        <v>175</v>
      </c>
      <c r="C76" s="11">
        <v>1</v>
      </c>
      <c r="D76" s="11" t="s">
        <v>242</v>
      </c>
      <c r="E76" s="11"/>
      <c r="F76" s="11" t="s">
        <v>1879</v>
      </c>
      <c r="G76" s="11" t="s">
        <v>3494</v>
      </c>
      <c r="H76" s="11"/>
      <c r="I76" s="11"/>
    </row>
    <row r="77" spans="1:9" ht="30">
      <c r="A77" s="11">
        <v>75</v>
      </c>
      <c r="B77" s="11" t="s">
        <v>38</v>
      </c>
      <c r="C77" s="11">
        <v>1</v>
      </c>
      <c r="D77" s="11" t="s">
        <v>242</v>
      </c>
      <c r="E77" s="11"/>
      <c r="F77" s="11" t="s">
        <v>2305</v>
      </c>
      <c r="G77" s="11" t="s">
        <v>3495</v>
      </c>
      <c r="H77" s="11"/>
      <c r="I77" s="11"/>
    </row>
    <row r="78" spans="1:9" ht="30">
      <c r="A78" s="11">
        <v>76</v>
      </c>
      <c r="B78" s="11" t="s">
        <v>105</v>
      </c>
      <c r="C78" s="11">
        <v>10</v>
      </c>
      <c r="D78" s="11" t="s">
        <v>242</v>
      </c>
      <c r="E78" s="11"/>
      <c r="F78" s="11" t="s">
        <v>1716</v>
      </c>
      <c r="G78" s="11" t="s">
        <v>3496</v>
      </c>
      <c r="H78" s="11"/>
      <c r="I78" s="11"/>
    </row>
    <row r="79" spans="1:9" ht="30">
      <c r="A79" s="11">
        <v>77</v>
      </c>
      <c r="B79" s="11" t="s">
        <v>163</v>
      </c>
      <c r="C79" s="11">
        <v>14</v>
      </c>
      <c r="D79" s="11" t="s">
        <v>1032</v>
      </c>
      <c r="E79" s="11" t="s">
        <v>1033</v>
      </c>
      <c r="F79" s="11" t="s">
        <v>1717</v>
      </c>
      <c r="G79" s="11" t="s">
        <v>3497</v>
      </c>
      <c r="H79" s="11"/>
      <c r="I79" s="11"/>
    </row>
    <row r="80" spans="1:9">
      <c r="A80" s="11">
        <v>78</v>
      </c>
      <c r="B80" s="11" t="s">
        <v>1182</v>
      </c>
      <c r="C80" s="11">
        <v>12</v>
      </c>
      <c r="D80" s="11" t="s">
        <v>189</v>
      </c>
      <c r="E80" s="11" t="s">
        <v>5576</v>
      </c>
      <c r="F80" s="11" t="s">
        <v>1688</v>
      </c>
      <c r="G80" s="11" t="s">
        <v>1689</v>
      </c>
      <c r="H80" s="11"/>
      <c r="I80" s="11"/>
    </row>
    <row r="81" spans="1:9" ht="30">
      <c r="A81" s="11">
        <v>79</v>
      </c>
      <c r="B81" s="11" t="s">
        <v>1183</v>
      </c>
      <c r="C81" s="11">
        <v>30</v>
      </c>
      <c r="D81" s="11" t="s">
        <v>242</v>
      </c>
      <c r="E81" s="11" t="s">
        <v>5576</v>
      </c>
      <c r="F81" s="11" t="s">
        <v>1690</v>
      </c>
      <c r="G81" s="11" t="s">
        <v>1691</v>
      </c>
      <c r="H81" s="11"/>
      <c r="I81" s="11"/>
    </row>
  </sheetData>
  <autoFilter ref="A1:O84" xr:uid="{31C97DD4-52DC-4A28-96DB-056941565FE7}"/>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2402F-6106-4E3D-9B1C-834E5C56DFF1}">
  <sheetPr codeName="Sheet108"/>
  <dimension ref="A1:J78"/>
  <sheetViews>
    <sheetView topLeftCell="A22"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9" width="5.28515625" style="1" bestFit="1" customWidth="1"/>
    <col min="10" max="16382" width="32.140625" style="1"/>
    <col min="16383" max="16383" width="1.7109375" style="1" customWidth="1"/>
    <col min="16384" max="16384" width="17.7109375" style="1" customWidth="1"/>
  </cols>
  <sheetData>
    <row r="1" spans="1:9">
      <c r="A1" s="12" t="s">
        <v>238</v>
      </c>
      <c r="B1" s="12"/>
      <c r="C1" s="12"/>
      <c r="D1" s="12"/>
      <c r="E1" s="12"/>
      <c r="F1" s="12"/>
      <c r="G1" s="12"/>
      <c r="H1" s="12"/>
      <c r="I1" s="12"/>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8</v>
      </c>
      <c r="D3" s="11" t="s">
        <v>160</v>
      </c>
      <c r="E3" s="11" t="s">
        <v>177</v>
      </c>
      <c r="F3" s="11" t="s">
        <v>1686</v>
      </c>
      <c r="G3" s="11" t="s">
        <v>1687</v>
      </c>
      <c r="H3" s="11" t="s">
        <v>5382</v>
      </c>
      <c r="I3" s="11"/>
    </row>
    <row r="4" spans="1:9" ht="30">
      <c r="A4" s="11">
        <v>2</v>
      </c>
      <c r="B4" s="11" t="s">
        <v>151</v>
      </c>
      <c r="C4" s="11">
        <v>7</v>
      </c>
      <c r="D4" s="11" t="s">
        <v>242</v>
      </c>
      <c r="E4" s="11"/>
      <c r="F4" s="11" t="s">
        <v>1694</v>
      </c>
      <c r="G4" s="11" t="s">
        <v>3426</v>
      </c>
      <c r="H4" s="11" t="s">
        <v>5384</v>
      </c>
      <c r="I4" s="11"/>
    </row>
    <row r="5" spans="1:9" ht="30">
      <c r="A5" s="11">
        <v>3</v>
      </c>
      <c r="B5" s="11" t="s">
        <v>1562</v>
      </c>
      <c r="C5" s="11">
        <v>2</v>
      </c>
      <c r="D5" s="11" t="s">
        <v>242</v>
      </c>
      <c r="E5" s="11"/>
      <c r="F5" s="11" t="s">
        <v>2318</v>
      </c>
      <c r="G5" s="11" t="s">
        <v>3427</v>
      </c>
      <c r="H5" s="11" t="s">
        <v>5385</v>
      </c>
      <c r="I5" s="11"/>
    </row>
    <row r="6" spans="1:9" ht="30">
      <c r="A6" s="11">
        <v>4</v>
      </c>
      <c r="B6" s="11" t="s">
        <v>78</v>
      </c>
      <c r="C6" s="11">
        <v>4</v>
      </c>
      <c r="D6" s="11" t="s">
        <v>242</v>
      </c>
      <c r="E6" s="11"/>
      <c r="F6" s="11" t="s">
        <v>1707</v>
      </c>
      <c r="G6" s="11" t="s">
        <v>3423</v>
      </c>
      <c r="H6" s="11"/>
      <c r="I6" s="11"/>
    </row>
    <row r="7" spans="1:9" ht="30">
      <c r="A7" s="11">
        <v>5</v>
      </c>
      <c r="B7" s="11" t="s">
        <v>168</v>
      </c>
      <c r="C7" s="11">
        <v>10</v>
      </c>
      <c r="D7" s="11" t="s">
        <v>242</v>
      </c>
      <c r="E7" s="11"/>
      <c r="F7" s="11" t="s">
        <v>2339</v>
      </c>
      <c r="G7" s="11" t="s">
        <v>3498</v>
      </c>
      <c r="H7" s="11"/>
      <c r="I7" s="11"/>
    </row>
    <row r="8" spans="1:9" ht="30">
      <c r="A8" s="11">
        <v>6</v>
      </c>
      <c r="B8" s="11" t="s">
        <v>169</v>
      </c>
      <c r="C8" s="11">
        <v>14</v>
      </c>
      <c r="D8" s="11" t="s">
        <v>1032</v>
      </c>
      <c r="E8" s="11" t="s">
        <v>1033</v>
      </c>
      <c r="F8" s="11" t="s">
        <v>1882</v>
      </c>
      <c r="G8" s="11" t="s">
        <v>3499</v>
      </c>
      <c r="H8" s="11"/>
      <c r="I8" s="11"/>
    </row>
    <row r="9" spans="1:9" ht="30">
      <c r="A9" s="11">
        <v>7</v>
      </c>
      <c r="B9" s="11" t="s">
        <v>44</v>
      </c>
      <c r="C9" s="11">
        <v>15</v>
      </c>
      <c r="D9" s="11" t="s">
        <v>242</v>
      </c>
      <c r="E9" s="11"/>
      <c r="F9" s="11" t="s">
        <v>1697</v>
      </c>
      <c r="G9" s="11" t="s">
        <v>3430</v>
      </c>
      <c r="H9" s="11"/>
      <c r="I9" s="11" t="s">
        <v>5387</v>
      </c>
    </row>
    <row r="10" spans="1:9" ht="30">
      <c r="A10" s="11">
        <v>8</v>
      </c>
      <c r="B10" s="11" t="s">
        <v>2</v>
      </c>
      <c r="C10" s="11">
        <v>1</v>
      </c>
      <c r="D10" s="11" t="s">
        <v>242</v>
      </c>
      <c r="E10" s="11"/>
      <c r="F10" s="11" t="s">
        <v>1696</v>
      </c>
      <c r="G10" s="11" t="s">
        <v>3431</v>
      </c>
      <c r="H10" s="11"/>
      <c r="I10" s="11" t="s">
        <v>5386</v>
      </c>
    </row>
    <row r="11" spans="1:9" ht="30">
      <c r="A11" s="11">
        <v>9</v>
      </c>
      <c r="B11" s="11" t="s">
        <v>121</v>
      </c>
      <c r="C11" s="11">
        <v>20</v>
      </c>
      <c r="D11" s="11" t="s">
        <v>242</v>
      </c>
      <c r="E11" s="11"/>
      <c r="F11" s="11" t="s">
        <v>1975</v>
      </c>
      <c r="G11" s="11" t="s">
        <v>3432</v>
      </c>
      <c r="H11" s="11"/>
      <c r="I11" s="11"/>
    </row>
    <row r="12" spans="1:9">
      <c r="A12" s="11">
        <v>10</v>
      </c>
      <c r="B12" s="11" t="s">
        <v>3</v>
      </c>
      <c r="C12" s="11">
        <v>1</v>
      </c>
      <c r="D12" s="11" t="s">
        <v>242</v>
      </c>
      <c r="E12" s="11"/>
      <c r="F12" s="11" t="s">
        <v>2319</v>
      </c>
      <c r="G12" s="11" t="s">
        <v>3433</v>
      </c>
      <c r="H12" s="11"/>
      <c r="I12" s="11"/>
    </row>
    <row r="13" spans="1:9" ht="30">
      <c r="A13" s="11">
        <v>11</v>
      </c>
      <c r="B13" s="11" t="s">
        <v>67</v>
      </c>
      <c r="C13" s="11">
        <v>8</v>
      </c>
      <c r="D13" s="11" t="s">
        <v>160</v>
      </c>
      <c r="E13" s="11" t="s">
        <v>177</v>
      </c>
      <c r="F13" s="11" t="s">
        <v>2320</v>
      </c>
      <c r="G13" s="11" t="s">
        <v>3434</v>
      </c>
      <c r="H13" s="11"/>
      <c r="I13" s="11"/>
    </row>
    <row r="14" spans="1:9" ht="30">
      <c r="A14" s="11">
        <v>12</v>
      </c>
      <c r="B14" s="11" t="s">
        <v>68</v>
      </c>
      <c r="C14" s="11">
        <v>8</v>
      </c>
      <c r="D14" s="11" t="s">
        <v>160</v>
      </c>
      <c r="E14" s="11" t="s">
        <v>177</v>
      </c>
      <c r="F14" s="11" t="s">
        <v>2321</v>
      </c>
      <c r="G14" s="11" t="s">
        <v>3435</v>
      </c>
      <c r="H14" s="11"/>
      <c r="I14" s="11"/>
    </row>
    <row r="15" spans="1:9" ht="30">
      <c r="A15" s="11">
        <v>13</v>
      </c>
      <c r="B15" s="11" t="s">
        <v>69</v>
      </c>
      <c r="C15" s="11">
        <v>8</v>
      </c>
      <c r="D15" s="11" t="s">
        <v>160</v>
      </c>
      <c r="E15" s="11" t="s">
        <v>177</v>
      </c>
      <c r="F15" s="11" t="s">
        <v>2322</v>
      </c>
      <c r="G15" s="11" t="s">
        <v>3436</v>
      </c>
      <c r="H15" s="11"/>
      <c r="I15" s="11"/>
    </row>
    <row r="16" spans="1:9" ht="30">
      <c r="A16" s="11">
        <v>14</v>
      </c>
      <c r="B16" s="11" t="s">
        <v>70</v>
      </c>
      <c r="C16" s="11">
        <v>8</v>
      </c>
      <c r="D16" s="11" t="s">
        <v>160</v>
      </c>
      <c r="E16" s="11" t="s">
        <v>177</v>
      </c>
      <c r="F16" s="11" t="s">
        <v>2323</v>
      </c>
      <c r="G16" s="11" t="s">
        <v>3437</v>
      </c>
      <c r="H16" s="11"/>
      <c r="I16" s="11"/>
    </row>
    <row r="17" spans="1:10" ht="30">
      <c r="A17" s="11">
        <v>15</v>
      </c>
      <c r="B17" s="11" t="s">
        <v>4</v>
      </c>
      <c r="C17" s="11">
        <v>1</v>
      </c>
      <c r="D17" s="11" t="s">
        <v>242</v>
      </c>
      <c r="E17" s="11"/>
      <c r="F17" s="11" t="s">
        <v>2102</v>
      </c>
      <c r="G17" s="11" t="s">
        <v>3438</v>
      </c>
      <c r="H17" s="11"/>
      <c r="I17" s="11"/>
    </row>
    <row r="18" spans="1:10">
      <c r="A18" s="11">
        <v>16</v>
      </c>
      <c r="B18" s="11" t="s">
        <v>127</v>
      </c>
      <c r="C18" s="11">
        <v>3</v>
      </c>
      <c r="D18" s="11" t="s">
        <v>242</v>
      </c>
      <c r="E18" s="11"/>
      <c r="F18" s="11" t="s">
        <v>2103</v>
      </c>
      <c r="G18" s="11" t="s">
        <v>3439</v>
      </c>
      <c r="H18" s="11"/>
      <c r="I18" s="11"/>
    </row>
    <row r="19" spans="1:10" ht="30">
      <c r="A19" s="11">
        <v>17</v>
      </c>
      <c r="B19" s="11" t="s">
        <v>133</v>
      </c>
      <c r="C19" s="11">
        <v>2</v>
      </c>
      <c r="D19" s="11" t="s">
        <v>242</v>
      </c>
      <c r="E19" s="11"/>
      <c r="F19" s="11" t="s">
        <v>2078</v>
      </c>
      <c r="G19" s="11" t="s">
        <v>3440</v>
      </c>
      <c r="H19" s="11"/>
      <c r="I19" s="11"/>
    </row>
    <row r="20" spans="1:10" ht="30">
      <c r="A20" s="11">
        <v>18</v>
      </c>
      <c r="B20" s="11" t="s">
        <v>5</v>
      </c>
      <c r="C20" s="11">
        <v>1</v>
      </c>
      <c r="D20" s="11" t="s">
        <v>242</v>
      </c>
      <c r="E20" s="11"/>
      <c r="F20" s="11" t="s">
        <v>2324</v>
      </c>
      <c r="G20" s="11" t="s">
        <v>3441</v>
      </c>
      <c r="H20" s="11"/>
      <c r="I20" s="11"/>
    </row>
    <row r="21" spans="1:10" ht="30">
      <c r="A21" s="59">
        <v>19</v>
      </c>
      <c r="B21" s="59" t="s">
        <v>71</v>
      </c>
      <c r="C21" s="59">
        <v>8</v>
      </c>
      <c r="D21" s="59" t="s">
        <v>160</v>
      </c>
      <c r="E21" s="59" t="s">
        <v>177</v>
      </c>
      <c r="F21" s="59" t="s">
        <v>2106</v>
      </c>
      <c r="G21" s="59" t="s">
        <v>3442</v>
      </c>
      <c r="H21" s="59"/>
      <c r="I21" s="59"/>
      <c r="J21" s="31"/>
    </row>
    <row r="22" spans="1:10" ht="30">
      <c r="A22" s="59">
        <v>20</v>
      </c>
      <c r="B22" s="59" t="s">
        <v>72</v>
      </c>
      <c r="C22" s="59">
        <v>8</v>
      </c>
      <c r="D22" s="59" t="s">
        <v>160</v>
      </c>
      <c r="E22" s="59" t="s">
        <v>177</v>
      </c>
      <c r="F22" s="59" t="s">
        <v>2107</v>
      </c>
      <c r="G22" s="59" t="s">
        <v>3443</v>
      </c>
      <c r="H22" s="59"/>
      <c r="I22" s="59"/>
      <c r="J22" s="31"/>
    </row>
    <row r="23" spans="1:10">
      <c r="A23" s="59">
        <v>21</v>
      </c>
      <c r="B23" s="59" t="s">
        <v>6</v>
      </c>
      <c r="C23" s="59">
        <v>1</v>
      </c>
      <c r="D23" s="59" t="s">
        <v>242</v>
      </c>
      <c r="E23" s="59"/>
      <c r="F23" s="59" t="s">
        <v>2108</v>
      </c>
      <c r="G23" s="59" t="s">
        <v>3444</v>
      </c>
      <c r="H23" s="59"/>
      <c r="I23" s="59"/>
      <c r="J23" s="31"/>
    </row>
    <row r="24" spans="1:10" ht="30">
      <c r="A24" s="59">
        <v>22</v>
      </c>
      <c r="B24" s="59" t="s">
        <v>818</v>
      </c>
      <c r="C24" s="59">
        <v>1</v>
      </c>
      <c r="D24" s="59" t="s">
        <v>242</v>
      </c>
      <c r="E24" s="59"/>
      <c r="F24" s="59" t="s">
        <v>2325</v>
      </c>
      <c r="G24" s="59" t="s">
        <v>3445</v>
      </c>
      <c r="H24" s="59"/>
      <c r="I24" s="59"/>
      <c r="J24" s="31"/>
    </row>
    <row r="25" spans="1:10" ht="30">
      <c r="A25" s="59">
        <v>23</v>
      </c>
      <c r="B25" s="59" t="s">
        <v>1563</v>
      </c>
      <c r="C25" s="59">
        <v>1</v>
      </c>
      <c r="D25" s="59" t="s">
        <v>242</v>
      </c>
      <c r="E25" s="59"/>
      <c r="F25" s="59" t="s">
        <v>2110</v>
      </c>
      <c r="G25" s="59" t="s">
        <v>3446</v>
      </c>
      <c r="H25" s="59"/>
      <c r="I25" s="59"/>
      <c r="J25" s="31"/>
    </row>
    <row r="26" spans="1:10" ht="30">
      <c r="A26" s="59">
        <v>24</v>
      </c>
      <c r="B26" s="59" t="s">
        <v>134</v>
      </c>
      <c r="C26" s="59">
        <v>2</v>
      </c>
      <c r="D26" s="59" t="s">
        <v>242</v>
      </c>
      <c r="E26" s="59"/>
      <c r="F26" s="59" t="s">
        <v>2111</v>
      </c>
      <c r="G26" s="59" t="s">
        <v>3447</v>
      </c>
      <c r="H26" s="59"/>
      <c r="I26" s="59"/>
      <c r="J26" s="31" t="s">
        <v>7000</v>
      </c>
    </row>
    <row r="27" spans="1:10" ht="30">
      <c r="A27" s="59">
        <v>25</v>
      </c>
      <c r="B27" s="59" t="s">
        <v>8</v>
      </c>
      <c r="C27" s="59">
        <v>1</v>
      </c>
      <c r="D27" s="59" t="s">
        <v>242</v>
      </c>
      <c r="E27" s="59"/>
      <c r="F27" s="59" t="s">
        <v>2326</v>
      </c>
      <c r="G27" s="59" t="s">
        <v>3448</v>
      </c>
      <c r="H27" s="59"/>
      <c r="I27" s="59"/>
      <c r="J27" s="31"/>
    </row>
    <row r="28" spans="1:10" ht="30">
      <c r="A28" s="59">
        <v>26</v>
      </c>
      <c r="B28" s="59" t="s">
        <v>128</v>
      </c>
      <c r="C28" s="59">
        <v>3</v>
      </c>
      <c r="D28" s="59" t="s">
        <v>242</v>
      </c>
      <c r="E28" s="59"/>
      <c r="F28" s="59" t="s">
        <v>2113</v>
      </c>
      <c r="G28" s="59" t="s">
        <v>3449</v>
      </c>
      <c r="H28" s="59"/>
      <c r="I28" s="59"/>
      <c r="J28" s="31"/>
    </row>
    <row r="29" spans="1:10" ht="30">
      <c r="A29" s="59">
        <v>27</v>
      </c>
      <c r="B29" s="59" t="s">
        <v>47</v>
      </c>
      <c r="C29" s="59">
        <v>15</v>
      </c>
      <c r="D29" s="59" t="s">
        <v>242</v>
      </c>
      <c r="E29" s="59"/>
      <c r="F29" s="59" t="s">
        <v>1867</v>
      </c>
      <c r="G29" s="59" t="s">
        <v>3450</v>
      </c>
      <c r="H29" s="59"/>
      <c r="I29" s="59"/>
      <c r="J29" s="31"/>
    </row>
    <row r="30" spans="1:10" ht="30">
      <c r="A30" s="11">
        <v>28</v>
      </c>
      <c r="B30" s="11" t="s">
        <v>48</v>
      </c>
      <c r="C30" s="11">
        <v>15</v>
      </c>
      <c r="D30" s="11" t="s">
        <v>242</v>
      </c>
      <c r="E30" s="11"/>
      <c r="F30" s="11" t="s">
        <v>1868</v>
      </c>
      <c r="G30" s="11" t="s">
        <v>3451</v>
      </c>
      <c r="H30" s="11"/>
      <c r="I30" s="11"/>
    </row>
    <row r="31" spans="1:10" ht="30">
      <c r="A31" s="11">
        <v>29</v>
      </c>
      <c r="B31" s="11" t="s">
        <v>49</v>
      </c>
      <c r="C31" s="11">
        <v>15</v>
      </c>
      <c r="D31" s="11" t="s">
        <v>242</v>
      </c>
      <c r="E31" s="11"/>
      <c r="F31" s="11" t="s">
        <v>1869</v>
      </c>
      <c r="G31" s="11" t="s">
        <v>3452</v>
      </c>
      <c r="H31" s="11"/>
      <c r="I31" s="11"/>
    </row>
    <row r="32" spans="1:10" ht="30">
      <c r="A32" s="11">
        <v>30</v>
      </c>
      <c r="B32" s="11" t="s">
        <v>50</v>
      </c>
      <c r="C32" s="11">
        <v>15</v>
      </c>
      <c r="D32" s="11" t="s">
        <v>242</v>
      </c>
      <c r="E32" s="11"/>
      <c r="F32" s="11" t="s">
        <v>1870</v>
      </c>
      <c r="G32" s="11" t="s">
        <v>3453</v>
      </c>
      <c r="H32" s="11"/>
      <c r="I32" s="11"/>
    </row>
    <row r="33" spans="1:9" ht="30">
      <c r="A33" s="11">
        <v>31</v>
      </c>
      <c r="B33" s="11" t="s">
        <v>112</v>
      </c>
      <c r="C33" s="11">
        <v>30</v>
      </c>
      <c r="D33" s="11" t="s">
        <v>242</v>
      </c>
      <c r="E33" s="11"/>
      <c r="F33" s="11" t="s">
        <v>1871</v>
      </c>
      <c r="G33" s="11" t="s">
        <v>3454</v>
      </c>
      <c r="H33" s="11"/>
      <c r="I33" s="11"/>
    </row>
    <row r="34" spans="1:9" ht="30">
      <c r="A34" s="11">
        <v>32</v>
      </c>
      <c r="B34" s="11" t="s">
        <v>51</v>
      </c>
      <c r="C34" s="11">
        <v>15</v>
      </c>
      <c r="D34" s="11" t="s">
        <v>242</v>
      </c>
      <c r="E34" s="11"/>
      <c r="F34" s="11" t="s">
        <v>1872</v>
      </c>
      <c r="G34" s="11" t="s">
        <v>3455</v>
      </c>
      <c r="H34" s="17"/>
      <c r="I34" s="17"/>
    </row>
    <row r="35" spans="1:9" ht="30">
      <c r="A35" s="11">
        <v>33</v>
      </c>
      <c r="B35" s="11" t="s">
        <v>52</v>
      </c>
      <c r="C35" s="11">
        <v>15</v>
      </c>
      <c r="D35" s="11" t="s">
        <v>242</v>
      </c>
      <c r="E35" s="11"/>
      <c r="F35" s="11" t="s">
        <v>1873</v>
      </c>
      <c r="G35" s="11" t="s">
        <v>3456</v>
      </c>
      <c r="H35" s="17"/>
      <c r="I35" s="17"/>
    </row>
    <row r="36" spans="1:9" ht="30">
      <c r="A36" s="11">
        <v>34</v>
      </c>
      <c r="B36" s="11" t="s">
        <v>53</v>
      </c>
      <c r="C36" s="11">
        <v>15</v>
      </c>
      <c r="D36" s="11" t="s">
        <v>242</v>
      </c>
      <c r="E36" s="11"/>
      <c r="F36" s="11" t="s">
        <v>1874</v>
      </c>
      <c r="G36" s="11" t="s">
        <v>3457</v>
      </c>
      <c r="H36" s="17"/>
      <c r="I36" s="17"/>
    </row>
    <row r="37" spans="1:9" ht="30">
      <c r="A37" s="11">
        <v>35</v>
      </c>
      <c r="B37" s="11" t="s">
        <v>54</v>
      </c>
      <c r="C37" s="11">
        <v>15</v>
      </c>
      <c r="D37" s="11" t="s">
        <v>242</v>
      </c>
      <c r="E37" s="11"/>
      <c r="F37" s="11" t="s">
        <v>1875</v>
      </c>
      <c r="G37" s="11" t="s">
        <v>3458</v>
      </c>
      <c r="H37" s="17"/>
      <c r="I37" s="17"/>
    </row>
    <row r="38" spans="1:9" ht="30">
      <c r="A38" s="11">
        <v>36</v>
      </c>
      <c r="B38" s="11" t="s">
        <v>113</v>
      </c>
      <c r="C38" s="11">
        <v>30</v>
      </c>
      <c r="D38" s="11" t="s">
        <v>242</v>
      </c>
      <c r="E38" s="11"/>
      <c r="F38" s="11" t="s">
        <v>1876</v>
      </c>
      <c r="G38" s="11" t="s">
        <v>3459</v>
      </c>
      <c r="H38" s="17"/>
      <c r="I38" s="17"/>
    </row>
    <row r="39" spans="1:9" ht="30">
      <c r="A39" s="11">
        <v>37</v>
      </c>
      <c r="B39" s="11" t="s">
        <v>114</v>
      </c>
      <c r="C39" s="11">
        <v>30</v>
      </c>
      <c r="D39" s="11" t="s">
        <v>242</v>
      </c>
      <c r="E39" s="11"/>
      <c r="F39" s="11" t="s">
        <v>2125</v>
      </c>
      <c r="G39" s="11" t="s">
        <v>3460</v>
      </c>
      <c r="H39" s="17"/>
      <c r="I39" s="17"/>
    </row>
    <row r="40" spans="1:9" ht="30">
      <c r="A40" s="11">
        <v>38</v>
      </c>
      <c r="B40" s="11" t="s">
        <v>115</v>
      </c>
      <c r="C40" s="11">
        <v>30</v>
      </c>
      <c r="D40" s="11" t="s">
        <v>242</v>
      </c>
      <c r="E40" s="11"/>
      <c r="F40" s="11" t="s">
        <v>2126</v>
      </c>
      <c r="G40" s="11" t="s">
        <v>3461</v>
      </c>
      <c r="H40" s="17"/>
      <c r="I40" s="17"/>
    </row>
    <row r="41" spans="1:9" ht="30">
      <c r="A41" s="11">
        <v>39</v>
      </c>
      <c r="B41" s="11" t="s">
        <v>91</v>
      </c>
      <c r="C41" s="11">
        <v>10</v>
      </c>
      <c r="D41" s="11" t="s">
        <v>242</v>
      </c>
      <c r="E41" s="11"/>
      <c r="F41" s="11" t="s">
        <v>1735</v>
      </c>
      <c r="G41" s="11" t="s">
        <v>3462</v>
      </c>
      <c r="H41" s="17"/>
      <c r="I41" s="17"/>
    </row>
    <row r="42" spans="1:9" ht="30">
      <c r="A42" s="11">
        <v>40</v>
      </c>
      <c r="B42" s="11" t="s">
        <v>123</v>
      </c>
      <c r="C42" s="11">
        <v>20</v>
      </c>
      <c r="D42" s="11" t="s">
        <v>242</v>
      </c>
      <c r="E42" s="11"/>
      <c r="F42" s="11" t="s">
        <v>1736</v>
      </c>
      <c r="G42" s="11" t="s">
        <v>3463</v>
      </c>
      <c r="H42" s="17"/>
      <c r="I42" s="17"/>
    </row>
    <row r="43" spans="1:9" ht="30">
      <c r="A43" s="11">
        <v>41</v>
      </c>
      <c r="B43" s="11" t="s">
        <v>92</v>
      </c>
      <c r="C43" s="11">
        <v>10</v>
      </c>
      <c r="D43" s="11" t="s">
        <v>242</v>
      </c>
      <c r="E43" s="11"/>
      <c r="F43" s="11" t="s">
        <v>2327</v>
      </c>
      <c r="G43" s="11" t="s">
        <v>3464</v>
      </c>
      <c r="H43" s="17"/>
      <c r="I43" s="17"/>
    </row>
    <row r="44" spans="1:9" ht="30">
      <c r="A44" s="11">
        <v>42</v>
      </c>
      <c r="B44" s="11" t="s">
        <v>129</v>
      </c>
      <c r="C44" s="11">
        <v>3</v>
      </c>
      <c r="D44" s="11" t="s">
        <v>242</v>
      </c>
      <c r="E44" s="11"/>
      <c r="F44" s="11" t="s">
        <v>1738</v>
      </c>
      <c r="G44" s="11" t="s">
        <v>3465</v>
      </c>
      <c r="H44" s="11"/>
      <c r="I44" s="11"/>
    </row>
    <row r="45" spans="1:9" ht="30">
      <c r="A45" s="11">
        <v>43</v>
      </c>
      <c r="B45" s="11" t="s">
        <v>10</v>
      </c>
      <c r="C45" s="11">
        <v>1</v>
      </c>
      <c r="D45" s="11" t="s">
        <v>242</v>
      </c>
      <c r="E45" s="11"/>
      <c r="F45" s="11" t="s">
        <v>1754</v>
      </c>
      <c r="G45" s="11" t="s">
        <v>3466</v>
      </c>
      <c r="H45" s="11"/>
      <c r="I45" s="11"/>
    </row>
    <row r="46" spans="1:9" ht="30">
      <c r="A46" s="11">
        <v>44</v>
      </c>
      <c r="B46" s="11" t="s">
        <v>75</v>
      </c>
      <c r="C46" s="11">
        <v>8</v>
      </c>
      <c r="D46" s="11" t="s">
        <v>160</v>
      </c>
      <c r="E46" s="11" t="s">
        <v>177</v>
      </c>
      <c r="F46" s="11" t="s">
        <v>1755</v>
      </c>
      <c r="G46" s="11" t="s">
        <v>3467</v>
      </c>
      <c r="H46" s="11"/>
      <c r="I46" s="11"/>
    </row>
    <row r="47" spans="1:9" ht="30">
      <c r="A47" s="11">
        <v>45</v>
      </c>
      <c r="B47" s="11" t="s">
        <v>141</v>
      </c>
      <c r="C47" s="11">
        <v>5</v>
      </c>
      <c r="D47" s="11" t="s">
        <v>242</v>
      </c>
      <c r="E47" s="11"/>
      <c r="F47" s="11" t="s">
        <v>1756</v>
      </c>
      <c r="G47" s="11" t="s">
        <v>3468</v>
      </c>
      <c r="H47" s="11"/>
      <c r="I47" s="11"/>
    </row>
    <row r="48" spans="1:9" ht="30">
      <c r="A48" s="11">
        <v>46</v>
      </c>
      <c r="B48" s="11" t="s">
        <v>80</v>
      </c>
      <c r="C48" s="11">
        <v>4</v>
      </c>
      <c r="D48" s="11" t="s">
        <v>242</v>
      </c>
      <c r="E48" s="11"/>
      <c r="F48" s="11" t="s">
        <v>2328</v>
      </c>
      <c r="G48" s="11" t="s">
        <v>3469</v>
      </c>
      <c r="H48" s="11"/>
      <c r="I48" s="11"/>
    </row>
    <row r="49" spans="1:9" ht="30">
      <c r="A49" s="11">
        <v>47</v>
      </c>
      <c r="B49" s="11" t="s">
        <v>93</v>
      </c>
      <c r="C49" s="11">
        <v>10</v>
      </c>
      <c r="D49" s="11" t="s">
        <v>242</v>
      </c>
      <c r="E49" s="11"/>
      <c r="F49" s="11" t="s">
        <v>2329</v>
      </c>
      <c r="G49" s="11" t="s">
        <v>3470</v>
      </c>
      <c r="H49" s="11"/>
      <c r="I49" s="11"/>
    </row>
    <row r="50" spans="1:9" ht="30">
      <c r="A50" s="11">
        <v>48</v>
      </c>
      <c r="B50" s="11" t="s">
        <v>81</v>
      </c>
      <c r="C50" s="11">
        <v>4</v>
      </c>
      <c r="D50" s="11" t="s">
        <v>242</v>
      </c>
      <c r="E50" s="11"/>
      <c r="F50" s="11" t="s">
        <v>2330</v>
      </c>
      <c r="G50" s="11" t="s">
        <v>3471</v>
      </c>
      <c r="H50" s="11"/>
      <c r="I50" s="11"/>
    </row>
    <row r="51" spans="1:9" ht="30">
      <c r="A51" s="11">
        <v>49</v>
      </c>
      <c r="B51" s="11" t="s">
        <v>82</v>
      </c>
      <c r="C51" s="11">
        <v>4</v>
      </c>
      <c r="D51" s="11" t="s">
        <v>242</v>
      </c>
      <c r="E51" s="11"/>
      <c r="F51" s="11" t="s">
        <v>2331</v>
      </c>
      <c r="G51" s="11" t="s">
        <v>3472</v>
      </c>
      <c r="H51" s="11"/>
      <c r="I51" s="11"/>
    </row>
    <row r="52" spans="1:9" ht="30">
      <c r="A52" s="11">
        <v>50</v>
      </c>
      <c r="B52" s="11" t="s">
        <v>94</v>
      </c>
      <c r="C52" s="11">
        <v>10</v>
      </c>
      <c r="D52" s="11" t="s">
        <v>242</v>
      </c>
      <c r="E52" s="11"/>
      <c r="F52" s="11" t="s">
        <v>2332</v>
      </c>
      <c r="G52" s="11" t="s">
        <v>3473</v>
      </c>
      <c r="H52" s="11"/>
      <c r="I52" s="11"/>
    </row>
    <row r="53" spans="1:9" ht="30">
      <c r="A53" s="11">
        <v>51</v>
      </c>
      <c r="B53" s="11" t="s">
        <v>83</v>
      </c>
      <c r="C53" s="11">
        <v>4</v>
      </c>
      <c r="D53" s="11" t="s">
        <v>242</v>
      </c>
      <c r="E53" s="11"/>
      <c r="F53" s="11" t="s">
        <v>2333</v>
      </c>
      <c r="G53" s="11" t="s">
        <v>3474</v>
      </c>
      <c r="H53" s="11"/>
      <c r="I53" s="11"/>
    </row>
    <row r="54" spans="1:9" ht="30">
      <c r="A54" s="11">
        <v>52</v>
      </c>
      <c r="B54" s="11" t="s">
        <v>84</v>
      </c>
      <c r="C54" s="11">
        <v>4</v>
      </c>
      <c r="D54" s="11" t="s">
        <v>242</v>
      </c>
      <c r="E54" s="11"/>
      <c r="F54" s="11" t="s">
        <v>1745</v>
      </c>
      <c r="G54" s="11" t="s">
        <v>3475</v>
      </c>
      <c r="H54" s="11"/>
      <c r="I54" s="11"/>
    </row>
    <row r="55" spans="1:9">
      <c r="A55" s="11">
        <v>53</v>
      </c>
      <c r="B55" s="11" t="s">
        <v>95</v>
      </c>
      <c r="C55" s="11">
        <v>10</v>
      </c>
      <c r="D55" s="11" t="s">
        <v>242</v>
      </c>
      <c r="E55" s="11"/>
      <c r="F55" s="11" t="s">
        <v>1746</v>
      </c>
      <c r="G55" s="11" t="s">
        <v>3476</v>
      </c>
      <c r="H55" s="11"/>
      <c r="I55" s="11"/>
    </row>
    <row r="56" spans="1:9">
      <c r="A56" s="11">
        <v>54</v>
      </c>
      <c r="B56" s="11" t="s">
        <v>85</v>
      </c>
      <c r="C56" s="11">
        <v>4</v>
      </c>
      <c r="D56" s="11" t="s">
        <v>242</v>
      </c>
      <c r="E56" s="11"/>
      <c r="F56" s="11" t="s">
        <v>1747</v>
      </c>
      <c r="G56" s="11" t="s">
        <v>3477</v>
      </c>
      <c r="H56" s="11"/>
      <c r="I56" s="11"/>
    </row>
    <row r="57" spans="1:9" ht="30">
      <c r="A57" s="11">
        <v>55</v>
      </c>
      <c r="B57" s="11" t="s">
        <v>96</v>
      </c>
      <c r="C57" s="11">
        <v>10</v>
      </c>
      <c r="D57" s="11" t="s">
        <v>242</v>
      </c>
      <c r="E57" s="11"/>
      <c r="F57" s="11" t="s">
        <v>2334</v>
      </c>
      <c r="G57" s="11" t="s">
        <v>3478</v>
      </c>
      <c r="H57" s="11"/>
      <c r="I57" s="11"/>
    </row>
    <row r="58" spans="1:9" ht="30">
      <c r="A58" s="11">
        <v>56</v>
      </c>
      <c r="B58" s="11" t="s">
        <v>97</v>
      </c>
      <c r="C58" s="11">
        <v>10</v>
      </c>
      <c r="D58" s="11" t="s">
        <v>242</v>
      </c>
      <c r="E58" s="11"/>
      <c r="F58" s="11" t="s">
        <v>1749</v>
      </c>
      <c r="G58" s="11" t="s">
        <v>3479</v>
      </c>
      <c r="H58" s="11"/>
      <c r="I58" s="11"/>
    </row>
    <row r="59" spans="1:9" ht="30">
      <c r="A59" s="11">
        <v>57</v>
      </c>
      <c r="B59" s="11" t="s">
        <v>116</v>
      </c>
      <c r="C59" s="11">
        <v>30</v>
      </c>
      <c r="D59" s="11" t="s">
        <v>242</v>
      </c>
      <c r="E59" s="11"/>
      <c r="F59" s="11" t="s">
        <v>1750</v>
      </c>
      <c r="G59" s="11" t="s">
        <v>3480</v>
      </c>
      <c r="H59" s="11"/>
      <c r="I59" s="11"/>
    </row>
    <row r="60" spans="1:9" ht="30">
      <c r="A60" s="11">
        <v>58</v>
      </c>
      <c r="B60" s="11" t="s">
        <v>135</v>
      </c>
      <c r="C60" s="11">
        <v>2</v>
      </c>
      <c r="D60" s="11" t="s">
        <v>242</v>
      </c>
      <c r="E60" s="11"/>
      <c r="F60" s="11" t="s">
        <v>1979</v>
      </c>
      <c r="G60" s="11" t="s">
        <v>3481</v>
      </c>
      <c r="H60" s="11"/>
      <c r="I60" s="11"/>
    </row>
    <row r="61" spans="1:9" ht="30">
      <c r="A61" s="11">
        <v>59</v>
      </c>
      <c r="B61" s="11" t="s">
        <v>136</v>
      </c>
      <c r="C61" s="11">
        <v>2</v>
      </c>
      <c r="D61" s="11" t="s">
        <v>242</v>
      </c>
      <c r="E61" s="11"/>
      <c r="F61" s="11" t="s">
        <v>2014</v>
      </c>
      <c r="G61" s="11" t="s">
        <v>3482</v>
      </c>
      <c r="H61" s="11"/>
      <c r="I61" s="11"/>
    </row>
    <row r="62" spans="1:9" ht="30">
      <c r="A62" s="11">
        <v>60</v>
      </c>
      <c r="B62" s="11" t="s">
        <v>137</v>
      </c>
      <c r="C62" s="11">
        <v>2</v>
      </c>
      <c r="D62" s="11" t="s">
        <v>242</v>
      </c>
      <c r="E62" s="11"/>
      <c r="F62" s="11" t="s">
        <v>2013</v>
      </c>
      <c r="G62" s="11" t="s">
        <v>3483</v>
      </c>
      <c r="H62" s="11"/>
      <c r="I62" s="11"/>
    </row>
    <row r="63" spans="1:9" ht="30">
      <c r="A63" s="11">
        <v>61</v>
      </c>
      <c r="B63" s="11" t="s">
        <v>138</v>
      </c>
      <c r="C63" s="11">
        <v>2</v>
      </c>
      <c r="D63" s="11" t="s">
        <v>242</v>
      </c>
      <c r="E63" s="11"/>
      <c r="F63" s="11" t="s">
        <v>2127</v>
      </c>
      <c r="G63" s="11" t="s">
        <v>3484</v>
      </c>
      <c r="H63" s="11"/>
      <c r="I63" s="11"/>
    </row>
    <row r="64" spans="1:9" ht="30">
      <c r="A64" s="11">
        <v>62</v>
      </c>
      <c r="B64" s="11" t="s">
        <v>98</v>
      </c>
      <c r="C64" s="11">
        <v>10</v>
      </c>
      <c r="D64" s="11" t="s">
        <v>242</v>
      </c>
      <c r="E64" s="11"/>
      <c r="F64" s="11" t="s">
        <v>2128</v>
      </c>
      <c r="G64" s="11" t="s">
        <v>3485</v>
      </c>
      <c r="H64" s="11"/>
      <c r="I64" s="11"/>
    </row>
    <row r="65" spans="1:9" ht="30">
      <c r="A65" s="11">
        <v>63</v>
      </c>
      <c r="B65" s="11" t="s">
        <v>1564</v>
      </c>
      <c r="C65" s="11">
        <v>1</v>
      </c>
      <c r="D65" s="11" t="s">
        <v>242</v>
      </c>
      <c r="E65" s="11"/>
      <c r="F65" s="11" t="s">
        <v>2335</v>
      </c>
      <c r="G65" s="11" t="s">
        <v>3486</v>
      </c>
      <c r="H65" s="11"/>
      <c r="I65" s="11"/>
    </row>
    <row r="66" spans="1:9" ht="30">
      <c r="A66" s="11">
        <v>64</v>
      </c>
      <c r="B66" s="11" t="s">
        <v>117</v>
      </c>
      <c r="C66" s="11">
        <v>30</v>
      </c>
      <c r="D66" s="11" t="s">
        <v>242</v>
      </c>
      <c r="E66" s="11"/>
      <c r="F66" s="11" t="s">
        <v>2130</v>
      </c>
      <c r="G66" s="11" t="s">
        <v>3487</v>
      </c>
      <c r="H66" s="11"/>
      <c r="I66" s="11"/>
    </row>
    <row r="67" spans="1:9" ht="30">
      <c r="A67" s="11">
        <v>65</v>
      </c>
      <c r="B67" s="11" t="s">
        <v>124</v>
      </c>
      <c r="C67" s="11">
        <v>20</v>
      </c>
      <c r="D67" s="11" t="s">
        <v>242</v>
      </c>
      <c r="E67" s="11"/>
      <c r="F67" s="11" t="s">
        <v>2131</v>
      </c>
      <c r="G67" s="11" t="s">
        <v>3488</v>
      </c>
      <c r="H67" s="11"/>
      <c r="I67" s="11"/>
    </row>
    <row r="68" spans="1:9" ht="30">
      <c r="A68" s="11">
        <v>66</v>
      </c>
      <c r="B68" s="11" t="s">
        <v>99</v>
      </c>
      <c r="C68" s="11">
        <v>10</v>
      </c>
      <c r="D68" s="11" t="s">
        <v>242</v>
      </c>
      <c r="E68" s="11"/>
      <c r="F68" s="11" t="s">
        <v>2336</v>
      </c>
      <c r="G68" s="11" t="s">
        <v>3489</v>
      </c>
      <c r="H68" s="11"/>
      <c r="I68" s="11"/>
    </row>
    <row r="69" spans="1:9" ht="30">
      <c r="A69" s="11">
        <v>67</v>
      </c>
      <c r="B69" s="11" t="s">
        <v>125</v>
      </c>
      <c r="C69" s="11">
        <v>20</v>
      </c>
      <c r="D69" s="11" t="s">
        <v>242</v>
      </c>
      <c r="E69" s="11"/>
      <c r="F69" s="11" t="s">
        <v>2133</v>
      </c>
      <c r="G69" s="11" t="s">
        <v>3490</v>
      </c>
      <c r="H69" s="11"/>
      <c r="I69" s="11"/>
    </row>
    <row r="70" spans="1:9" ht="30">
      <c r="A70" s="11">
        <v>68</v>
      </c>
      <c r="B70" s="11" t="s">
        <v>100</v>
      </c>
      <c r="C70" s="11">
        <v>10</v>
      </c>
      <c r="D70" s="11" t="s">
        <v>242</v>
      </c>
      <c r="E70" s="11"/>
      <c r="F70" s="11" t="s">
        <v>2134</v>
      </c>
      <c r="G70" s="11" t="s">
        <v>3491</v>
      </c>
      <c r="H70" s="11"/>
      <c r="I70" s="11"/>
    </row>
    <row r="71" spans="1:9" ht="30">
      <c r="A71" s="11">
        <v>69</v>
      </c>
      <c r="B71" s="11" t="s">
        <v>1565</v>
      </c>
      <c r="C71" s="11">
        <v>8</v>
      </c>
      <c r="D71" s="11" t="s">
        <v>160</v>
      </c>
      <c r="E71" s="11" t="s">
        <v>177</v>
      </c>
      <c r="F71" s="11" t="s">
        <v>2337</v>
      </c>
      <c r="G71" s="11" t="s">
        <v>3492</v>
      </c>
      <c r="H71" s="11"/>
      <c r="I71" s="11"/>
    </row>
    <row r="72" spans="1:9" ht="30">
      <c r="A72" s="11">
        <v>70</v>
      </c>
      <c r="B72" s="11" t="s">
        <v>77</v>
      </c>
      <c r="C72" s="11">
        <v>8</v>
      </c>
      <c r="D72" s="11" t="s">
        <v>160</v>
      </c>
      <c r="E72" s="11" t="s">
        <v>177</v>
      </c>
      <c r="F72" s="11" t="s">
        <v>5532</v>
      </c>
      <c r="G72" s="11" t="s">
        <v>5535</v>
      </c>
      <c r="H72" s="11"/>
      <c r="I72" s="11"/>
    </row>
    <row r="73" spans="1:9" ht="30">
      <c r="A73" s="11">
        <v>71</v>
      </c>
      <c r="B73" s="11" t="s">
        <v>1524</v>
      </c>
      <c r="C73" s="11">
        <v>1</v>
      </c>
      <c r="D73" s="11" t="s">
        <v>242</v>
      </c>
      <c r="E73" s="11"/>
      <c r="F73" s="11" t="s">
        <v>2338</v>
      </c>
      <c r="G73" s="11" t="s">
        <v>3493</v>
      </c>
      <c r="H73" s="11"/>
      <c r="I73" s="11"/>
    </row>
    <row r="74" spans="1:9" ht="30">
      <c r="A74" s="11">
        <v>72</v>
      </c>
      <c r="B74" s="11" t="s">
        <v>38</v>
      </c>
      <c r="C74" s="11">
        <v>1</v>
      </c>
      <c r="D74" s="11" t="s">
        <v>242</v>
      </c>
      <c r="E74" s="11"/>
      <c r="F74" s="11" t="s">
        <v>2305</v>
      </c>
      <c r="G74" s="11" t="s">
        <v>3495</v>
      </c>
      <c r="H74" s="11"/>
      <c r="I74" s="11"/>
    </row>
    <row r="75" spans="1:9" ht="30">
      <c r="A75" s="11">
        <v>73</v>
      </c>
      <c r="B75" s="11" t="s">
        <v>105</v>
      </c>
      <c r="C75" s="11">
        <v>10</v>
      </c>
      <c r="D75" s="11" t="s">
        <v>242</v>
      </c>
      <c r="E75" s="11"/>
      <c r="F75" s="11" t="s">
        <v>1716</v>
      </c>
      <c r="G75" s="11" t="s">
        <v>3496</v>
      </c>
      <c r="H75" s="11"/>
      <c r="I75" s="11"/>
    </row>
    <row r="76" spans="1:9" ht="30">
      <c r="A76" s="11">
        <v>74</v>
      </c>
      <c r="B76" s="11" t="s">
        <v>163</v>
      </c>
      <c r="C76" s="11">
        <v>14</v>
      </c>
      <c r="D76" s="11" t="s">
        <v>1032</v>
      </c>
      <c r="E76" s="11" t="s">
        <v>1033</v>
      </c>
      <c r="F76" s="11" t="s">
        <v>1717</v>
      </c>
      <c r="G76" s="11" t="s">
        <v>3497</v>
      </c>
      <c r="H76" s="11"/>
      <c r="I76" s="11"/>
    </row>
    <row r="77" spans="1:9">
      <c r="A77" s="11">
        <v>75</v>
      </c>
      <c r="B77" s="11" t="s">
        <v>1182</v>
      </c>
      <c r="C77" s="11">
        <v>12</v>
      </c>
      <c r="D77" s="11" t="s">
        <v>189</v>
      </c>
      <c r="E77" s="11" t="s">
        <v>5576</v>
      </c>
      <c r="F77" s="11" t="s">
        <v>1688</v>
      </c>
      <c r="G77" s="11" t="s">
        <v>1689</v>
      </c>
      <c r="H77" s="11"/>
      <c r="I77" s="11"/>
    </row>
    <row r="78" spans="1:9" ht="30">
      <c r="A78" s="11">
        <v>76</v>
      </c>
      <c r="B78" s="11" t="s">
        <v>1183</v>
      </c>
      <c r="C78" s="11">
        <v>30</v>
      </c>
      <c r="D78" s="11" t="s">
        <v>242</v>
      </c>
      <c r="E78" s="11" t="s">
        <v>5576</v>
      </c>
      <c r="F78" s="11" t="s">
        <v>1690</v>
      </c>
      <c r="G78" s="11" t="s">
        <v>1691</v>
      </c>
      <c r="H78" s="11"/>
      <c r="I78" s="11"/>
    </row>
  </sheetData>
  <autoFilter ref="A1:E79" xr:uid="{3912402F-6106-4E3D-9B1C-834E5C56DFF1}"/>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AF5F9-F53E-4152-A040-C2EA8CD1196F}">
  <sheetPr codeName="Sheet102"/>
  <dimension ref="A1:I43"/>
  <sheetViews>
    <sheetView workbookViewId="0">
      <selection activeCell="C22" sqref="C22"/>
    </sheetView>
  </sheetViews>
  <sheetFormatPr defaultColWidth="32.140625" defaultRowHeight="15"/>
  <cols>
    <col min="1" max="1" width="7.140625" style="1" bestFit="1" customWidth="1"/>
    <col min="2" max="2" width="20.710937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9" width="5.28515625" style="1" bestFit="1" customWidth="1"/>
    <col min="10" max="16382" width="32.140625" style="1"/>
    <col min="16383" max="16383" width="1.7109375" style="1" customWidth="1"/>
    <col min="16384" max="16384" width="17.7109375" style="1" customWidth="1"/>
  </cols>
  <sheetData>
    <row r="1" spans="1:9">
      <c r="A1" s="12" t="s">
        <v>238</v>
      </c>
      <c r="B1" s="12"/>
      <c r="C1" s="12"/>
      <c r="D1" s="12"/>
      <c r="E1" s="12"/>
      <c r="F1" s="12"/>
      <c r="G1" s="12"/>
      <c r="H1" s="12"/>
      <c r="I1" s="12"/>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6</v>
      </c>
      <c r="D3" s="11" t="s">
        <v>160</v>
      </c>
      <c r="E3" s="11" t="s">
        <v>177</v>
      </c>
      <c r="F3" s="11" t="s">
        <v>1686</v>
      </c>
      <c r="G3" s="11" t="s">
        <v>1687</v>
      </c>
      <c r="H3" s="11" t="s">
        <v>5382</v>
      </c>
      <c r="I3" s="11"/>
    </row>
    <row r="4" spans="1:9" ht="30">
      <c r="A4" s="11">
        <v>2</v>
      </c>
      <c r="B4" s="11" t="s">
        <v>78</v>
      </c>
      <c r="C4" s="11">
        <v>4</v>
      </c>
      <c r="D4" s="11" t="s">
        <v>242</v>
      </c>
      <c r="E4" s="11"/>
      <c r="F4" s="11" t="s">
        <v>1707</v>
      </c>
      <c r="G4" s="11" t="s">
        <v>3500</v>
      </c>
      <c r="H4" s="11" t="s">
        <v>5384</v>
      </c>
      <c r="I4" s="11"/>
    </row>
    <row r="5" spans="1:9" ht="30">
      <c r="A5" s="11">
        <v>3</v>
      </c>
      <c r="B5" s="11" t="s">
        <v>89</v>
      </c>
      <c r="C5" s="11">
        <v>10</v>
      </c>
      <c r="D5" s="11" t="s">
        <v>242</v>
      </c>
      <c r="E5" s="11"/>
      <c r="F5" s="11" t="s">
        <v>1722</v>
      </c>
      <c r="G5" s="11" t="s">
        <v>3400</v>
      </c>
      <c r="H5" s="11" t="s">
        <v>5385</v>
      </c>
      <c r="I5" s="11"/>
    </row>
    <row r="6" spans="1:9" ht="30">
      <c r="A6" s="11">
        <v>4</v>
      </c>
      <c r="B6" s="11" t="s">
        <v>87</v>
      </c>
      <c r="C6" s="11">
        <v>14</v>
      </c>
      <c r="D6" s="11" t="s">
        <v>161</v>
      </c>
      <c r="E6" s="11" t="s">
        <v>1033</v>
      </c>
      <c r="F6" s="11" t="s">
        <v>2312</v>
      </c>
      <c r="G6" s="11" t="s">
        <v>3401</v>
      </c>
      <c r="H6" s="11" t="s">
        <v>5402</v>
      </c>
      <c r="I6" s="11"/>
    </row>
    <row r="7" spans="1:9" ht="30">
      <c r="A7" s="53">
        <v>5</v>
      </c>
      <c r="B7" s="11" t="s">
        <v>0</v>
      </c>
      <c r="C7" s="11">
        <v>1</v>
      </c>
      <c r="D7" s="11" t="s">
        <v>242</v>
      </c>
      <c r="E7" s="11"/>
      <c r="F7" s="11" t="s">
        <v>1724</v>
      </c>
      <c r="G7" s="11" t="s">
        <v>3402</v>
      </c>
      <c r="H7" s="11"/>
      <c r="I7" s="11"/>
    </row>
    <row r="8" spans="1:9" ht="30">
      <c r="A8" s="53">
        <v>6</v>
      </c>
      <c r="B8" s="11" t="s">
        <v>151</v>
      </c>
      <c r="C8" s="11">
        <v>7</v>
      </c>
      <c r="D8" s="11" t="s">
        <v>242</v>
      </c>
      <c r="E8" s="11"/>
      <c r="F8" s="11" t="s">
        <v>1694</v>
      </c>
      <c r="G8" s="11" t="s">
        <v>3218</v>
      </c>
      <c r="H8" s="11" t="s">
        <v>5451</v>
      </c>
      <c r="I8" s="11" t="s">
        <v>5387</v>
      </c>
    </row>
    <row r="9" spans="1:9" ht="30">
      <c r="A9" s="53">
        <v>7</v>
      </c>
      <c r="B9" s="11" t="s">
        <v>180</v>
      </c>
      <c r="C9" s="11">
        <v>4</v>
      </c>
      <c r="D9" s="11" t="s">
        <v>242</v>
      </c>
      <c r="E9" s="11"/>
      <c r="F9" s="11" t="s">
        <v>2340</v>
      </c>
      <c r="G9" s="11" t="s">
        <v>3501</v>
      </c>
      <c r="H9" s="11" t="s">
        <v>5670</v>
      </c>
      <c r="I9" s="11" t="s">
        <v>5386</v>
      </c>
    </row>
    <row r="10" spans="1:9" ht="90">
      <c r="A10" s="53">
        <v>8</v>
      </c>
      <c r="B10" s="11" t="s">
        <v>178</v>
      </c>
      <c r="C10" s="11"/>
      <c r="D10" s="11" t="s">
        <v>242</v>
      </c>
      <c r="E10" s="11"/>
      <c r="F10" s="11" t="s">
        <v>2341</v>
      </c>
      <c r="G10" s="11" t="s">
        <v>3502</v>
      </c>
      <c r="H10" s="11"/>
      <c r="I10" s="11"/>
    </row>
    <row r="11" spans="1:9" ht="120">
      <c r="A11" s="53">
        <v>9</v>
      </c>
      <c r="B11" s="11" t="s">
        <v>1</v>
      </c>
      <c r="C11" s="11">
        <v>1</v>
      </c>
      <c r="D11" s="11" t="s">
        <v>242</v>
      </c>
      <c r="E11" s="11"/>
      <c r="F11" s="11" t="s">
        <v>1760</v>
      </c>
      <c r="G11" s="11" t="s">
        <v>2317</v>
      </c>
      <c r="H11" s="11"/>
      <c r="I11" s="11"/>
    </row>
    <row r="12" spans="1:9" ht="30">
      <c r="A12" s="53">
        <v>10</v>
      </c>
      <c r="B12" s="11" t="s">
        <v>90</v>
      </c>
      <c r="C12" s="11">
        <v>10</v>
      </c>
      <c r="D12" s="11" t="s">
        <v>242</v>
      </c>
      <c r="E12" s="11"/>
      <c r="F12" s="11" t="s">
        <v>1761</v>
      </c>
      <c r="G12" s="11" t="s">
        <v>2917</v>
      </c>
      <c r="H12" s="11"/>
      <c r="I12" s="11"/>
    </row>
    <row r="13" spans="1:9" ht="30">
      <c r="A13" s="53">
        <v>11</v>
      </c>
      <c r="B13" s="11" t="s">
        <v>79</v>
      </c>
      <c r="C13" s="11">
        <v>4</v>
      </c>
      <c r="D13" s="11" t="s">
        <v>242</v>
      </c>
      <c r="E13" s="11"/>
      <c r="F13" s="11" t="s">
        <v>1715</v>
      </c>
      <c r="G13" s="11" t="s">
        <v>3220</v>
      </c>
      <c r="H13" s="11"/>
      <c r="I13" s="11"/>
    </row>
    <row r="14" spans="1:9" ht="120">
      <c r="A14" s="53">
        <v>12</v>
      </c>
      <c r="B14" s="11" t="s">
        <v>2</v>
      </c>
      <c r="C14" s="11">
        <v>1</v>
      </c>
      <c r="D14" s="11" t="s">
        <v>242</v>
      </c>
      <c r="E14" s="11"/>
      <c r="F14" s="11" t="s">
        <v>1696</v>
      </c>
      <c r="G14" s="11" t="s">
        <v>3503</v>
      </c>
      <c r="H14" s="11"/>
      <c r="I14" s="11"/>
    </row>
    <row r="15" spans="1:9" ht="30">
      <c r="A15" s="53">
        <v>13</v>
      </c>
      <c r="B15" s="11" t="s">
        <v>44</v>
      </c>
      <c r="C15" s="11">
        <v>15</v>
      </c>
      <c r="D15" s="11" t="s">
        <v>242</v>
      </c>
      <c r="E15" s="11"/>
      <c r="F15" s="11" t="s">
        <v>1697</v>
      </c>
      <c r="G15" s="11" t="s">
        <v>3504</v>
      </c>
      <c r="H15" s="11"/>
      <c r="I15" s="11"/>
    </row>
    <row r="16" spans="1:9" ht="30">
      <c r="A16" s="53">
        <v>14</v>
      </c>
      <c r="B16" s="11" t="s">
        <v>181</v>
      </c>
      <c r="C16" s="11">
        <v>30</v>
      </c>
      <c r="D16" s="11" t="s">
        <v>242</v>
      </c>
      <c r="E16" s="11"/>
      <c r="F16" s="11" t="s">
        <v>2342</v>
      </c>
      <c r="G16" s="11" t="s">
        <v>3505</v>
      </c>
      <c r="H16" s="11"/>
      <c r="I16" s="11"/>
    </row>
    <row r="17" spans="1:9" ht="30">
      <c r="A17" s="53">
        <v>15</v>
      </c>
      <c r="B17" s="11" t="s">
        <v>182</v>
      </c>
      <c r="C17" s="11">
        <v>3</v>
      </c>
      <c r="D17" s="11" t="s">
        <v>242</v>
      </c>
      <c r="E17" s="11"/>
      <c r="F17" s="11" t="s">
        <v>2343</v>
      </c>
      <c r="G17" s="11" t="s">
        <v>3506</v>
      </c>
      <c r="H17" s="11"/>
      <c r="I17" s="11"/>
    </row>
    <row r="18" spans="1:9">
      <c r="A18" s="53">
        <v>16</v>
      </c>
      <c r="B18" s="11" t="s">
        <v>47</v>
      </c>
      <c r="C18" s="11">
        <v>15</v>
      </c>
      <c r="D18" s="11" t="s">
        <v>242</v>
      </c>
      <c r="E18" s="11"/>
      <c r="F18" s="11" t="s">
        <v>1867</v>
      </c>
      <c r="G18" s="11" t="s">
        <v>3507</v>
      </c>
      <c r="H18" s="11"/>
      <c r="I18" s="11"/>
    </row>
    <row r="19" spans="1:9">
      <c r="A19" s="53">
        <v>17</v>
      </c>
      <c r="B19" s="11" t="s">
        <v>48</v>
      </c>
      <c r="C19" s="11">
        <v>15</v>
      </c>
      <c r="D19" s="11" t="s">
        <v>242</v>
      </c>
      <c r="E19" s="11"/>
      <c r="F19" s="11" t="s">
        <v>1868</v>
      </c>
      <c r="G19" s="11" t="s">
        <v>3508</v>
      </c>
      <c r="H19" s="11"/>
      <c r="I19" s="11"/>
    </row>
    <row r="20" spans="1:9">
      <c r="A20" s="53">
        <v>18</v>
      </c>
      <c r="B20" s="11" t="s">
        <v>49</v>
      </c>
      <c r="C20" s="11">
        <v>15</v>
      </c>
      <c r="D20" s="11" t="s">
        <v>242</v>
      </c>
      <c r="E20" s="11"/>
      <c r="F20" s="11" t="s">
        <v>1869</v>
      </c>
      <c r="G20" s="11" t="s">
        <v>3509</v>
      </c>
      <c r="H20" s="11"/>
      <c r="I20" s="11"/>
    </row>
    <row r="21" spans="1:9">
      <c r="A21" s="53">
        <v>19</v>
      </c>
      <c r="B21" s="11" t="s">
        <v>50</v>
      </c>
      <c r="C21" s="11">
        <v>15</v>
      </c>
      <c r="D21" s="11" t="s">
        <v>242</v>
      </c>
      <c r="E21" s="11"/>
      <c r="F21" s="11" t="s">
        <v>1870</v>
      </c>
      <c r="G21" s="11" t="s">
        <v>3510</v>
      </c>
      <c r="H21" s="11"/>
      <c r="I21" s="11"/>
    </row>
    <row r="22" spans="1:9" ht="30">
      <c r="A22" s="53">
        <v>20</v>
      </c>
      <c r="B22" s="11" t="s">
        <v>112</v>
      </c>
      <c r="C22" s="11">
        <v>30</v>
      </c>
      <c r="D22" s="11" t="s">
        <v>242</v>
      </c>
      <c r="E22" s="11"/>
      <c r="F22" s="11" t="s">
        <v>1871</v>
      </c>
      <c r="G22" s="11" t="s">
        <v>3511</v>
      </c>
      <c r="H22" s="11"/>
      <c r="I22" s="11"/>
    </row>
    <row r="23" spans="1:9">
      <c r="A23" s="53">
        <v>21</v>
      </c>
      <c r="B23" s="11" t="s">
        <v>51</v>
      </c>
      <c r="C23" s="11">
        <v>15</v>
      </c>
      <c r="D23" s="11" t="s">
        <v>242</v>
      </c>
      <c r="E23" s="11"/>
      <c r="F23" s="11" t="s">
        <v>1872</v>
      </c>
      <c r="G23" s="11" t="s">
        <v>3512</v>
      </c>
      <c r="H23" s="11"/>
      <c r="I23" s="11"/>
    </row>
    <row r="24" spans="1:9">
      <c r="A24" s="53">
        <v>22</v>
      </c>
      <c r="B24" s="11" t="s">
        <v>52</v>
      </c>
      <c r="C24" s="11">
        <v>15</v>
      </c>
      <c r="D24" s="11" t="s">
        <v>242</v>
      </c>
      <c r="E24" s="11"/>
      <c r="F24" s="11" t="s">
        <v>1873</v>
      </c>
      <c r="G24" s="11" t="s">
        <v>3513</v>
      </c>
      <c r="H24" s="11"/>
      <c r="I24" s="11"/>
    </row>
    <row r="25" spans="1:9">
      <c r="A25" s="53">
        <v>23</v>
      </c>
      <c r="B25" s="11" t="s">
        <v>53</v>
      </c>
      <c r="C25" s="11">
        <v>15</v>
      </c>
      <c r="D25" s="11" t="s">
        <v>242</v>
      </c>
      <c r="E25" s="11"/>
      <c r="F25" s="11" t="s">
        <v>1874</v>
      </c>
      <c r="G25" s="11" t="s">
        <v>3514</v>
      </c>
      <c r="H25" s="11"/>
      <c r="I25" s="11"/>
    </row>
    <row r="26" spans="1:9">
      <c r="A26" s="53">
        <v>24</v>
      </c>
      <c r="B26" s="11" t="s">
        <v>54</v>
      </c>
      <c r="C26" s="11">
        <v>15</v>
      </c>
      <c r="D26" s="11" t="s">
        <v>242</v>
      </c>
      <c r="E26" s="11"/>
      <c r="F26" s="11" t="s">
        <v>1875</v>
      </c>
      <c r="G26" s="11" t="s">
        <v>3515</v>
      </c>
      <c r="H26" s="11"/>
      <c r="I26" s="11"/>
    </row>
    <row r="27" spans="1:9" ht="30">
      <c r="A27" s="53">
        <v>25</v>
      </c>
      <c r="B27" s="11" t="s">
        <v>113</v>
      </c>
      <c r="C27" s="11">
        <v>30</v>
      </c>
      <c r="D27" s="11" t="s">
        <v>242</v>
      </c>
      <c r="E27" s="11"/>
      <c r="F27" s="11" t="s">
        <v>1876</v>
      </c>
      <c r="G27" s="11" t="s">
        <v>3516</v>
      </c>
      <c r="H27" s="11"/>
      <c r="I27" s="11"/>
    </row>
    <row r="28" spans="1:9" ht="30">
      <c r="A28" s="53">
        <v>26</v>
      </c>
      <c r="B28" s="11" t="s">
        <v>179</v>
      </c>
      <c r="C28" s="11">
        <v>1</v>
      </c>
      <c r="D28" s="11" t="s">
        <v>242</v>
      </c>
      <c r="E28" s="11"/>
      <c r="F28" s="11" t="s">
        <v>2344</v>
      </c>
      <c r="G28" s="11" t="s">
        <v>3517</v>
      </c>
      <c r="H28" s="11"/>
      <c r="I28" s="11"/>
    </row>
    <row r="29" spans="1:9" ht="30">
      <c r="A29" s="53">
        <v>27</v>
      </c>
      <c r="B29" s="11" t="s">
        <v>77</v>
      </c>
      <c r="C29" s="11">
        <v>8</v>
      </c>
      <c r="D29" s="11" t="s">
        <v>242</v>
      </c>
      <c r="E29" s="11" t="s">
        <v>177</v>
      </c>
      <c r="F29" s="11" t="s">
        <v>2345</v>
      </c>
      <c r="G29" s="11" t="s">
        <v>3518</v>
      </c>
      <c r="H29" s="11"/>
      <c r="I29" s="11"/>
    </row>
    <row r="30" spans="1:9" ht="45">
      <c r="A30" s="53">
        <v>28</v>
      </c>
      <c r="B30" s="11" t="s">
        <v>175</v>
      </c>
      <c r="C30" s="11">
        <v>1</v>
      </c>
      <c r="D30" s="11" t="s">
        <v>242</v>
      </c>
      <c r="E30" s="11"/>
      <c r="F30" s="11" t="s">
        <v>1752</v>
      </c>
      <c r="G30" s="11" t="s">
        <v>1753</v>
      </c>
      <c r="H30" s="11"/>
      <c r="I30" s="11"/>
    </row>
    <row r="31" spans="1:9" ht="30">
      <c r="A31" s="53">
        <v>29</v>
      </c>
      <c r="B31" s="11" t="s">
        <v>105</v>
      </c>
      <c r="C31" s="11">
        <v>10</v>
      </c>
      <c r="D31" s="11" t="s">
        <v>242</v>
      </c>
      <c r="E31" s="11"/>
      <c r="F31" s="11" t="s">
        <v>1716</v>
      </c>
      <c r="G31" s="11" t="s">
        <v>3519</v>
      </c>
      <c r="H31" s="11"/>
      <c r="I31" s="11"/>
    </row>
    <row r="32" spans="1:9" ht="30">
      <c r="A32" s="53">
        <v>30</v>
      </c>
      <c r="B32" s="11" t="s">
        <v>163</v>
      </c>
      <c r="C32" s="11">
        <v>14</v>
      </c>
      <c r="D32" s="11" t="s">
        <v>161</v>
      </c>
      <c r="E32" s="11" t="s">
        <v>1033</v>
      </c>
      <c r="F32" s="11" t="s">
        <v>1717</v>
      </c>
      <c r="G32" s="11" t="s">
        <v>3520</v>
      </c>
      <c r="H32" s="11"/>
      <c r="I32" s="11"/>
    </row>
    <row r="33" spans="1:9">
      <c r="A33" s="53">
        <v>31</v>
      </c>
      <c r="B33" s="11" t="s">
        <v>1182</v>
      </c>
      <c r="C33" s="11">
        <v>12</v>
      </c>
      <c r="D33" s="11" t="s">
        <v>189</v>
      </c>
      <c r="E33" s="11" t="s">
        <v>5576</v>
      </c>
      <c r="F33" s="11" t="s">
        <v>1688</v>
      </c>
      <c r="G33" s="11" t="s">
        <v>1689</v>
      </c>
      <c r="H33" s="11"/>
      <c r="I33" s="11"/>
    </row>
    <row r="34" spans="1:9" ht="30">
      <c r="A34" s="53">
        <v>32</v>
      </c>
      <c r="B34" s="11" t="s">
        <v>1183</v>
      </c>
      <c r="C34" s="11">
        <v>30</v>
      </c>
      <c r="D34" s="11" t="s">
        <v>242</v>
      </c>
      <c r="E34" s="11" t="s">
        <v>5576</v>
      </c>
      <c r="F34" s="11" t="s">
        <v>1690</v>
      </c>
      <c r="G34" s="11" t="s">
        <v>1691</v>
      </c>
      <c r="H34" s="17"/>
      <c r="I34" s="17"/>
    </row>
    <row r="35" spans="1:9">
      <c r="H35"/>
      <c r="I35"/>
    </row>
    <row r="36" spans="1:9">
      <c r="H36"/>
      <c r="I36"/>
    </row>
    <row r="37" spans="1:9">
      <c r="H37"/>
      <c r="I37"/>
    </row>
    <row r="38" spans="1:9">
      <c r="H38"/>
      <c r="I38"/>
    </row>
    <row r="39" spans="1:9">
      <c r="H39"/>
      <c r="I39"/>
    </row>
    <row r="40" spans="1:9">
      <c r="H40"/>
      <c r="I40"/>
    </row>
    <row r="41" spans="1:9">
      <c r="H41"/>
      <c r="I41"/>
    </row>
    <row r="42" spans="1:9">
      <c r="H42"/>
      <c r="I42"/>
    </row>
    <row r="43" spans="1:9">
      <c r="H43"/>
      <c r="I43"/>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CF61D-90EA-42C6-8D9F-7743774F6B69}">
  <sheetPr codeName="Sheet7"/>
  <dimension ref="A1:J43"/>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9" width="5.28515625" style="1" bestFit="1" customWidth="1"/>
    <col min="10" max="16382" width="32.140625" style="1"/>
    <col min="16383" max="16383" width="1.7109375" style="1" customWidth="1"/>
    <col min="16384" max="16384" width="17.7109375" style="1" customWidth="1"/>
  </cols>
  <sheetData>
    <row r="1" spans="1:9">
      <c r="A1" s="12" t="s">
        <v>238</v>
      </c>
      <c r="B1" s="12" t="s">
        <v>188</v>
      </c>
      <c r="C1" s="12"/>
      <c r="D1" s="12"/>
      <c r="E1" s="12"/>
      <c r="F1" s="12"/>
      <c r="G1" s="12"/>
      <c r="H1" s="12"/>
      <c r="I1" s="12"/>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8</v>
      </c>
      <c r="D3" s="11" t="s">
        <v>160</v>
      </c>
      <c r="E3" s="11" t="s">
        <v>177</v>
      </c>
      <c r="F3" s="11" t="s">
        <v>1686</v>
      </c>
      <c r="G3" s="11" t="s">
        <v>1687</v>
      </c>
      <c r="H3" s="11" t="s">
        <v>5382</v>
      </c>
      <c r="I3" s="11"/>
    </row>
    <row r="4" spans="1:9" ht="30">
      <c r="A4" s="11">
        <v>2</v>
      </c>
      <c r="B4" s="11" t="s">
        <v>151</v>
      </c>
      <c r="C4" s="11">
        <v>7</v>
      </c>
      <c r="D4" s="11" t="s">
        <v>242</v>
      </c>
      <c r="E4" s="11"/>
      <c r="F4" s="11" t="s">
        <v>1694</v>
      </c>
      <c r="G4" s="11" t="s">
        <v>3218</v>
      </c>
      <c r="H4" s="11" t="s">
        <v>5384</v>
      </c>
      <c r="I4" s="11"/>
    </row>
    <row r="5" spans="1:9" ht="30">
      <c r="A5" s="11">
        <v>3</v>
      </c>
      <c r="B5" s="11" t="s">
        <v>180</v>
      </c>
      <c r="C5" s="11">
        <v>4</v>
      </c>
      <c r="D5" s="11" t="s">
        <v>242</v>
      </c>
      <c r="E5" s="11"/>
      <c r="F5" s="11" t="s">
        <v>2340</v>
      </c>
      <c r="G5" s="11" t="s">
        <v>3501</v>
      </c>
      <c r="H5" s="11" t="s">
        <v>5385</v>
      </c>
      <c r="I5" s="11"/>
    </row>
    <row r="6" spans="1:9" ht="90">
      <c r="A6" s="11">
        <v>4</v>
      </c>
      <c r="B6" s="11" t="s">
        <v>178</v>
      </c>
      <c r="C6" s="11">
        <v>1</v>
      </c>
      <c r="D6" s="11" t="s">
        <v>242</v>
      </c>
      <c r="E6" s="11"/>
      <c r="F6" s="11" t="s">
        <v>2341</v>
      </c>
      <c r="G6" s="11" t="s">
        <v>3502</v>
      </c>
      <c r="H6" s="11"/>
      <c r="I6" s="11"/>
    </row>
    <row r="7" spans="1:9" ht="120">
      <c r="A7" s="11">
        <v>5</v>
      </c>
      <c r="B7" s="11" t="s">
        <v>2</v>
      </c>
      <c r="C7" s="11">
        <v>1</v>
      </c>
      <c r="D7" s="11" t="s">
        <v>242</v>
      </c>
      <c r="E7" s="11"/>
      <c r="F7" s="11" t="s">
        <v>1696</v>
      </c>
      <c r="G7" s="11" t="s">
        <v>3503</v>
      </c>
      <c r="H7" s="11"/>
      <c r="I7" s="11" t="s">
        <v>5387</v>
      </c>
    </row>
    <row r="8" spans="1:9" ht="30">
      <c r="A8" s="11">
        <v>6</v>
      </c>
      <c r="B8" s="11" t="s">
        <v>44</v>
      </c>
      <c r="C8" s="11">
        <v>15</v>
      </c>
      <c r="D8" s="11" t="s">
        <v>242</v>
      </c>
      <c r="E8" s="11"/>
      <c r="F8" s="11" t="s">
        <v>1697</v>
      </c>
      <c r="G8" s="11" t="s">
        <v>3504</v>
      </c>
      <c r="H8" s="11"/>
      <c r="I8" s="11" t="s">
        <v>5386</v>
      </c>
    </row>
    <row r="9" spans="1:9" ht="30">
      <c r="A9" s="11">
        <v>7</v>
      </c>
      <c r="B9" s="11" t="s">
        <v>181</v>
      </c>
      <c r="C9" s="11">
        <v>30</v>
      </c>
      <c r="D9" s="11" t="s">
        <v>242</v>
      </c>
      <c r="E9" s="11"/>
      <c r="F9" s="11" t="s">
        <v>2342</v>
      </c>
      <c r="G9" s="11" t="s">
        <v>3505</v>
      </c>
      <c r="H9" s="11"/>
      <c r="I9" s="11"/>
    </row>
    <row r="10" spans="1:9" ht="30">
      <c r="A10" s="11">
        <v>8</v>
      </c>
      <c r="B10" s="11" t="s">
        <v>182</v>
      </c>
      <c r="C10" s="11">
        <v>3</v>
      </c>
      <c r="D10" s="11" t="s">
        <v>242</v>
      </c>
      <c r="E10" s="11"/>
      <c r="F10" s="11" t="s">
        <v>2343</v>
      </c>
      <c r="G10" s="11" t="s">
        <v>3506</v>
      </c>
      <c r="H10" s="11"/>
      <c r="I10" s="11"/>
    </row>
    <row r="11" spans="1:9">
      <c r="A11" s="11">
        <v>9</v>
      </c>
      <c r="B11" s="11" t="s">
        <v>47</v>
      </c>
      <c r="C11" s="11">
        <v>15</v>
      </c>
      <c r="D11" s="11" t="s">
        <v>242</v>
      </c>
      <c r="E11" s="11"/>
      <c r="F11" s="11" t="s">
        <v>1867</v>
      </c>
      <c r="G11" s="11" t="s">
        <v>3507</v>
      </c>
      <c r="H11" s="11"/>
      <c r="I11" s="11"/>
    </row>
    <row r="12" spans="1:9">
      <c r="A12" s="11">
        <v>10</v>
      </c>
      <c r="B12" s="11" t="s">
        <v>183</v>
      </c>
      <c r="C12" s="11">
        <v>15</v>
      </c>
      <c r="D12" s="11" t="s">
        <v>242</v>
      </c>
      <c r="E12" s="11"/>
      <c r="F12" s="11" t="s">
        <v>1868</v>
      </c>
      <c r="G12" s="11" t="s">
        <v>3508</v>
      </c>
      <c r="H12" s="11"/>
      <c r="I12" s="11"/>
    </row>
    <row r="13" spans="1:9">
      <c r="A13" s="11">
        <v>11</v>
      </c>
      <c r="B13" s="11" t="s">
        <v>184</v>
      </c>
      <c r="C13" s="11">
        <v>15</v>
      </c>
      <c r="D13" s="11" t="s">
        <v>242</v>
      </c>
      <c r="E13" s="11"/>
      <c r="F13" s="11" t="s">
        <v>1869</v>
      </c>
      <c r="G13" s="11" t="s">
        <v>3509</v>
      </c>
      <c r="H13" s="11"/>
      <c r="I13" s="11"/>
    </row>
    <row r="14" spans="1:9">
      <c r="A14" s="11">
        <v>12</v>
      </c>
      <c r="B14" s="11" t="s">
        <v>50</v>
      </c>
      <c r="C14" s="11">
        <v>15</v>
      </c>
      <c r="D14" s="11" t="s">
        <v>242</v>
      </c>
      <c r="E14" s="11"/>
      <c r="F14" s="11" t="s">
        <v>1870</v>
      </c>
      <c r="G14" s="11" t="s">
        <v>3510</v>
      </c>
      <c r="H14" s="11"/>
      <c r="I14" s="11"/>
    </row>
    <row r="15" spans="1:9" ht="30">
      <c r="A15" s="11">
        <v>13</v>
      </c>
      <c r="B15" s="11" t="s">
        <v>112</v>
      </c>
      <c r="C15" s="11">
        <v>30</v>
      </c>
      <c r="D15" s="11" t="s">
        <v>242</v>
      </c>
      <c r="E15" s="11"/>
      <c r="F15" s="11" t="s">
        <v>1871</v>
      </c>
      <c r="G15" s="11" t="s">
        <v>3511</v>
      </c>
      <c r="H15" s="11"/>
      <c r="I15" s="11"/>
    </row>
    <row r="16" spans="1:9">
      <c r="A16" s="11">
        <v>14</v>
      </c>
      <c r="B16" s="11" t="s">
        <v>51</v>
      </c>
      <c r="C16" s="11">
        <v>15</v>
      </c>
      <c r="D16" s="11" t="s">
        <v>242</v>
      </c>
      <c r="E16" s="11"/>
      <c r="F16" s="11" t="s">
        <v>1872</v>
      </c>
      <c r="G16" s="11" t="s">
        <v>3512</v>
      </c>
      <c r="H16" s="11"/>
      <c r="I16" s="11"/>
    </row>
    <row r="17" spans="1:10">
      <c r="A17" s="11">
        <v>15</v>
      </c>
      <c r="B17" s="11" t="s">
        <v>185</v>
      </c>
      <c r="C17" s="11">
        <v>15</v>
      </c>
      <c r="D17" s="11" t="s">
        <v>242</v>
      </c>
      <c r="E17" s="11"/>
      <c r="F17" s="11" t="s">
        <v>1873</v>
      </c>
      <c r="G17" s="11" t="s">
        <v>3513</v>
      </c>
      <c r="H17" s="11"/>
      <c r="I17" s="11"/>
    </row>
    <row r="18" spans="1:10">
      <c r="A18" s="11">
        <v>16</v>
      </c>
      <c r="B18" s="11" t="s">
        <v>186</v>
      </c>
      <c r="C18" s="11">
        <v>15</v>
      </c>
      <c r="D18" s="11" t="s">
        <v>242</v>
      </c>
      <c r="E18" s="11"/>
      <c r="F18" s="11" t="s">
        <v>1874</v>
      </c>
      <c r="G18" s="11" t="s">
        <v>3514</v>
      </c>
      <c r="H18" s="11"/>
      <c r="I18" s="11"/>
    </row>
    <row r="19" spans="1:10">
      <c r="A19" s="11">
        <v>17</v>
      </c>
      <c r="B19" s="11" t="s">
        <v>54</v>
      </c>
      <c r="C19" s="11">
        <v>15</v>
      </c>
      <c r="D19" s="11" t="s">
        <v>242</v>
      </c>
      <c r="E19" s="11"/>
      <c r="F19" s="11" t="s">
        <v>1875</v>
      </c>
      <c r="G19" s="11" t="s">
        <v>3515</v>
      </c>
      <c r="H19" s="11"/>
      <c r="I19" s="11"/>
    </row>
    <row r="20" spans="1:10" ht="30">
      <c r="A20" s="11">
        <v>18</v>
      </c>
      <c r="B20" s="11" t="s">
        <v>113</v>
      </c>
      <c r="C20" s="11">
        <v>30</v>
      </c>
      <c r="D20" s="11" t="s">
        <v>242</v>
      </c>
      <c r="E20" s="11"/>
      <c r="F20" s="11" t="s">
        <v>1876</v>
      </c>
      <c r="G20" s="11" t="s">
        <v>3516</v>
      </c>
      <c r="H20" s="11"/>
      <c r="I20" s="11"/>
    </row>
    <row r="21" spans="1:10" ht="30">
      <c r="A21" s="11">
        <v>19</v>
      </c>
      <c r="B21" s="11" t="s">
        <v>179</v>
      </c>
      <c r="C21" s="11">
        <v>1</v>
      </c>
      <c r="D21" s="11" t="s">
        <v>242</v>
      </c>
      <c r="E21" s="11"/>
      <c r="F21" s="11" t="s">
        <v>2344</v>
      </c>
      <c r="G21" s="11" t="s">
        <v>3517</v>
      </c>
      <c r="H21" s="11"/>
      <c r="I21" s="11"/>
    </row>
    <row r="22" spans="1:10" ht="30">
      <c r="A22" s="11">
        <v>20</v>
      </c>
      <c r="B22" s="11" t="s">
        <v>77</v>
      </c>
      <c r="C22" s="11">
        <v>8</v>
      </c>
      <c r="D22" s="11" t="s">
        <v>160</v>
      </c>
      <c r="E22" s="11" t="s">
        <v>177</v>
      </c>
      <c r="F22" s="11" t="s">
        <v>2345</v>
      </c>
      <c r="G22" s="11" t="s">
        <v>3518</v>
      </c>
      <c r="H22" s="11"/>
      <c r="I22" s="11"/>
    </row>
    <row r="23" spans="1:10" ht="30">
      <c r="A23" s="11">
        <v>21</v>
      </c>
      <c r="B23" s="11" t="s">
        <v>78</v>
      </c>
      <c r="C23" s="11">
        <v>4</v>
      </c>
      <c r="D23" s="11" t="s">
        <v>242</v>
      </c>
      <c r="E23" s="11"/>
      <c r="F23" s="11" t="s">
        <v>1707</v>
      </c>
      <c r="G23" s="11" t="s">
        <v>3521</v>
      </c>
      <c r="H23" s="11"/>
      <c r="I23" s="11"/>
    </row>
    <row r="24" spans="1:10" ht="30">
      <c r="A24" s="11">
        <v>22</v>
      </c>
      <c r="B24" s="11" t="s">
        <v>187</v>
      </c>
      <c r="C24" s="11">
        <v>8</v>
      </c>
      <c r="D24" s="11" t="s">
        <v>242</v>
      </c>
      <c r="E24" s="11"/>
      <c r="F24" s="11" t="s">
        <v>2346</v>
      </c>
      <c r="G24" s="11" t="s">
        <v>3522</v>
      </c>
      <c r="H24" s="11"/>
      <c r="I24" s="11"/>
    </row>
    <row r="25" spans="1:10" ht="30">
      <c r="A25" s="11">
        <v>23</v>
      </c>
      <c r="B25" s="11" t="s">
        <v>168</v>
      </c>
      <c r="C25" s="11">
        <v>10</v>
      </c>
      <c r="D25" s="11" t="s">
        <v>242</v>
      </c>
      <c r="E25" s="11"/>
      <c r="F25" s="11" t="s">
        <v>1758</v>
      </c>
      <c r="G25" s="11" t="s">
        <v>3523</v>
      </c>
      <c r="H25" s="11"/>
      <c r="I25" s="11"/>
    </row>
    <row r="26" spans="1:10" ht="30">
      <c r="A26" s="11">
        <v>24</v>
      </c>
      <c r="B26" s="11" t="s">
        <v>169</v>
      </c>
      <c r="C26" s="11">
        <v>14</v>
      </c>
      <c r="D26" s="11" t="s">
        <v>161</v>
      </c>
      <c r="E26" s="11" t="s">
        <v>162</v>
      </c>
      <c r="F26" s="11" t="s">
        <v>1882</v>
      </c>
      <c r="G26" s="11" t="s">
        <v>3524</v>
      </c>
      <c r="H26" s="11"/>
      <c r="I26" s="11"/>
    </row>
    <row r="27" spans="1:10" ht="30">
      <c r="A27" s="11">
        <v>25</v>
      </c>
      <c r="B27" s="11" t="s">
        <v>105</v>
      </c>
      <c r="C27" s="11">
        <v>10</v>
      </c>
      <c r="D27" s="11" t="s">
        <v>242</v>
      </c>
      <c r="E27" s="11"/>
      <c r="F27" s="11" t="s">
        <v>1716</v>
      </c>
      <c r="G27" s="11" t="s">
        <v>3519</v>
      </c>
      <c r="H27" s="11"/>
      <c r="I27" s="11"/>
    </row>
    <row r="28" spans="1:10" ht="30">
      <c r="A28" s="11">
        <v>26</v>
      </c>
      <c r="B28" s="11" t="s">
        <v>163</v>
      </c>
      <c r="C28" s="11">
        <v>14</v>
      </c>
      <c r="D28" s="11" t="s">
        <v>161</v>
      </c>
      <c r="E28" s="11" t="s">
        <v>162</v>
      </c>
      <c r="F28" s="11" t="s">
        <v>1717</v>
      </c>
      <c r="G28" s="11" t="s">
        <v>3520</v>
      </c>
      <c r="H28" s="11"/>
      <c r="I28" s="11"/>
    </row>
    <row r="29" spans="1:10">
      <c r="A29" s="11">
        <v>27</v>
      </c>
      <c r="B29" s="11" t="s">
        <v>1182</v>
      </c>
      <c r="C29" s="11">
        <v>12</v>
      </c>
      <c r="D29" s="11" t="s">
        <v>189</v>
      </c>
      <c r="E29" s="11" t="s">
        <v>5576</v>
      </c>
      <c r="F29" s="11" t="s">
        <v>1688</v>
      </c>
      <c r="G29" s="11" t="s">
        <v>1689</v>
      </c>
      <c r="H29" s="11"/>
      <c r="I29" s="11"/>
    </row>
    <row r="30" spans="1:10" ht="30">
      <c r="A30" s="11">
        <v>28</v>
      </c>
      <c r="B30" s="11" t="s">
        <v>1183</v>
      </c>
      <c r="C30" s="11">
        <v>30</v>
      </c>
      <c r="D30" s="11" t="s">
        <v>242</v>
      </c>
      <c r="E30" s="11" t="s">
        <v>5576</v>
      </c>
      <c r="F30" s="11" t="s">
        <v>1690</v>
      </c>
      <c r="G30" s="11" t="s">
        <v>1691</v>
      </c>
      <c r="H30" s="11"/>
      <c r="I30" s="11"/>
    </row>
    <row r="31" spans="1:10">
      <c r="G31"/>
      <c r="H31"/>
      <c r="I31"/>
      <c r="J31"/>
    </row>
    <row r="32" spans="1:10">
      <c r="G32"/>
      <c r="H32"/>
      <c r="I32"/>
      <c r="J32"/>
    </row>
    <row r="33" spans="7:10">
      <c r="G33"/>
      <c r="H33"/>
      <c r="I33"/>
      <c r="J33"/>
    </row>
    <row r="34" spans="7:10">
      <c r="H34"/>
      <c r="I34"/>
    </row>
    <row r="35" spans="7:10">
      <c r="H35"/>
      <c r="I35"/>
    </row>
    <row r="36" spans="7:10">
      <c r="H36"/>
      <c r="I36"/>
    </row>
    <row r="37" spans="7:10">
      <c r="H37"/>
      <c r="I37"/>
    </row>
    <row r="38" spans="7:10">
      <c r="H38"/>
      <c r="I38"/>
    </row>
    <row r="39" spans="7:10">
      <c r="H39"/>
      <c r="I39"/>
    </row>
    <row r="40" spans="7:10">
      <c r="H40"/>
      <c r="I40"/>
    </row>
    <row r="41" spans="7:10">
      <c r="H41"/>
      <c r="I41"/>
    </row>
    <row r="42" spans="7:10">
      <c r="H42"/>
      <c r="I42"/>
    </row>
    <row r="43" spans="7:10">
      <c r="H43"/>
      <c r="I43"/>
    </row>
  </sheetData>
  <autoFilter ref="D2:D34" xr:uid="{245CF61D-90EA-42C6-8D9F-7743774F6B69}"/>
  <pageMargins left="0.7" right="0.7" top="0.75" bottom="0.75" header="0.3" footer="0.3"/>
  <pageSetup orientation="portrait" verticalDpi="0"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AA9FA-38B2-4BFE-93C3-82AB9601DC49}">
  <sheetPr codeName="Sheet113"/>
  <dimension ref="A1:J43"/>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10" width="5.28515625" style="1" bestFit="1" customWidth="1"/>
    <col min="11" max="16382" width="32.140625" style="1"/>
    <col min="16383" max="16383" width="1.7109375" style="1" customWidth="1"/>
    <col min="16384" max="16384" width="17.7109375" style="1" customWidth="1"/>
  </cols>
  <sheetData>
    <row r="1" spans="1:10">
      <c r="A1" s="12" t="s">
        <v>238</v>
      </c>
      <c r="B1" s="12"/>
      <c r="C1" s="12"/>
      <c r="D1" s="12"/>
      <c r="E1" s="12"/>
      <c r="F1" s="12"/>
      <c r="G1" s="12"/>
      <c r="H1" s="12"/>
      <c r="I1" s="12"/>
      <c r="J1" s="11"/>
    </row>
    <row r="2" spans="1:10">
      <c r="A2" s="10" t="s">
        <v>350</v>
      </c>
      <c r="B2" s="10" t="s">
        <v>156</v>
      </c>
      <c r="C2" s="10" t="s">
        <v>157</v>
      </c>
      <c r="D2" s="10" t="s">
        <v>239</v>
      </c>
      <c r="E2" s="10" t="s">
        <v>159</v>
      </c>
      <c r="F2" s="10" t="s">
        <v>1684</v>
      </c>
      <c r="G2" s="10" t="s">
        <v>1685</v>
      </c>
      <c r="H2" s="10" t="s">
        <v>5367</v>
      </c>
      <c r="I2" s="10" t="s">
        <v>5366</v>
      </c>
      <c r="J2" s="10" t="s">
        <v>5677</v>
      </c>
    </row>
    <row r="3" spans="1:10">
      <c r="A3" s="11">
        <v>1</v>
      </c>
      <c r="B3" s="11" t="s">
        <v>240</v>
      </c>
      <c r="C3" s="11">
        <v>8</v>
      </c>
      <c r="D3" s="11" t="s">
        <v>160</v>
      </c>
      <c r="E3" s="11" t="s">
        <v>177</v>
      </c>
      <c r="F3" s="11" t="s">
        <v>1686</v>
      </c>
      <c r="G3" s="11" t="s">
        <v>1687</v>
      </c>
      <c r="H3" s="11" t="s">
        <v>5382</v>
      </c>
      <c r="I3" s="11"/>
      <c r="J3" s="11"/>
    </row>
    <row r="4" spans="1:10" ht="30">
      <c r="A4" s="11">
        <v>2</v>
      </c>
      <c r="B4" s="11" t="s">
        <v>78</v>
      </c>
      <c r="C4" s="11">
        <v>4</v>
      </c>
      <c r="D4" s="11" t="s">
        <v>242</v>
      </c>
      <c r="E4" s="11"/>
      <c r="F4" s="11" t="s">
        <v>1707</v>
      </c>
      <c r="G4" s="11" t="s">
        <v>3525</v>
      </c>
      <c r="H4" s="11" t="s">
        <v>5384</v>
      </c>
      <c r="I4" s="11"/>
      <c r="J4" s="11"/>
    </row>
    <row r="5" spans="1:10" ht="30">
      <c r="A5" s="11">
        <v>3</v>
      </c>
      <c r="B5" s="11" t="s">
        <v>89</v>
      </c>
      <c r="C5" s="11">
        <v>10</v>
      </c>
      <c r="D5" s="11" t="s">
        <v>242</v>
      </c>
      <c r="E5" s="11"/>
      <c r="F5" s="11" t="s">
        <v>1708</v>
      </c>
      <c r="G5" s="11" t="s">
        <v>3526</v>
      </c>
      <c r="H5" s="11" t="s">
        <v>5385</v>
      </c>
      <c r="I5" s="11"/>
      <c r="J5" s="11"/>
    </row>
    <row r="6" spans="1:10" ht="30">
      <c r="A6" s="11">
        <v>4</v>
      </c>
      <c r="B6" s="11" t="s">
        <v>87</v>
      </c>
      <c r="C6" s="11">
        <v>14</v>
      </c>
      <c r="D6" s="11" t="s">
        <v>161</v>
      </c>
      <c r="E6" s="11" t="s">
        <v>1033</v>
      </c>
      <c r="F6" s="11" t="s">
        <v>2347</v>
      </c>
      <c r="G6" s="11" t="s">
        <v>3527</v>
      </c>
      <c r="H6" s="11" t="s">
        <v>5402</v>
      </c>
      <c r="I6" s="11"/>
      <c r="J6" s="11"/>
    </row>
    <row r="7" spans="1:10" ht="30">
      <c r="A7" s="11">
        <v>5</v>
      </c>
      <c r="B7" s="11" t="s">
        <v>1229</v>
      </c>
      <c r="C7" s="11">
        <v>3</v>
      </c>
      <c r="D7" s="11" t="s">
        <v>242</v>
      </c>
      <c r="E7" s="11"/>
      <c r="F7" s="11" t="s">
        <v>2348</v>
      </c>
      <c r="G7" s="11" t="s">
        <v>3528</v>
      </c>
      <c r="H7" s="11"/>
      <c r="I7" s="11"/>
      <c r="J7" s="11"/>
    </row>
    <row r="8" spans="1:10" ht="30">
      <c r="A8" s="11">
        <v>6</v>
      </c>
      <c r="B8" s="11" t="s">
        <v>1576</v>
      </c>
      <c r="C8" s="11">
        <v>1</v>
      </c>
      <c r="D8" s="11" t="s">
        <v>242</v>
      </c>
      <c r="E8" s="11"/>
      <c r="F8" s="11" t="s">
        <v>2349</v>
      </c>
      <c r="G8" s="11" t="s">
        <v>3529</v>
      </c>
      <c r="H8" s="11"/>
      <c r="I8" s="11"/>
      <c r="J8" s="11"/>
    </row>
    <row r="9" spans="1:10" ht="30">
      <c r="A9" s="11">
        <v>7</v>
      </c>
      <c r="B9" s="11" t="s">
        <v>1577</v>
      </c>
      <c r="C9" s="11">
        <v>5</v>
      </c>
      <c r="D9" s="11" t="s">
        <v>242</v>
      </c>
      <c r="E9" s="11"/>
      <c r="F9" s="11" t="s">
        <v>2350</v>
      </c>
      <c r="G9" s="11" t="s">
        <v>3530</v>
      </c>
      <c r="H9" s="11"/>
      <c r="I9" s="11"/>
      <c r="J9" s="11"/>
    </row>
    <row r="10" spans="1:10" ht="30">
      <c r="A10" s="11">
        <v>8</v>
      </c>
      <c r="B10" s="11" t="s">
        <v>1578</v>
      </c>
      <c r="C10" s="11">
        <v>4</v>
      </c>
      <c r="D10" s="11" t="s">
        <v>242</v>
      </c>
      <c r="E10" s="11"/>
      <c r="F10" s="11" t="s">
        <v>2351</v>
      </c>
      <c r="G10" s="11" t="s">
        <v>3531</v>
      </c>
      <c r="H10" s="11"/>
      <c r="I10" s="11" t="s">
        <v>5387</v>
      </c>
      <c r="J10" s="11"/>
    </row>
    <row r="11" spans="1:10" ht="30">
      <c r="A11" s="11">
        <v>9</v>
      </c>
      <c r="B11" s="11" t="s">
        <v>1579</v>
      </c>
      <c r="C11" s="11">
        <v>19</v>
      </c>
      <c r="D11" s="11" t="s">
        <v>242</v>
      </c>
      <c r="E11" s="11"/>
      <c r="F11" s="11" t="s">
        <v>2352</v>
      </c>
      <c r="G11" s="11" t="s">
        <v>3532</v>
      </c>
      <c r="H11" s="11"/>
      <c r="I11" s="11" t="s">
        <v>5386</v>
      </c>
      <c r="J11" s="11"/>
    </row>
    <row r="12" spans="1:10" ht="30">
      <c r="A12" s="11">
        <v>10</v>
      </c>
      <c r="B12" s="11" t="s">
        <v>1580</v>
      </c>
      <c r="C12" s="11">
        <v>1</v>
      </c>
      <c r="D12" s="11" t="s">
        <v>242</v>
      </c>
      <c r="E12" s="11"/>
      <c r="F12" s="11" t="s">
        <v>2353</v>
      </c>
      <c r="G12" s="11" t="s">
        <v>3533</v>
      </c>
      <c r="H12" s="11"/>
      <c r="I12" s="11"/>
      <c r="J12" s="11"/>
    </row>
    <row r="13" spans="1:10" ht="30">
      <c r="A13" s="11">
        <v>11</v>
      </c>
      <c r="B13" s="11" t="s">
        <v>1581</v>
      </c>
      <c r="C13" s="11">
        <v>19</v>
      </c>
      <c r="D13" s="11" t="s">
        <v>189</v>
      </c>
      <c r="E13" s="11"/>
      <c r="F13" s="11" t="s">
        <v>2354</v>
      </c>
      <c r="G13" s="11" t="s">
        <v>3534</v>
      </c>
      <c r="H13" s="11"/>
      <c r="I13" s="11"/>
      <c r="J13" s="11"/>
    </row>
    <row r="14" spans="1:10" ht="30">
      <c r="A14" s="11">
        <v>12</v>
      </c>
      <c r="B14" s="11" t="s">
        <v>451</v>
      </c>
      <c r="C14" s="11">
        <v>4</v>
      </c>
      <c r="D14" s="11" t="s">
        <v>242</v>
      </c>
      <c r="E14" s="11"/>
      <c r="F14" s="11" t="s">
        <v>2355</v>
      </c>
      <c r="G14" s="11" t="s">
        <v>3535</v>
      </c>
      <c r="H14" s="11"/>
      <c r="I14" s="11"/>
      <c r="J14" s="11"/>
    </row>
    <row r="15" spans="1:10" ht="30">
      <c r="A15" s="11">
        <v>13</v>
      </c>
      <c r="B15" s="11" t="s">
        <v>1582</v>
      </c>
      <c r="C15" s="11">
        <v>1</v>
      </c>
      <c r="D15" s="11" t="s">
        <v>242</v>
      </c>
      <c r="E15" s="11"/>
      <c r="F15" s="11" t="s">
        <v>2356</v>
      </c>
      <c r="G15" s="11" t="s">
        <v>3536</v>
      </c>
      <c r="H15" s="11"/>
      <c r="I15" s="11"/>
      <c r="J15" s="11"/>
    </row>
    <row r="16" spans="1:10" ht="30">
      <c r="A16" s="11">
        <v>14</v>
      </c>
      <c r="B16" s="11" t="s">
        <v>1110</v>
      </c>
      <c r="C16" s="11">
        <v>14</v>
      </c>
      <c r="D16" s="11" t="s">
        <v>242</v>
      </c>
      <c r="E16" s="11"/>
      <c r="F16" s="11" t="s">
        <v>2357</v>
      </c>
      <c r="G16" s="11" t="s">
        <v>3537</v>
      </c>
      <c r="H16" s="11"/>
      <c r="I16" s="11"/>
      <c r="J16" s="11" t="s">
        <v>5388</v>
      </c>
    </row>
    <row r="17" spans="1:10" ht="30">
      <c r="A17" s="11">
        <v>15</v>
      </c>
      <c r="B17" s="11" t="s">
        <v>422</v>
      </c>
      <c r="C17" s="11">
        <v>14</v>
      </c>
      <c r="D17" s="11" t="s">
        <v>242</v>
      </c>
      <c r="E17" s="11"/>
      <c r="F17" s="11" t="s">
        <v>1933</v>
      </c>
      <c r="G17" s="11" t="s">
        <v>3538</v>
      </c>
      <c r="H17" s="11"/>
      <c r="I17" s="11"/>
      <c r="J17" s="11"/>
    </row>
    <row r="18" spans="1:10" ht="30">
      <c r="A18" s="11">
        <v>16</v>
      </c>
      <c r="B18" s="11" t="s">
        <v>426</v>
      </c>
      <c r="C18" s="11">
        <v>2</v>
      </c>
      <c r="D18" s="11" t="s">
        <v>242</v>
      </c>
      <c r="E18" s="11"/>
      <c r="F18" s="11" t="s">
        <v>1932</v>
      </c>
      <c r="G18" s="11" t="s">
        <v>3539</v>
      </c>
      <c r="H18" s="11"/>
      <c r="I18" s="11"/>
      <c r="J18" s="11"/>
    </row>
    <row r="19" spans="1:10" ht="30">
      <c r="A19" s="11">
        <v>17</v>
      </c>
      <c r="B19" s="11" t="s">
        <v>1341</v>
      </c>
      <c r="C19" s="11">
        <v>4</v>
      </c>
      <c r="D19" s="11" t="s">
        <v>242</v>
      </c>
      <c r="E19" s="11"/>
      <c r="F19" s="11" t="s">
        <v>1941</v>
      </c>
      <c r="G19" s="11" t="s">
        <v>3540</v>
      </c>
      <c r="H19" s="11"/>
      <c r="I19" s="11"/>
      <c r="J19" s="11"/>
    </row>
    <row r="20" spans="1:10" ht="30">
      <c r="A20" s="11">
        <v>18</v>
      </c>
      <c r="B20" s="11" t="s">
        <v>1583</v>
      </c>
      <c r="C20" s="11">
        <v>10</v>
      </c>
      <c r="D20" s="11" t="s">
        <v>242</v>
      </c>
      <c r="E20" s="11"/>
      <c r="F20" s="11" t="s">
        <v>2358</v>
      </c>
      <c r="G20" s="11" t="s">
        <v>3541</v>
      </c>
      <c r="H20" s="11"/>
      <c r="I20" s="11"/>
      <c r="J20" s="11"/>
    </row>
    <row r="21" spans="1:10" ht="30">
      <c r="A21" s="11">
        <v>19</v>
      </c>
      <c r="B21" s="11" t="s">
        <v>425</v>
      </c>
      <c r="C21" s="11">
        <v>8</v>
      </c>
      <c r="D21" s="11" t="s">
        <v>160</v>
      </c>
      <c r="E21" s="11" t="s">
        <v>177</v>
      </c>
      <c r="F21" s="11" t="s">
        <v>2359</v>
      </c>
      <c r="G21" s="11" t="s">
        <v>3542</v>
      </c>
      <c r="H21" s="11"/>
      <c r="I21" s="11"/>
      <c r="J21" s="11"/>
    </row>
    <row r="22" spans="1:10" ht="30">
      <c r="A22" s="11">
        <v>20</v>
      </c>
      <c r="B22" s="11" t="s">
        <v>1584</v>
      </c>
      <c r="C22" s="11">
        <v>14</v>
      </c>
      <c r="D22" s="11" t="s">
        <v>161</v>
      </c>
      <c r="E22" s="11" t="s">
        <v>1033</v>
      </c>
      <c r="F22" s="11" t="s">
        <v>2360</v>
      </c>
      <c r="G22" s="11" t="s">
        <v>3543</v>
      </c>
      <c r="H22" s="11"/>
      <c r="I22" s="11"/>
      <c r="J22" s="11"/>
    </row>
    <row r="23" spans="1:10" ht="30">
      <c r="A23" s="11">
        <v>21</v>
      </c>
      <c r="B23" s="11" t="s">
        <v>1585</v>
      </c>
      <c r="C23" s="11">
        <v>1</v>
      </c>
      <c r="D23" s="11" t="s">
        <v>242</v>
      </c>
      <c r="E23" s="11"/>
      <c r="F23" s="11" t="s">
        <v>2361</v>
      </c>
      <c r="G23" s="11" t="s">
        <v>3544</v>
      </c>
      <c r="H23" s="11"/>
      <c r="I23" s="11"/>
      <c r="J23" s="11"/>
    </row>
    <row r="24" spans="1:10" ht="30">
      <c r="A24" s="11">
        <v>22</v>
      </c>
      <c r="B24" s="11" t="s">
        <v>1586</v>
      </c>
      <c r="C24" s="11">
        <v>32</v>
      </c>
      <c r="D24" s="11" t="s">
        <v>242</v>
      </c>
      <c r="E24" s="11"/>
      <c r="F24" s="11" t="s">
        <v>2362</v>
      </c>
      <c r="G24" s="11" t="s">
        <v>3545</v>
      </c>
      <c r="H24" s="11"/>
      <c r="I24" s="11"/>
      <c r="J24" s="11"/>
    </row>
    <row r="25" spans="1:10" ht="30">
      <c r="A25" s="11">
        <v>23</v>
      </c>
      <c r="B25" s="11" t="s">
        <v>1587</v>
      </c>
      <c r="C25" s="11">
        <v>32</v>
      </c>
      <c r="D25" s="11" t="s">
        <v>242</v>
      </c>
      <c r="E25" s="11"/>
      <c r="F25" s="11" t="s">
        <v>2363</v>
      </c>
      <c r="G25" s="11" t="s">
        <v>3546</v>
      </c>
      <c r="H25" s="11"/>
      <c r="I25" s="11"/>
      <c r="J25" s="11"/>
    </row>
    <row r="26" spans="1:10" ht="30">
      <c r="A26" s="11">
        <v>24</v>
      </c>
      <c r="B26" s="11" t="s">
        <v>1588</v>
      </c>
      <c r="C26" s="11">
        <v>6</v>
      </c>
      <c r="D26" s="11" t="s">
        <v>242</v>
      </c>
      <c r="E26" s="11"/>
      <c r="F26" s="11" t="s">
        <v>2364</v>
      </c>
      <c r="G26" s="11" t="s">
        <v>3547</v>
      </c>
      <c r="H26" s="11"/>
      <c r="I26" s="11"/>
      <c r="J26" s="11"/>
    </row>
    <row r="27" spans="1:10" ht="30">
      <c r="A27" s="11">
        <v>25</v>
      </c>
      <c r="B27" s="11" t="s">
        <v>1589</v>
      </c>
      <c r="C27" s="11">
        <v>1</v>
      </c>
      <c r="D27" s="11" t="s">
        <v>242</v>
      </c>
      <c r="E27" s="11"/>
      <c r="F27" s="11" t="s">
        <v>2365</v>
      </c>
      <c r="G27" s="11" t="s">
        <v>3548</v>
      </c>
      <c r="H27" s="11"/>
      <c r="I27" s="11"/>
      <c r="J27" s="11"/>
    </row>
    <row r="28" spans="1:10" ht="30">
      <c r="A28" s="11">
        <v>26</v>
      </c>
      <c r="B28" s="11" t="s">
        <v>90</v>
      </c>
      <c r="C28" s="11">
        <v>10</v>
      </c>
      <c r="D28" s="11" t="s">
        <v>242</v>
      </c>
      <c r="E28" s="11"/>
      <c r="F28" s="11" t="s">
        <v>1761</v>
      </c>
      <c r="G28" s="11" t="s">
        <v>3549</v>
      </c>
      <c r="H28" s="11"/>
      <c r="I28" s="11"/>
      <c r="J28" s="11"/>
    </row>
    <row r="29" spans="1:10" ht="30">
      <c r="A29" s="11">
        <v>27</v>
      </c>
      <c r="B29" s="11" t="s">
        <v>105</v>
      </c>
      <c r="C29" s="11">
        <v>10</v>
      </c>
      <c r="D29" s="11" t="s">
        <v>242</v>
      </c>
      <c r="E29" s="11"/>
      <c r="F29" s="11" t="s">
        <v>1716</v>
      </c>
      <c r="G29" s="11" t="s">
        <v>3550</v>
      </c>
      <c r="H29" s="11"/>
      <c r="I29" s="11"/>
      <c r="J29" s="11"/>
    </row>
    <row r="30" spans="1:10" ht="30">
      <c r="A30" s="11">
        <v>28</v>
      </c>
      <c r="B30" s="11" t="s">
        <v>163</v>
      </c>
      <c r="C30" s="11">
        <v>14</v>
      </c>
      <c r="D30" s="11" t="s">
        <v>161</v>
      </c>
      <c r="E30" s="11" t="s">
        <v>1033</v>
      </c>
      <c r="F30" s="11" t="s">
        <v>1717</v>
      </c>
      <c r="G30" s="11" t="s">
        <v>3551</v>
      </c>
      <c r="H30" s="11"/>
      <c r="I30" s="11"/>
      <c r="J30" s="11"/>
    </row>
    <row r="31" spans="1:10">
      <c r="A31" s="11">
        <v>29</v>
      </c>
      <c r="B31" s="11" t="s">
        <v>1182</v>
      </c>
      <c r="C31" s="11">
        <v>12</v>
      </c>
      <c r="D31" s="11" t="s">
        <v>189</v>
      </c>
      <c r="E31" s="11" t="s">
        <v>5576</v>
      </c>
      <c r="F31" s="11" t="s">
        <v>1688</v>
      </c>
      <c r="G31" s="11" t="s">
        <v>1689</v>
      </c>
      <c r="H31" s="11"/>
      <c r="I31" s="11"/>
      <c r="J31" s="11"/>
    </row>
    <row r="32" spans="1:10" ht="30">
      <c r="A32" s="11">
        <v>30</v>
      </c>
      <c r="B32" s="11" t="s">
        <v>1183</v>
      </c>
      <c r="C32" s="11">
        <v>30</v>
      </c>
      <c r="D32" s="11" t="s">
        <v>242</v>
      </c>
      <c r="E32" s="11" t="s">
        <v>5576</v>
      </c>
      <c r="F32" s="11" t="s">
        <v>1690</v>
      </c>
      <c r="G32" s="11" t="s">
        <v>1691</v>
      </c>
      <c r="H32" s="11"/>
      <c r="I32" s="11"/>
      <c r="J32" s="11"/>
    </row>
    <row r="33" spans="8:9" customFormat="1"/>
    <row r="34" spans="8:9">
      <c r="H34"/>
      <c r="I34"/>
    </row>
    <row r="35" spans="8:9">
      <c r="H35"/>
      <c r="I35"/>
    </row>
    <row r="36" spans="8:9">
      <c r="H36"/>
      <c r="I36"/>
    </row>
    <row r="37" spans="8:9">
      <c r="H37"/>
      <c r="I37"/>
    </row>
    <row r="38" spans="8:9">
      <c r="H38"/>
      <c r="I38"/>
    </row>
    <row r="39" spans="8:9">
      <c r="H39"/>
      <c r="I39"/>
    </row>
    <row r="40" spans="8:9">
      <c r="H40"/>
      <c r="I40"/>
    </row>
    <row r="41" spans="8:9">
      <c r="H41"/>
      <c r="I41"/>
    </row>
    <row r="42" spans="8:9">
      <c r="H42"/>
      <c r="I42"/>
    </row>
    <row r="43" spans="8:9">
      <c r="H43"/>
      <c r="I43"/>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E51A7-75DD-40F8-A938-5151AB227C54}">
  <sheetPr codeName="Sheet121"/>
  <dimension ref="A1:K42"/>
  <sheetViews>
    <sheetView workbookViewId="0">
      <selection activeCell="C22" sqref="C22"/>
    </sheetView>
  </sheetViews>
  <sheetFormatPr defaultRowHeight="15"/>
  <cols>
    <col min="1" max="1" width="7.140625" style="1" bestFit="1" customWidth="1"/>
    <col min="2" max="2" width="19.42578125" style="1" bestFit="1" customWidth="1"/>
    <col min="3" max="3" width="4.5703125" style="1" bestFit="1" customWidth="1"/>
    <col min="4" max="4" width="9" style="1" bestFit="1" customWidth="1"/>
    <col min="5" max="5" width="29" style="1" customWidth="1"/>
    <col min="6" max="6" width="29.42578125" style="1" customWidth="1"/>
    <col min="7" max="7" width="42.7109375" style="1" customWidth="1"/>
    <col min="8" max="8" width="5.28515625" style="1" bestFit="1" customWidth="1"/>
    <col min="9" max="16384" width="9.140625" style="1"/>
  </cols>
  <sheetData>
    <row r="1" spans="1:11">
      <c r="A1" s="12" t="s">
        <v>238</v>
      </c>
      <c r="B1" s="12"/>
      <c r="C1" s="12"/>
      <c r="D1" s="12"/>
      <c r="E1" s="12"/>
      <c r="F1" s="12"/>
      <c r="G1" s="12"/>
      <c r="H1" s="12"/>
    </row>
    <row r="2" spans="1:11">
      <c r="A2" s="10" t="s">
        <v>350</v>
      </c>
      <c r="B2" s="10" t="s">
        <v>156</v>
      </c>
      <c r="C2" s="10" t="s">
        <v>157</v>
      </c>
      <c r="D2" s="10" t="s">
        <v>239</v>
      </c>
      <c r="E2" s="10" t="s">
        <v>159</v>
      </c>
      <c r="F2" s="10" t="s">
        <v>1684</v>
      </c>
      <c r="G2" s="10" t="s">
        <v>1685</v>
      </c>
      <c r="H2" s="10" t="s">
        <v>5367</v>
      </c>
    </row>
    <row r="3" spans="1:11">
      <c r="A3" s="11">
        <v>1</v>
      </c>
      <c r="B3" s="11" t="s">
        <v>240</v>
      </c>
      <c r="C3" s="11">
        <v>8</v>
      </c>
      <c r="D3" s="11" t="s">
        <v>160</v>
      </c>
      <c r="E3" s="11" t="s">
        <v>177</v>
      </c>
      <c r="F3" s="11" t="s">
        <v>1686</v>
      </c>
      <c r="G3" s="11" t="s">
        <v>1687</v>
      </c>
      <c r="H3" s="11" t="s">
        <v>5382</v>
      </c>
    </row>
    <row r="4" spans="1:11" ht="30">
      <c r="A4" s="11">
        <v>2</v>
      </c>
      <c r="B4" s="11" t="s">
        <v>1333</v>
      </c>
      <c r="C4" s="11">
        <v>4</v>
      </c>
      <c r="D4" s="11" t="s">
        <v>242</v>
      </c>
      <c r="E4" s="11"/>
      <c r="F4" s="11" t="s">
        <v>1929</v>
      </c>
      <c r="G4" s="11" t="s">
        <v>3556</v>
      </c>
      <c r="H4" s="11" t="s">
        <v>5384</v>
      </c>
    </row>
    <row r="5" spans="1:11" ht="30">
      <c r="A5" s="11">
        <v>3</v>
      </c>
      <c r="B5" s="11" t="s">
        <v>451</v>
      </c>
      <c r="C5" s="11">
        <v>4</v>
      </c>
      <c r="D5" s="11" t="s">
        <v>242</v>
      </c>
      <c r="E5" s="11"/>
      <c r="F5" s="11" t="s">
        <v>2355</v>
      </c>
      <c r="G5" s="11" t="s">
        <v>3557</v>
      </c>
      <c r="H5" s="11" t="s">
        <v>5385</v>
      </c>
    </row>
    <row r="6" spans="1:11" ht="30">
      <c r="A6" s="11">
        <v>4</v>
      </c>
      <c r="B6" s="11" t="s">
        <v>749</v>
      </c>
      <c r="C6" s="11">
        <v>50</v>
      </c>
      <c r="D6" s="11" t="s">
        <v>242</v>
      </c>
      <c r="E6" s="11"/>
      <c r="F6" s="11" t="s">
        <v>1930</v>
      </c>
      <c r="G6" s="11" t="s">
        <v>5619</v>
      </c>
      <c r="H6" s="11"/>
    </row>
    <row r="7" spans="1:11" ht="30">
      <c r="A7" s="11">
        <v>5</v>
      </c>
      <c r="B7" s="11" t="s">
        <v>748</v>
      </c>
      <c r="C7" s="11">
        <v>50</v>
      </c>
      <c r="D7" s="11" t="s">
        <v>242</v>
      </c>
      <c r="E7" s="11"/>
      <c r="F7" s="11" t="s">
        <v>1931</v>
      </c>
      <c r="G7" s="11" t="s">
        <v>5626</v>
      </c>
      <c r="H7" s="11"/>
    </row>
    <row r="8" spans="1:11" ht="45">
      <c r="A8" s="11">
        <v>6</v>
      </c>
      <c r="B8" s="11" t="s">
        <v>1574</v>
      </c>
      <c r="C8" s="11">
        <v>1</v>
      </c>
      <c r="D8" s="11" t="s">
        <v>242</v>
      </c>
      <c r="E8" s="11"/>
      <c r="F8" s="11" t="s">
        <v>2373</v>
      </c>
      <c r="G8" s="11" t="s">
        <v>3558</v>
      </c>
      <c r="H8" s="11"/>
    </row>
    <row r="9" spans="1:11" ht="30">
      <c r="A9" s="11">
        <v>7</v>
      </c>
      <c r="B9" s="11" t="s">
        <v>1573</v>
      </c>
      <c r="C9" s="11">
        <v>99</v>
      </c>
      <c r="D9" s="11" t="s">
        <v>242</v>
      </c>
      <c r="E9" s="11"/>
      <c r="F9" s="11" t="s">
        <v>2374</v>
      </c>
      <c r="G9" s="11" t="s">
        <v>3559</v>
      </c>
      <c r="H9" s="11"/>
    </row>
    <row r="10" spans="1:11" ht="30">
      <c r="A10" s="11">
        <v>8</v>
      </c>
      <c r="B10" s="11" t="s">
        <v>105</v>
      </c>
      <c r="C10" s="11">
        <v>20</v>
      </c>
      <c r="D10" s="11" t="s">
        <v>242</v>
      </c>
      <c r="E10" s="11"/>
      <c r="F10" s="11" t="s">
        <v>1716</v>
      </c>
      <c r="G10" s="11" t="s">
        <v>2885</v>
      </c>
      <c r="H10" s="11"/>
    </row>
    <row r="11" spans="1:11" ht="30">
      <c r="A11" s="11">
        <v>9</v>
      </c>
      <c r="B11" s="11" t="s">
        <v>163</v>
      </c>
      <c r="C11" s="11">
        <v>14</v>
      </c>
      <c r="D11" s="11" t="s">
        <v>161</v>
      </c>
      <c r="E11" s="11" t="s">
        <v>1033</v>
      </c>
      <c r="F11" s="11" t="s">
        <v>1757</v>
      </c>
      <c r="G11" s="11" t="s">
        <v>2886</v>
      </c>
      <c r="H11" s="11"/>
    </row>
    <row r="12" spans="1:11" ht="30">
      <c r="A12" s="11">
        <v>10</v>
      </c>
      <c r="B12" s="11" t="s">
        <v>1182</v>
      </c>
      <c r="C12" s="11">
        <v>12</v>
      </c>
      <c r="D12" s="11" t="s">
        <v>189</v>
      </c>
      <c r="E12" s="11" t="s">
        <v>5576</v>
      </c>
      <c r="F12" s="11" t="s">
        <v>1688</v>
      </c>
      <c r="G12" s="11" t="s">
        <v>1689</v>
      </c>
      <c r="H12" s="11"/>
    </row>
    <row r="13" spans="1:11" ht="30">
      <c r="A13" s="11">
        <v>11</v>
      </c>
      <c r="B13" s="11" t="s">
        <v>1183</v>
      </c>
      <c r="C13" s="11">
        <v>30</v>
      </c>
      <c r="D13" s="11" t="s">
        <v>242</v>
      </c>
      <c r="E13" s="11" t="s">
        <v>5576</v>
      </c>
      <c r="F13" s="11" t="s">
        <v>1690</v>
      </c>
      <c r="G13" s="11" t="s">
        <v>1691</v>
      </c>
      <c r="H13" s="11"/>
    </row>
    <row r="14" spans="1:11">
      <c r="G14"/>
      <c r="H14"/>
      <c r="I14"/>
      <c r="J14"/>
      <c r="K14"/>
    </row>
    <row r="15" spans="1:11">
      <c r="G15"/>
      <c r="H15"/>
      <c r="I15"/>
      <c r="J15"/>
      <c r="K15"/>
    </row>
    <row r="16" spans="1:11">
      <c r="G16"/>
      <c r="H16"/>
      <c r="I16"/>
      <c r="J16"/>
      <c r="K16"/>
    </row>
    <row r="17" spans="7:11">
      <c r="G17"/>
      <c r="H17"/>
      <c r="I17"/>
      <c r="J17"/>
      <c r="K17"/>
    </row>
    <row r="18" spans="7:11">
      <c r="G18"/>
      <c r="H18"/>
      <c r="I18"/>
      <c r="J18"/>
      <c r="K18"/>
    </row>
    <row r="19" spans="7:11">
      <c r="G19"/>
      <c r="H19"/>
      <c r="I19"/>
      <c r="J19"/>
      <c r="K19"/>
    </row>
    <row r="20" spans="7:11">
      <c r="G20"/>
      <c r="H20"/>
      <c r="I20"/>
      <c r="J20"/>
      <c r="K20"/>
    </row>
    <row r="21" spans="7:11">
      <c r="G21"/>
      <c r="H21"/>
      <c r="I21"/>
      <c r="J21"/>
      <c r="K21"/>
    </row>
    <row r="22" spans="7:11">
      <c r="G22"/>
      <c r="H22"/>
      <c r="I22"/>
      <c r="J22"/>
      <c r="K22"/>
    </row>
    <row r="23" spans="7:11">
      <c r="G23"/>
      <c r="H23"/>
      <c r="I23"/>
      <c r="J23"/>
      <c r="K23"/>
    </row>
    <row r="24" spans="7:11">
      <c r="G24"/>
      <c r="H24"/>
      <c r="I24"/>
      <c r="J24"/>
      <c r="K24"/>
    </row>
    <row r="25" spans="7:11">
      <c r="G25"/>
      <c r="H25"/>
      <c r="I25"/>
      <c r="J25"/>
      <c r="K25"/>
    </row>
    <row r="26" spans="7:11">
      <c r="G26"/>
      <c r="H26"/>
      <c r="I26"/>
      <c r="J26"/>
      <c r="K26"/>
    </row>
    <row r="27" spans="7:11">
      <c r="G27"/>
      <c r="H27"/>
      <c r="I27"/>
      <c r="J27"/>
      <c r="K27"/>
    </row>
    <row r="28" spans="7:11">
      <c r="G28"/>
      <c r="H28"/>
      <c r="I28"/>
      <c r="J28"/>
      <c r="K28"/>
    </row>
    <row r="29" spans="7:11">
      <c r="G29"/>
      <c r="H29"/>
      <c r="I29"/>
      <c r="J29"/>
      <c r="K29"/>
    </row>
    <row r="30" spans="7:11">
      <c r="G30"/>
      <c r="H30"/>
      <c r="I30"/>
      <c r="J30"/>
      <c r="K30"/>
    </row>
    <row r="31" spans="7:11">
      <c r="G31"/>
      <c r="H31"/>
      <c r="I31"/>
      <c r="J31"/>
      <c r="K31"/>
    </row>
    <row r="32" spans="7:11">
      <c r="G32"/>
      <c r="H32"/>
      <c r="I32"/>
      <c r="J32"/>
      <c r="K32"/>
    </row>
    <row r="33" spans="7:11">
      <c r="G33"/>
      <c r="H33"/>
      <c r="I33"/>
      <c r="J33"/>
      <c r="K33"/>
    </row>
    <row r="34" spans="7:11">
      <c r="G34"/>
      <c r="H34"/>
      <c r="I34"/>
      <c r="J34"/>
      <c r="K34"/>
    </row>
    <row r="35" spans="7:11">
      <c r="G35"/>
      <c r="H35"/>
      <c r="I35"/>
      <c r="J35"/>
      <c r="K35"/>
    </row>
    <row r="36" spans="7:11">
      <c r="G36"/>
      <c r="H36"/>
      <c r="I36"/>
      <c r="J36"/>
      <c r="K36"/>
    </row>
    <row r="37" spans="7:11">
      <c r="G37"/>
      <c r="H37"/>
      <c r="I37"/>
      <c r="J37"/>
      <c r="K37"/>
    </row>
    <row r="38" spans="7:11">
      <c r="G38"/>
      <c r="H38"/>
      <c r="I38"/>
      <c r="J38"/>
      <c r="K38"/>
    </row>
    <row r="39" spans="7:11">
      <c r="G39"/>
      <c r="H39"/>
      <c r="I39"/>
      <c r="J39"/>
      <c r="K39"/>
    </row>
    <row r="40" spans="7:11">
      <c r="G40"/>
      <c r="H40"/>
      <c r="I40"/>
      <c r="J40"/>
      <c r="K40"/>
    </row>
    <row r="41" spans="7:11">
      <c r="G41"/>
      <c r="H41"/>
      <c r="I41"/>
      <c r="J41"/>
      <c r="K41"/>
    </row>
    <row r="42" spans="7:11">
      <c r="G42"/>
      <c r="H42"/>
      <c r="I42"/>
      <c r="J42"/>
      <c r="K42"/>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4A532-2CB3-457F-9F50-C028A5D4BFC3}">
  <sheetPr codeName="Sheet111"/>
  <dimension ref="A1:K55"/>
  <sheetViews>
    <sheetView workbookViewId="0">
      <selection activeCell="C22" sqref="C22"/>
    </sheetView>
  </sheetViews>
  <sheetFormatPr defaultRowHeight="15"/>
  <cols>
    <col min="1" max="1" width="7.140625" style="1" bestFit="1" customWidth="1"/>
    <col min="2" max="2" width="19.42578125" style="1" bestFit="1" customWidth="1"/>
    <col min="3" max="3" width="4.5703125" style="1" bestFit="1" customWidth="1"/>
    <col min="4" max="4" width="9" style="1" bestFit="1" customWidth="1"/>
    <col min="5" max="5" width="29" style="1" customWidth="1"/>
    <col min="6" max="6" width="29.42578125" style="1" customWidth="1"/>
    <col min="7" max="7" width="42.7109375" style="1" customWidth="1"/>
    <col min="8" max="16384" width="9.140625" style="1"/>
  </cols>
  <sheetData>
    <row r="1" spans="1:11">
      <c r="A1" s="12" t="s">
        <v>238</v>
      </c>
      <c r="B1" s="12"/>
      <c r="C1" s="12"/>
      <c r="D1" s="12"/>
      <c r="E1" s="12"/>
      <c r="F1" s="12"/>
      <c r="G1" s="12"/>
      <c r="H1" s="12"/>
    </row>
    <row r="2" spans="1:11">
      <c r="A2" s="10" t="s">
        <v>350</v>
      </c>
      <c r="B2" s="10" t="s">
        <v>156</v>
      </c>
      <c r="C2" s="10" t="s">
        <v>157</v>
      </c>
      <c r="D2" s="10" t="s">
        <v>239</v>
      </c>
      <c r="E2" s="10" t="s">
        <v>159</v>
      </c>
      <c r="F2" s="10" t="s">
        <v>1684</v>
      </c>
      <c r="G2" s="10" t="s">
        <v>1685</v>
      </c>
      <c r="H2" s="10" t="s">
        <v>5367</v>
      </c>
    </row>
    <row r="3" spans="1:11">
      <c r="A3" s="11">
        <v>1</v>
      </c>
      <c r="B3" s="11" t="s">
        <v>240</v>
      </c>
      <c r="C3" s="11">
        <v>8</v>
      </c>
      <c r="D3" s="11" t="s">
        <v>160</v>
      </c>
      <c r="E3" s="11" t="s">
        <v>177</v>
      </c>
      <c r="F3" s="11" t="s">
        <v>1686</v>
      </c>
      <c r="G3" s="11" t="s">
        <v>1687</v>
      </c>
      <c r="H3" s="11" t="s">
        <v>5382</v>
      </c>
    </row>
    <row r="4" spans="1:11" ht="45">
      <c r="A4" s="11">
        <v>2</v>
      </c>
      <c r="B4" s="11" t="s">
        <v>1572</v>
      </c>
      <c r="C4" s="11">
        <v>10</v>
      </c>
      <c r="D4" s="11" t="s">
        <v>242</v>
      </c>
      <c r="E4" s="11"/>
      <c r="F4" s="11" t="s">
        <v>2369</v>
      </c>
      <c r="G4" s="11" t="s">
        <v>3552</v>
      </c>
      <c r="H4" s="11" t="s">
        <v>5384</v>
      </c>
    </row>
    <row r="5" spans="1:11" ht="45">
      <c r="A5" s="11">
        <v>3</v>
      </c>
      <c r="B5" s="11" t="s">
        <v>749</v>
      </c>
      <c r="C5" s="11">
        <v>50</v>
      </c>
      <c r="D5" s="11" t="s">
        <v>242</v>
      </c>
      <c r="E5" s="11"/>
      <c r="F5" s="11" t="s">
        <v>2370</v>
      </c>
      <c r="G5" s="11" t="s">
        <v>3553</v>
      </c>
      <c r="H5" s="11"/>
    </row>
    <row r="6" spans="1:11" ht="30">
      <c r="A6" s="11">
        <v>4</v>
      </c>
      <c r="B6" s="11" t="s">
        <v>748</v>
      </c>
      <c r="C6" s="11">
        <v>50</v>
      </c>
      <c r="D6" s="11" t="s">
        <v>242</v>
      </c>
      <c r="E6" s="11"/>
      <c r="F6" s="11" t="s">
        <v>2371</v>
      </c>
      <c r="G6" s="11" t="s">
        <v>3554</v>
      </c>
      <c r="H6" s="11"/>
    </row>
    <row r="7" spans="1:11" ht="45">
      <c r="A7" s="11">
        <v>5</v>
      </c>
      <c r="B7" s="11" t="s">
        <v>1573</v>
      </c>
      <c r="C7" s="11">
        <v>100</v>
      </c>
      <c r="D7" s="11" t="s">
        <v>242</v>
      </c>
      <c r="E7" s="11"/>
      <c r="F7" s="11" t="s">
        <v>2372</v>
      </c>
      <c r="G7" s="11" t="s">
        <v>3555</v>
      </c>
      <c r="H7" s="11"/>
    </row>
    <row r="8" spans="1:11" ht="30">
      <c r="A8" s="11">
        <v>6</v>
      </c>
      <c r="B8" s="11" t="s">
        <v>105</v>
      </c>
      <c r="C8" s="11">
        <v>20</v>
      </c>
      <c r="D8" s="11" t="s">
        <v>242</v>
      </c>
      <c r="E8" s="11"/>
      <c r="F8" s="11" t="s">
        <v>1716</v>
      </c>
      <c r="G8" s="11" t="s">
        <v>2885</v>
      </c>
      <c r="H8" s="11"/>
    </row>
    <row r="9" spans="1:11" ht="30">
      <c r="A9" s="11">
        <v>7</v>
      </c>
      <c r="B9" s="11" t="s">
        <v>163</v>
      </c>
      <c r="C9" s="11">
        <v>14</v>
      </c>
      <c r="D9" s="11" t="s">
        <v>161</v>
      </c>
      <c r="E9" s="11" t="s">
        <v>1033</v>
      </c>
      <c r="F9" s="11" t="s">
        <v>1757</v>
      </c>
      <c r="G9" s="11" t="s">
        <v>2886</v>
      </c>
      <c r="H9" s="11"/>
    </row>
    <row r="10" spans="1:11" ht="30">
      <c r="A10" s="11">
        <v>8</v>
      </c>
      <c r="B10" s="11" t="s">
        <v>1182</v>
      </c>
      <c r="C10" s="11">
        <v>12</v>
      </c>
      <c r="D10" s="11" t="s">
        <v>189</v>
      </c>
      <c r="E10" s="11" t="s">
        <v>5576</v>
      </c>
      <c r="F10" s="11" t="s">
        <v>1688</v>
      </c>
      <c r="G10" s="11" t="s">
        <v>1689</v>
      </c>
      <c r="H10" s="11"/>
    </row>
    <row r="11" spans="1:11" ht="30">
      <c r="A11" s="11">
        <v>9</v>
      </c>
      <c r="B11" s="11" t="s">
        <v>1183</v>
      </c>
      <c r="C11" s="11">
        <v>30</v>
      </c>
      <c r="D11" s="11" t="s">
        <v>242</v>
      </c>
      <c r="E11" s="11" t="s">
        <v>5576</v>
      </c>
      <c r="F11" s="11" t="s">
        <v>1690</v>
      </c>
      <c r="G11" s="11" t="s">
        <v>1691</v>
      </c>
      <c r="H11" s="11"/>
    </row>
    <row r="12" spans="1:11">
      <c r="G12"/>
      <c r="H12"/>
      <c r="I12"/>
      <c r="J12"/>
      <c r="K12"/>
    </row>
    <row r="13" spans="1:11">
      <c r="G13"/>
      <c r="H13"/>
      <c r="I13"/>
      <c r="J13"/>
      <c r="K13"/>
    </row>
    <row r="15" spans="1:11">
      <c r="A15"/>
      <c r="B15"/>
      <c r="C15"/>
      <c r="D15"/>
      <c r="E15"/>
      <c r="F15"/>
      <c r="G15"/>
      <c r="H15"/>
    </row>
    <row r="16" spans="1:11">
      <c r="A16"/>
      <c r="B16"/>
      <c r="C16"/>
      <c r="D16"/>
      <c r="E16"/>
      <c r="F16"/>
      <c r="G16"/>
      <c r="H16"/>
    </row>
    <row r="17" spans="1:8">
      <c r="A17"/>
      <c r="B17"/>
      <c r="C17"/>
      <c r="D17"/>
      <c r="E17"/>
      <c r="F17"/>
      <c r="G17"/>
      <c r="H17"/>
    </row>
    <row r="18" spans="1:8">
      <c r="A18"/>
      <c r="B18"/>
      <c r="C18"/>
      <c r="D18"/>
      <c r="E18"/>
      <c r="F18"/>
      <c r="G18"/>
      <c r="H18"/>
    </row>
    <row r="19" spans="1:8">
      <c r="A19"/>
      <c r="B19"/>
      <c r="C19"/>
      <c r="D19"/>
      <c r="E19"/>
      <c r="F19"/>
      <c r="G19"/>
      <c r="H19"/>
    </row>
    <row r="20" spans="1:8">
      <c r="A20"/>
      <c r="B20"/>
      <c r="C20"/>
      <c r="D20"/>
      <c r="E20"/>
      <c r="F20"/>
      <c r="G20"/>
      <c r="H20"/>
    </row>
    <row r="21" spans="1:8">
      <c r="A21"/>
      <c r="B21"/>
      <c r="C21"/>
      <c r="D21"/>
      <c r="E21"/>
      <c r="F21"/>
      <c r="G21"/>
      <c r="H21"/>
    </row>
    <row r="22" spans="1:8">
      <c r="A22"/>
      <c r="B22"/>
      <c r="C22"/>
      <c r="D22"/>
      <c r="E22"/>
      <c r="F22"/>
      <c r="G22"/>
      <c r="H22"/>
    </row>
    <row r="23" spans="1:8">
      <c r="A23"/>
      <c r="B23"/>
      <c r="C23"/>
      <c r="D23"/>
      <c r="E23"/>
      <c r="F23"/>
      <c r="G23"/>
      <c r="H23"/>
    </row>
    <row r="24" spans="1:8">
      <c r="A24"/>
      <c r="B24"/>
      <c r="C24"/>
      <c r="D24"/>
      <c r="E24"/>
      <c r="F24"/>
      <c r="G24"/>
      <c r="H24"/>
    </row>
    <row r="25" spans="1:8">
      <c r="A25"/>
      <c r="B25"/>
      <c r="C25"/>
      <c r="D25"/>
      <c r="E25"/>
      <c r="F25"/>
      <c r="G25"/>
      <c r="H25"/>
    </row>
    <row r="26" spans="1:8">
      <c r="A26"/>
      <c r="B26"/>
      <c r="C26"/>
      <c r="D26"/>
      <c r="E26"/>
      <c r="F26"/>
      <c r="G26"/>
      <c r="H26"/>
    </row>
    <row r="27" spans="1:8">
      <c r="A27"/>
      <c r="B27"/>
      <c r="C27"/>
      <c r="D27"/>
      <c r="E27"/>
      <c r="F27"/>
      <c r="G27"/>
      <c r="H27"/>
    </row>
    <row r="28" spans="1:8">
      <c r="A28"/>
      <c r="B28"/>
      <c r="C28"/>
      <c r="D28"/>
      <c r="E28"/>
      <c r="F28"/>
      <c r="G28"/>
      <c r="H28"/>
    </row>
    <row r="29" spans="1:8">
      <c r="A29"/>
      <c r="B29"/>
      <c r="C29"/>
      <c r="D29"/>
      <c r="E29"/>
      <c r="F29"/>
      <c r="G29"/>
      <c r="H29"/>
    </row>
    <row r="30" spans="1:8">
      <c r="A30"/>
      <c r="B30"/>
      <c r="C30"/>
      <c r="D30"/>
      <c r="E30"/>
      <c r="F30"/>
      <c r="G30"/>
      <c r="H30"/>
    </row>
    <row r="31" spans="1:8">
      <c r="A31"/>
      <c r="B31"/>
      <c r="C31"/>
      <c r="D31"/>
      <c r="E31"/>
      <c r="F31"/>
      <c r="G31"/>
      <c r="H31"/>
    </row>
    <row r="32" spans="1:8">
      <c r="A32"/>
      <c r="B32"/>
      <c r="C32"/>
      <c r="D32"/>
      <c r="E32"/>
      <c r="F32"/>
      <c r="G32"/>
      <c r="H32"/>
    </row>
    <row r="33" spans="1:8">
      <c r="A33"/>
      <c r="B33"/>
      <c r="C33"/>
      <c r="D33"/>
      <c r="E33"/>
      <c r="F33"/>
      <c r="G33"/>
      <c r="H33"/>
    </row>
    <row r="34" spans="1:8">
      <c r="A34"/>
      <c r="B34"/>
      <c r="C34"/>
      <c r="D34"/>
      <c r="E34"/>
      <c r="F34"/>
      <c r="G34"/>
      <c r="H34"/>
    </row>
    <row r="35" spans="1:8">
      <c r="A35"/>
      <c r="B35"/>
      <c r="C35"/>
      <c r="D35"/>
      <c r="E35"/>
      <c r="F35"/>
      <c r="G35"/>
      <c r="H35"/>
    </row>
    <row r="36" spans="1:8">
      <c r="A36"/>
      <c r="B36"/>
      <c r="C36"/>
      <c r="D36"/>
      <c r="E36"/>
      <c r="F36"/>
      <c r="G36"/>
      <c r="H36"/>
    </row>
    <row r="37" spans="1:8">
      <c r="A37"/>
      <c r="B37"/>
      <c r="C37"/>
      <c r="D37"/>
      <c r="E37"/>
      <c r="F37"/>
      <c r="G37"/>
      <c r="H37"/>
    </row>
    <row r="38" spans="1:8">
      <c r="A38"/>
      <c r="B38"/>
      <c r="C38"/>
      <c r="D38"/>
      <c r="E38"/>
      <c r="F38"/>
      <c r="G38"/>
      <c r="H38"/>
    </row>
    <row r="39" spans="1:8">
      <c r="A39"/>
      <c r="B39"/>
      <c r="C39"/>
      <c r="D39"/>
      <c r="E39"/>
      <c r="F39"/>
      <c r="G39"/>
      <c r="H39"/>
    </row>
    <row r="40" spans="1:8">
      <c r="A40"/>
      <c r="B40"/>
      <c r="C40"/>
      <c r="D40"/>
      <c r="E40"/>
      <c r="F40"/>
      <c r="G40"/>
      <c r="H40"/>
    </row>
    <row r="41" spans="1:8">
      <c r="A41"/>
      <c r="B41"/>
      <c r="C41"/>
      <c r="D41"/>
      <c r="E41"/>
      <c r="F41"/>
      <c r="G41"/>
      <c r="H41"/>
    </row>
    <row r="42" spans="1:8">
      <c r="A42"/>
      <c r="B42"/>
      <c r="C42"/>
      <c r="D42"/>
      <c r="E42"/>
      <c r="F42"/>
      <c r="G42"/>
      <c r="H42"/>
    </row>
    <row r="43" spans="1:8">
      <c r="A43"/>
      <c r="B43"/>
      <c r="C43"/>
      <c r="D43"/>
      <c r="E43"/>
      <c r="F43"/>
      <c r="G43"/>
      <c r="H43"/>
    </row>
    <row r="44" spans="1:8">
      <c r="A44"/>
      <c r="B44"/>
      <c r="C44"/>
      <c r="D44"/>
      <c r="E44"/>
      <c r="F44"/>
      <c r="G44"/>
      <c r="H44"/>
    </row>
    <row r="45" spans="1:8">
      <c r="A45"/>
      <c r="B45"/>
      <c r="C45"/>
      <c r="D45"/>
      <c r="E45"/>
      <c r="F45"/>
      <c r="G45"/>
      <c r="H45"/>
    </row>
    <row r="46" spans="1:8">
      <c r="A46"/>
      <c r="B46"/>
      <c r="C46"/>
      <c r="D46"/>
      <c r="E46"/>
      <c r="F46"/>
      <c r="G46"/>
      <c r="H46"/>
    </row>
    <row r="47" spans="1:8">
      <c r="A47"/>
      <c r="B47"/>
      <c r="C47"/>
      <c r="D47"/>
      <c r="E47"/>
      <c r="F47"/>
      <c r="G47"/>
      <c r="H47"/>
    </row>
    <row r="48" spans="1:8">
      <c r="A48"/>
      <c r="B48"/>
      <c r="C48"/>
      <c r="D48"/>
      <c r="E48"/>
      <c r="F48"/>
      <c r="G48"/>
      <c r="H48"/>
    </row>
    <row r="49" spans="1:8">
      <c r="A49"/>
      <c r="B49"/>
      <c r="C49"/>
      <c r="D49"/>
      <c r="E49"/>
      <c r="F49"/>
      <c r="G49"/>
      <c r="H49"/>
    </row>
    <row r="50" spans="1:8">
      <c r="A50"/>
      <c r="B50"/>
      <c r="C50"/>
      <c r="D50"/>
      <c r="E50"/>
      <c r="F50"/>
      <c r="G50"/>
      <c r="H50"/>
    </row>
    <row r="51" spans="1:8">
      <c r="A51"/>
      <c r="B51"/>
      <c r="C51"/>
      <c r="D51"/>
      <c r="E51"/>
      <c r="F51"/>
      <c r="G51"/>
      <c r="H51"/>
    </row>
    <row r="52" spans="1:8">
      <c r="A52"/>
      <c r="B52"/>
      <c r="C52"/>
      <c r="D52"/>
      <c r="E52"/>
      <c r="F52"/>
      <c r="G52"/>
      <c r="H52"/>
    </row>
    <row r="53" spans="1:8">
      <c r="A53"/>
      <c r="B53"/>
      <c r="C53"/>
      <c r="D53"/>
      <c r="E53"/>
      <c r="F53"/>
      <c r="G53"/>
      <c r="H53"/>
    </row>
    <row r="54" spans="1:8">
      <c r="A54"/>
      <c r="B54"/>
      <c r="C54"/>
      <c r="D54"/>
      <c r="E54"/>
      <c r="F54"/>
      <c r="G54"/>
      <c r="H54"/>
    </row>
    <row r="55" spans="1:8">
      <c r="A55"/>
      <c r="B55"/>
      <c r="C55"/>
      <c r="D55"/>
      <c r="E55"/>
      <c r="F55"/>
      <c r="G55"/>
      <c r="H55"/>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ED59A-38EA-4791-A71B-D074E8CC0827}">
  <sheetPr codeName="Sheet114"/>
  <dimension ref="A1:I17"/>
  <sheetViews>
    <sheetView topLeftCell="A13" workbookViewId="0">
      <selection activeCell="C22" sqref="C22"/>
    </sheetView>
  </sheetViews>
  <sheetFormatPr defaultColWidth="32.140625" defaultRowHeight="15"/>
  <cols>
    <col min="1" max="1" width="7.140625" style="1" bestFit="1" customWidth="1"/>
    <col min="2" max="2" width="22.5703125" style="1" bestFit="1" customWidth="1"/>
    <col min="3" max="3" width="4.5703125" style="1" bestFit="1" customWidth="1"/>
    <col min="4" max="4" width="9" style="1" bestFit="1" customWidth="1"/>
    <col min="5" max="5" width="24.42578125" style="1" bestFit="1" customWidth="1"/>
    <col min="6" max="6" width="33.42578125" style="1" bestFit="1" customWidth="1"/>
    <col min="7" max="7" width="57.140625" style="1" bestFit="1" customWidth="1"/>
    <col min="8" max="9" width="5.28515625" style="1" bestFit="1" customWidth="1"/>
    <col min="10" max="16382" width="32.140625" style="1"/>
    <col min="16383" max="16383" width="1.7109375" style="1" customWidth="1"/>
    <col min="16384" max="16384" width="17.7109375" style="1" customWidth="1"/>
  </cols>
  <sheetData>
    <row r="1" spans="1:9">
      <c r="A1" s="12" t="s">
        <v>238</v>
      </c>
      <c r="B1" s="12"/>
      <c r="C1" s="12"/>
      <c r="D1" s="12"/>
      <c r="E1" s="12"/>
      <c r="F1" s="12"/>
      <c r="G1" s="12"/>
      <c r="H1" s="12"/>
      <c r="I1" s="12"/>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8</v>
      </c>
      <c r="D3" s="11" t="s">
        <v>160</v>
      </c>
      <c r="E3" s="11" t="s">
        <v>177</v>
      </c>
      <c r="F3" s="11" t="s">
        <v>1686</v>
      </c>
      <c r="G3" s="11" t="s">
        <v>1687</v>
      </c>
      <c r="H3" s="11" t="s">
        <v>5382</v>
      </c>
      <c r="I3" s="11"/>
    </row>
    <row r="4" spans="1:9" ht="30">
      <c r="A4" s="11">
        <v>2</v>
      </c>
      <c r="B4" s="11" t="s">
        <v>78</v>
      </c>
      <c r="C4" s="11">
        <v>4</v>
      </c>
      <c r="D4" s="11" t="s">
        <v>242</v>
      </c>
      <c r="E4" s="11"/>
      <c r="F4" s="11" t="s">
        <v>1707</v>
      </c>
      <c r="G4" s="11" t="s">
        <v>3525</v>
      </c>
      <c r="H4" s="11" t="s">
        <v>5384</v>
      </c>
      <c r="I4" s="11"/>
    </row>
    <row r="5" spans="1:9" ht="30">
      <c r="A5" s="11">
        <v>3</v>
      </c>
      <c r="B5" s="11" t="s">
        <v>89</v>
      </c>
      <c r="C5" s="11">
        <v>10</v>
      </c>
      <c r="D5" s="11" t="s">
        <v>242</v>
      </c>
      <c r="E5" s="11"/>
      <c r="F5" s="11" t="s">
        <v>1708</v>
      </c>
      <c r="G5" s="11" t="s">
        <v>3526</v>
      </c>
      <c r="H5" s="11" t="s">
        <v>5385</v>
      </c>
      <c r="I5" s="11"/>
    </row>
    <row r="6" spans="1:9" ht="30">
      <c r="A6" s="11">
        <v>4</v>
      </c>
      <c r="B6" s="11" t="s">
        <v>87</v>
      </c>
      <c r="C6" s="11">
        <v>14</v>
      </c>
      <c r="D6" s="11" t="s">
        <v>161</v>
      </c>
      <c r="E6" s="11" t="s">
        <v>1033</v>
      </c>
      <c r="F6" s="11" t="s">
        <v>2347</v>
      </c>
      <c r="G6" s="11" t="s">
        <v>3560</v>
      </c>
      <c r="H6" s="11" t="s">
        <v>5402</v>
      </c>
      <c r="I6" s="11"/>
    </row>
    <row r="7" spans="1:9" ht="30">
      <c r="A7" s="11">
        <v>5</v>
      </c>
      <c r="B7" s="11" t="s">
        <v>241</v>
      </c>
      <c r="C7" s="11">
        <v>14</v>
      </c>
      <c r="D7" s="11" t="s">
        <v>242</v>
      </c>
      <c r="E7" s="11"/>
      <c r="F7" s="11" t="s">
        <v>1711</v>
      </c>
      <c r="G7" s="11" t="s">
        <v>3561</v>
      </c>
      <c r="H7" s="11"/>
      <c r="I7" s="11" t="s">
        <v>5387</v>
      </c>
    </row>
    <row r="8" spans="1:9" ht="30">
      <c r="A8" s="11">
        <v>6</v>
      </c>
      <c r="B8" s="11" t="s">
        <v>90</v>
      </c>
      <c r="C8" s="11">
        <v>10</v>
      </c>
      <c r="D8" s="11" t="s">
        <v>242</v>
      </c>
      <c r="E8" s="11"/>
      <c r="F8" s="11" t="s">
        <v>1761</v>
      </c>
      <c r="G8" s="11" t="s">
        <v>3562</v>
      </c>
      <c r="H8" s="11"/>
      <c r="I8" s="11"/>
    </row>
    <row r="9" spans="1:9" ht="30">
      <c r="A9" s="11">
        <v>7</v>
      </c>
      <c r="B9" s="11" t="s">
        <v>296</v>
      </c>
      <c r="C9" s="11">
        <v>2</v>
      </c>
      <c r="D9" s="11" t="s">
        <v>242</v>
      </c>
      <c r="E9" s="11"/>
      <c r="F9" s="11" t="s">
        <v>2375</v>
      </c>
      <c r="G9" s="11" t="s">
        <v>3563</v>
      </c>
      <c r="H9" s="11"/>
      <c r="I9" s="11"/>
    </row>
    <row r="10" spans="1:9" ht="30">
      <c r="A10" s="11">
        <v>8</v>
      </c>
      <c r="B10" s="11" t="s">
        <v>79</v>
      </c>
      <c r="C10" s="11">
        <v>4</v>
      </c>
      <c r="D10" s="11" t="s">
        <v>242</v>
      </c>
      <c r="E10" s="11"/>
      <c r="F10" s="11" t="s">
        <v>1715</v>
      </c>
      <c r="G10" s="11" t="s">
        <v>3564</v>
      </c>
      <c r="H10" s="11"/>
      <c r="I10" s="11"/>
    </row>
    <row r="11" spans="1:9" ht="30">
      <c r="A11" s="11">
        <v>9</v>
      </c>
      <c r="B11" s="11" t="s">
        <v>1276</v>
      </c>
      <c r="C11" s="11">
        <v>2</v>
      </c>
      <c r="D11" s="11" t="s">
        <v>242</v>
      </c>
      <c r="E11" s="11"/>
      <c r="F11" s="11" t="s">
        <v>2376</v>
      </c>
      <c r="G11" s="11" t="s">
        <v>3565</v>
      </c>
      <c r="H11" s="11"/>
      <c r="I11" s="11"/>
    </row>
    <row r="12" spans="1:9" ht="30">
      <c r="A12" s="11">
        <v>10</v>
      </c>
      <c r="B12" s="11" t="s">
        <v>1277</v>
      </c>
      <c r="C12" s="11">
        <v>2</v>
      </c>
      <c r="D12" s="11" t="s">
        <v>242</v>
      </c>
      <c r="E12" s="11"/>
      <c r="F12" s="11" t="s">
        <v>2377</v>
      </c>
      <c r="G12" s="11" t="s">
        <v>3566</v>
      </c>
      <c r="H12" s="11"/>
      <c r="I12" s="11"/>
    </row>
    <row r="13" spans="1:9" ht="30">
      <c r="A13" s="11">
        <v>11</v>
      </c>
      <c r="B13" s="11" t="s">
        <v>1284</v>
      </c>
      <c r="C13" s="11">
        <v>30</v>
      </c>
      <c r="D13" s="11" t="s">
        <v>242</v>
      </c>
      <c r="E13" s="11"/>
      <c r="F13" s="11" t="s">
        <v>2378</v>
      </c>
      <c r="G13" s="11" t="s">
        <v>3567</v>
      </c>
      <c r="H13" s="11"/>
      <c r="I13" s="11"/>
    </row>
    <row r="14" spans="1:9" ht="30">
      <c r="A14" s="11">
        <v>12</v>
      </c>
      <c r="B14" s="11" t="s">
        <v>105</v>
      </c>
      <c r="C14" s="11">
        <v>10</v>
      </c>
      <c r="D14" s="11" t="s">
        <v>242</v>
      </c>
      <c r="E14" s="11"/>
      <c r="F14" s="11" t="s">
        <v>1716</v>
      </c>
      <c r="G14" s="11" t="s">
        <v>2885</v>
      </c>
      <c r="H14" s="11"/>
      <c r="I14" s="11"/>
    </row>
    <row r="15" spans="1:9" ht="30">
      <c r="A15" s="11">
        <v>13</v>
      </c>
      <c r="B15" s="11" t="s">
        <v>163</v>
      </c>
      <c r="C15" s="11">
        <v>14</v>
      </c>
      <c r="D15" s="11" t="s">
        <v>161</v>
      </c>
      <c r="E15" s="11" t="s">
        <v>1033</v>
      </c>
      <c r="F15" s="11" t="s">
        <v>1757</v>
      </c>
      <c r="G15" s="11" t="s">
        <v>2886</v>
      </c>
      <c r="H15" s="11"/>
      <c r="I15" s="11"/>
    </row>
    <row r="16" spans="1:9">
      <c r="A16" s="11">
        <v>14</v>
      </c>
      <c r="B16" s="11" t="s">
        <v>1182</v>
      </c>
      <c r="C16" s="11">
        <v>12</v>
      </c>
      <c r="D16" s="11" t="s">
        <v>189</v>
      </c>
      <c r="E16" s="11" t="s">
        <v>5576</v>
      </c>
      <c r="F16" s="11" t="s">
        <v>1688</v>
      </c>
      <c r="G16" s="11" t="s">
        <v>1689</v>
      </c>
      <c r="H16" s="11"/>
      <c r="I16" s="11"/>
    </row>
    <row r="17" spans="1:9" ht="30">
      <c r="A17" s="11">
        <v>15</v>
      </c>
      <c r="B17" s="11" t="s">
        <v>1183</v>
      </c>
      <c r="C17" s="11">
        <v>30</v>
      </c>
      <c r="D17" s="11" t="s">
        <v>242</v>
      </c>
      <c r="E17" s="11" t="s">
        <v>5576</v>
      </c>
      <c r="F17" s="11" t="s">
        <v>1690</v>
      </c>
      <c r="G17" s="11" t="s">
        <v>1691</v>
      </c>
      <c r="H17" s="11"/>
      <c r="I17" s="11"/>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ED2C4-E6D0-4F57-8ABC-9DBFDD694A41}">
  <sheetPr codeName="Sheet105"/>
  <dimension ref="A1:J13"/>
  <sheetViews>
    <sheetView workbookViewId="0">
      <selection activeCell="C22" sqref="C22"/>
    </sheetView>
  </sheetViews>
  <sheetFormatPr defaultColWidth="32.140625" defaultRowHeight="15"/>
  <cols>
    <col min="1" max="1" width="7.140625" style="1" bestFit="1" customWidth="1"/>
    <col min="2" max="2" width="12.140625" style="1" bestFit="1" customWidth="1"/>
    <col min="3" max="3" width="4.5703125" style="1" bestFit="1" customWidth="1"/>
    <col min="4" max="4" width="9" style="1" bestFit="1" customWidth="1"/>
    <col min="5" max="5" width="24.42578125" style="1" bestFit="1" customWidth="1"/>
    <col min="6" max="6" width="26.28515625" style="1" bestFit="1" customWidth="1"/>
    <col min="7" max="7" width="56" style="1" bestFit="1" customWidth="1"/>
    <col min="8" max="8" width="5.28515625" style="1" bestFit="1" customWidth="1"/>
    <col min="9" max="16381" width="32.140625" style="1"/>
    <col min="16382" max="16382" width="1.7109375" style="1" customWidth="1"/>
    <col min="16383" max="16384" width="17.7109375" style="1" customWidth="1"/>
  </cols>
  <sheetData>
    <row r="1" spans="1:10">
      <c r="A1" s="12" t="s">
        <v>238</v>
      </c>
      <c r="B1" s="12"/>
      <c r="C1" s="12"/>
      <c r="D1" s="12"/>
      <c r="E1" s="12"/>
      <c r="F1" s="12"/>
      <c r="G1" s="12"/>
      <c r="H1" s="12"/>
    </row>
    <row r="2" spans="1:10">
      <c r="A2" s="10" t="s">
        <v>350</v>
      </c>
      <c r="B2" s="10" t="s">
        <v>156</v>
      </c>
      <c r="C2" s="10" t="s">
        <v>157</v>
      </c>
      <c r="D2" s="10" t="s">
        <v>239</v>
      </c>
      <c r="E2" s="10" t="s">
        <v>159</v>
      </c>
      <c r="F2" s="10" t="s">
        <v>1684</v>
      </c>
      <c r="G2" s="10" t="s">
        <v>1685</v>
      </c>
      <c r="H2" s="10" t="s">
        <v>5367</v>
      </c>
    </row>
    <row r="3" spans="1:10">
      <c r="A3" s="11">
        <v>1</v>
      </c>
      <c r="B3" s="11" t="s">
        <v>240</v>
      </c>
      <c r="C3" s="11">
        <v>8</v>
      </c>
      <c r="D3" s="11" t="s">
        <v>160</v>
      </c>
      <c r="E3" s="11" t="s">
        <v>177</v>
      </c>
      <c r="F3" s="11" t="s">
        <v>1686</v>
      </c>
      <c r="G3" s="11" t="s">
        <v>1687</v>
      </c>
      <c r="H3" s="11" t="s">
        <v>5382</v>
      </c>
    </row>
    <row r="4" spans="1:10" ht="45">
      <c r="A4" s="11">
        <v>2</v>
      </c>
      <c r="B4" s="11" t="s">
        <v>87</v>
      </c>
      <c r="C4" s="11">
        <v>14</v>
      </c>
      <c r="D4" s="11" t="s">
        <v>242</v>
      </c>
      <c r="E4" s="11"/>
      <c r="F4" s="11" t="s">
        <v>2347</v>
      </c>
      <c r="G4" s="11" t="s">
        <v>5711</v>
      </c>
      <c r="H4" s="11" t="s">
        <v>5384</v>
      </c>
    </row>
    <row r="5" spans="1:10" ht="30">
      <c r="A5" s="11">
        <v>3</v>
      </c>
      <c r="B5" s="11" t="s">
        <v>89</v>
      </c>
      <c r="C5" s="11">
        <v>10</v>
      </c>
      <c r="D5" s="11" t="s">
        <v>242</v>
      </c>
      <c r="E5" s="11"/>
      <c r="F5" s="11" t="s">
        <v>1708</v>
      </c>
      <c r="G5" s="11" t="s">
        <v>3526</v>
      </c>
      <c r="H5" s="11" t="s">
        <v>5385</v>
      </c>
    </row>
    <row r="6" spans="1:10" ht="180">
      <c r="A6" s="11">
        <v>4</v>
      </c>
      <c r="B6" s="11" t="s">
        <v>1544</v>
      </c>
      <c r="C6" s="11">
        <v>1</v>
      </c>
      <c r="D6" s="11" t="s">
        <v>242</v>
      </c>
      <c r="E6" s="11"/>
      <c r="F6" s="11" t="s">
        <v>2379</v>
      </c>
      <c r="G6" s="11" t="s">
        <v>5700</v>
      </c>
      <c r="H6" s="11" t="s">
        <v>5402</v>
      </c>
    </row>
    <row r="7" spans="1:10" ht="45">
      <c r="A7" s="11">
        <v>5</v>
      </c>
      <c r="B7" s="11" t="s">
        <v>90</v>
      </c>
      <c r="C7" s="11">
        <v>10</v>
      </c>
      <c r="D7" s="11" t="s">
        <v>242</v>
      </c>
      <c r="E7" s="11"/>
      <c r="F7" s="11" t="s">
        <v>1761</v>
      </c>
      <c r="G7" s="11" t="s">
        <v>3568</v>
      </c>
      <c r="H7" s="11"/>
    </row>
    <row r="8" spans="1:10" ht="30">
      <c r="A8" s="11">
        <v>6</v>
      </c>
      <c r="B8" s="11" t="s">
        <v>78</v>
      </c>
      <c r="C8" s="11">
        <v>4</v>
      </c>
      <c r="D8" s="11" t="s">
        <v>242</v>
      </c>
      <c r="E8" s="11"/>
      <c r="F8" s="11" t="s">
        <v>1707</v>
      </c>
      <c r="G8" s="11" t="s">
        <v>3569</v>
      </c>
      <c r="H8" s="11"/>
    </row>
    <row r="9" spans="1:10">
      <c r="A9" s="11">
        <v>7</v>
      </c>
      <c r="B9" s="11" t="s">
        <v>1182</v>
      </c>
      <c r="C9" s="11">
        <v>12</v>
      </c>
      <c r="D9" s="11" t="s">
        <v>189</v>
      </c>
      <c r="E9" s="11" t="s">
        <v>5576</v>
      </c>
      <c r="F9" s="11" t="s">
        <v>1688</v>
      </c>
      <c r="G9" s="11" t="s">
        <v>1689</v>
      </c>
      <c r="H9" s="11"/>
    </row>
    <row r="10" spans="1:10" ht="30">
      <c r="A10" s="11">
        <v>8</v>
      </c>
      <c r="B10" s="11" t="s">
        <v>1183</v>
      </c>
      <c r="C10" s="11">
        <v>30</v>
      </c>
      <c r="D10" s="11" t="s">
        <v>242</v>
      </c>
      <c r="E10" s="11" t="s">
        <v>5576</v>
      </c>
      <c r="F10" s="11" t="s">
        <v>1690</v>
      </c>
      <c r="G10" s="11" t="s">
        <v>1691</v>
      </c>
      <c r="H10" s="11"/>
    </row>
    <row r="11" spans="1:10">
      <c r="H11"/>
      <c r="I11"/>
      <c r="J11"/>
    </row>
    <row r="12" spans="1:10">
      <c r="H12"/>
      <c r="I12"/>
      <c r="J12"/>
    </row>
    <row r="13" spans="1:10">
      <c r="H13"/>
      <c r="I13"/>
      <c r="J13"/>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83F74-6627-46B0-96C5-A75B311DC071}">
  <sheetPr codeName="Sheet103"/>
  <dimension ref="A1:J43"/>
  <sheetViews>
    <sheetView topLeftCell="A23" workbookViewId="0">
      <selection activeCell="C22" sqref="C22"/>
    </sheetView>
  </sheetViews>
  <sheetFormatPr defaultColWidth="32.140625" defaultRowHeight="15"/>
  <cols>
    <col min="1" max="1" width="7.140625" style="1" bestFit="1" customWidth="1"/>
    <col min="2" max="2" width="22.7109375" style="1" bestFit="1" customWidth="1"/>
    <col min="3" max="3" width="4.5703125" style="1" bestFit="1" customWidth="1"/>
    <col min="4" max="4" width="9" style="1" bestFit="1" customWidth="1"/>
    <col min="5" max="5" width="24.42578125" style="1" bestFit="1" customWidth="1"/>
    <col min="6" max="6" width="45.28515625" style="1" bestFit="1" customWidth="1"/>
    <col min="7" max="7" width="57.42578125" style="1" customWidth="1"/>
    <col min="8" max="9" width="5.28515625" style="1" bestFit="1" customWidth="1"/>
    <col min="10" max="16382" width="32.140625" style="1"/>
    <col min="16383" max="16383" width="1.7109375" style="1" customWidth="1"/>
    <col min="16384" max="16384" width="17.7109375" style="1" customWidth="1"/>
  </cols>
  <sheetData>
    <row r="1" spans="1:9">
      <c r="A1" s="12" t="s">
        <v>238</v>
      </c>
      <c r="B1" s="12"/>
      <c r="C1" s="12"/>
      <c r="D1" s="12"/>
      <c r="E1" s="12"/>
      <c r="F1" s="12"/>
      <c r="G1" s="12"/>
      <c r="H1" s="12"/>
      <c r="I1" s="12"/>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8</v>
      </c>
      <c r="D3" s="11" t="s">
        <v>160</v>
      </c>
      <c r="E3" s="11" t="s">
        <v>177</v>
      </c>
      <c r="F3" s="11" t="s">
        <v>1686</v>
      </c>
      <c r="G3" s="11" t="s">
        <v>1687</v>
      </c>
      <c r="H3" s="11" t="s">
        <v>5382</v>
      </c>
      <c r="I3" s="11"/>
    </row>
    <row r="4" spans="1:9" ht="30">
      <c r="A4" s="11">
        <v>2</v>
      </c>
      <c r="B4" s="11" t="s">
        <v>78</v>
      </c>
      <c r="C4" s="11">
        <v>4</v>
      </c>
      <c r="D4" s="11" t="s">
        <v>242</v>
      </c>
      <c r="E4" s="11"/>
      <c r="F4" s="11" t="s">
        <v>1707</v>
      </c>
      <c r="G4" s="11" t="s">
        <v>3570</v>
      </c>
      <c r="H4" s="11" t="s">
        <v>5384</v>
      </c>
      <c r="I4" s="11"/>
    </row>
    <row r="5" spans="1:9" ht="30">
      <c r="A5" s="11">
        <v>3</v>
      </c>
      <c r="B5" s="11" t="s">
        <v>89</v>
      </c>
      <c r="C5" s="11">
        <v>10</v>
      </c>
      <c r="D5" s="11" t="s">
        <v>242</v>
      </c>
      <c r="E5" s="11"/>
      <c r="F5" s="11" t="s">
        <v>1708</v>
      </c>
      <c r="G5" s="11" t="s">
        <v>3526</v>
      </c>
      <c r="H5" s="11" t="s">
        <v>5385</v>
      </c>
      <c r="I5" s="11"/>
    </row>
    <row r="6" spans="1:9" ht="30">
      <c r="A6" s="11">
        <v>4</v>
      </c>
      <c r="B6" s="11" t="s">
        <v>87</v>
      </c>
      <c r="C6" s="11">
        <v>14</v>
      </c>
      <c r="D6" s="11" t="s">
        <v>161</v>
      </c>
      <c r="E6" s="11" t="s">
        <v>1033</v>
      </c>
      <c r="F6" s="11" t="s">
        <v>1709</v>
      </c>
      <c r="G6" s="11" t="s">
        <v>3527</v>
      </c>
      <c r="H6" s="11" t="s">
        <v>5402</v>
      </c>
      <c r="I6" s="11"/>
    </row>
    <row r="7" spans="1:9" ht="30">
      <c r="A7" s="11">
        <v>5</v>
      </c>
      <c r="B7" s="11" t="s">
        <v>0</v>
      </c>
      <c r="C7" s="11">
        <v>1</v>
      </c>
      <c r="D7" s="11" t="s">
        <v>242</v>
      </c>
      <c r="E7" s="11"/>
      <c r="F7" s="11" t="s">
        <v>1724</v>
      </c>
      <c r="G7" s="11" t="s">
        <v>3571</v>
      </c>
      <c r="H7" s="11"/>
      <c r="I7" s="11"/>
    </row>
    <row r="8" spans="1:9" ht="30">
      <c r="A8" s="11">
        <v>6</v>
      </c>
      <c r="B8" s="11" t="s">
        <v>241</v>
      </c>
      <c r="C8" s="11">
        <v>14</v>
      </c>
      <c r="D8" s="11" t="s">
        <v>242</v>
      </c>
      <c r="E8" s="11"/>
      <c r="F8" s="11" t="s">
        <v>1711</v>
      </c>
      <c r="G8" s="11" t="s">
        <v>3572</v>
      </c>
      <c r="H8" s="11" t="s">
        <v>5451</v>
      </c>
      <c r="I8" s="11" t="s">
        <v>5387</v>
      </c>
    </row>
    <row r="9" spans="1:9" ht="30">
      <c r="A9" s="11">
        <v>7</v>
      </c>
      <c r="B9" s="11" t="s">
        <v>1538</v>
      </c>
      <c r="C9" s="11">
        <v>4</v>
      </c>
      <c r="D9" s="11" t="s">
        <v>242</v>
      </c>
      <c r="E9" s="11"/>
      <c r="F9" s="11" t="s">
        <v>2380</v>
      </c>
      <c r="G9" s="11" t="s">
        <v>3573</v>
      </c>
      <c r="H9" s="11" t="s">
        <v>5670</v>
      </c>
      <c r="I9" s="11" t="s">
        <v>5386</v>
      </c>
    </row>
    <row r="10" spans="1:9" ht="120">
      <c r="A10" s="11">
        <v>8</v>
      </c>
      <c r="B10" s="11" t="s">
        <v>1</v>
      </c>
      <c r="C10" s="11">
        <v>1</v>
      </c>
      <c r="D10" s="11" t="s">
        <v>242</v>
      </c>
      <c r="E10" s="11"/>
      <c r="F10" s="11" t="s">
        <v>1730</v>
      </c>
      <c r="G10" s="11" t="s">
        <v>2387</v>
      </c>
      <c r="H10" s="11"/>
      <c r="I10" s="11"/>
    </row>
    <row r="11" spans="1:9" ht="30">
      <c r="A11" s="11">
        <v>9</v>
      </c>
      <c r="B11" s="11" t="s">
        <v>79</v>
      </c>
      <c r="C11" s="11">
        <v>4</v>
      </c>
      <c r="D11" s="11" t="s">
        <v>242</v>
      </c>
      <c r="E11" s="11"/>
      <c r="F11" s="11" t="s">
        <v>1715</v>
      </c>
      <c r="G11" s="11" t="s">
        <v>3574</v>
      </c>
      <c r="H11" s="11"/>
      <c r="I11" s="11"/>
    </row>
    <row r="12" spans="1:9" ht="30">
      <c r="A12" s="11">
        <v>10</v>
      </c>
      <c r="B12" s="11" t="s">
        <v>90</v>
      </c>
      <c r="C12" s="11">
        <v>10</v>
      </c>
      <c r="D12" s="11" t="s">
        <v>242</v>
      </c>
      <c r="E12" s="11"/>
      <c r="F12" s="11" t="s">
        <v>1761</v>
      </c>
      <c r="G12" s="11" t="s">
        <v>3575</v>
      </c>
      <c r="H12" s="11"/>
      <c r="I12" s="11"/>
    </row>
    <row r="13" spans="1:9" ht="30">
      <c r="A13" s="11">
        <v>11</v>
      </c>
      <c r="B13" s="11" t="s">
        <v>2</v>
      </c>
      <c r="C13" s="11">
        <v>1</v>
      </c>
      <c r="D13" s="11" t="s">
        <v>242</v>
      </c>
      <c r="E13" s="11"/>
      <c r="F13" s="11" t="s">
        <v>1696</v>
      </c>
      <c r="G13" s="11" t="s">
        <v>3576</v>
      </c>
      <c r="H13" s="11"/>
      <c r="I13" s="11"/>
    </row>
    <row r="14" spans="1:9" ht="30">
      <c r="A14" s="11">
        <v>12</v>
      </c>
      <c r="B14" s="11" t="s">
        <v>44</v>
      </c>
      <c r="C14" s="11">
        <v>15</v>
      </c>
      <c r="D14" s="11" t="s">
        <v>242</v>
      </c>
      <c r="E14" s="11"/>
      <c r="F14" s="11" t="s">
        <v>1697</v>
      </c>
      <c r="G14" s="11" t="s">
        <v>3577</v>
      </c>
      <c r="H14" s="11"/>
      <c r="I14" s="11"/>
    </row>
    <row r="15" spans="1:9">
      <c r="A15" s="11">
        <v>13</v>
      </c>
      <c r="B15" s="11" t="s">
        <v>47</v>
      </c>
      <c r="C15" s="11">
        <v>15</v>
      </c>
      <c r="D15" s="11" t="s">
        <v>242</v>
      </c>
      <c r="E15" s="11"/>
      <c r="F15" s="11" t="s">
        <v>1867</v>
      </c>
      <c r="G15" s="11" t="s">
        <v>5620</v>
      </c>
      <c r="H15" s="11"/>
      <c r="I15" s="11"/>
    </row>
    <row r="16" spans="1:9">
      <c r="A16" s="11">
        <v>14</v>
      </c>
      <c r="B16" s="11" t="s">
        <v>48</v>
      </c>
      <c r="C16" s="11">
        <v>15</v>
      </c>
      <c r="D16" s="11" t="s">
        <v>242</v>
      </c>
      <c r="E16" s="11"/>
      <c r="F16" s="11" t="s">
        <v>1868</v>
      </c>
      <c r="G16" s="11" t="s">
        <v>3578</v>
      </c>
      <c r="H16" s="11"/>
      <c r="I16" s="11"/>
    </row>
    <row r="17" spans="1:10">
      <c r="A17" s="11">
        <v>15</v>
      </c>
      <c r="B17" s="11" t="s">
        <v>49</v>
      </c>
      <c r="C17" s="11">
        <v>15</v>
      </c>
      <c r="D17" s="11" t="s">
        <v>242</v>
      </c>
      <c r="E17" s="11"/>
      <c r="F17" s="11" t="s">
        <v>1869</v>
      </c>
      <c r="G17" s="11" t="s">
        <v>3579</v>
      </c>
      <c r="H17" s="11"/>
      <c r="I17" s="11"/>
    </row>
    <row r="18" spans="1:10" ht="30">
      <c r="A18" s="11">
        <v>16</v>
      </c>
      <c r="B18" s="11" t="s">
        <v>50</v>
      </c>
      <c r="C18" s="11">
        <v>15</v>
      </c>
      <c r="D18" s="11" t="s">
        <v>242</v>
      </c>
      <c r="E18" s="11"/>
      <c r="F18" s="11" t="s">
        <v>1870</v>
      </c>
      <c r="G18" s="11" t="s">
        <v>5591</v>
      </c>
      <c r="H18" s="11"/>
      <c r="I18" s="11"/>
    </row>
    <row r="19" spans="1:10" ht="30">
      <c r="A19" s="11">
        <v>17</v>
      </c>
      <c r="B19" s="11" t="s">
        <v>112</v>
      </c>
      <c r="C19" s="11">
        <v>30</v>
      </c>
      <c r="D19" s="11" t="s">
        <v>242</v>
      </c>
      <c r="E19" s="11"/>
      <c r="F19" s="11" t="s">
        <v>1871</v>
      </c>
      <c r="G19" s="11" t="s">
        <v>3580</v>
      </c>
      <c r="H19" s="11"/>
      <c r="I19" s="11"/>
    </row>
    <row r="20" spans="1:10">
      <c r="A20" s="11">
        <v>18</v>
      </c>
      <c r="B20" s="11" t="s">
        <v>51</v>
      </c>
      <c r="C20" s="11">
        <v>15</v>
      </c>
      <c r="D20" s="11" t="s">
        <v>242</v>
      </c>
      <c r="E20" s="11"/>
      <c r="F20" s="11" t="s">
        <v>1872</v>
      </c>
      <c r="G20" s="11" t="s">
        <v>3581</v>
      </c>
      <c r="H20" s="11"/>
      <c r="I20" s="11"/>
    </row>
    <row r="21" spans="1:10">
      <c r="A21" s="11">
        <v>19</v>
      </c>
      <c r="B21" s="11" t="s">
        <v>52</v>
      </c>
      <c r="C21" s="11">
        <v>15</v>
      </c>
      <c r="D21" s="11" t="s">
        <v>242</v>
      </c>
      <c r="E21" s="11"/>
      <c r="F21" s="11" t="s">
        <v>1873</v>
      </c>
      <c r="G21" s="11" t="s">
        <v>3582</v>
      </c>
      <c r="H21" s="11"/>
      <c r="I21" s="11"/>
    </row>
    <row r="22" spans="1:10">
      <c r="A22" s="11">
        <v>20</v>
      </c>
      <c r="B22" s="11" t="s">
        <v>53</v>
      </c>
      <c r="C22" s="11">
        <v>15</v>
      </c>
      <c r="D22" s="11" t="s">
        <v>242</v>
      </c>
      <c r="E22" s="11"/>
      <c r="F22" s="11" t="s">
        <v>1874</v>
      </c>
      <c r="G22" s="11" t="s">
        <v>3583</v>
      </c>
      <c r="H22" s="11"/>
      <c r="I22" s="11"/>
    </row>
    <row r="23" spans="1:10" ht="30">
      <c r="A23" s="11">
        <v>21</v>
      </c>
      <c r="B23" s="11" t="s">
        <v>54</v>
      </c>
      <c r="C23" s="11">
        <v>15</v>
      </c>
      <c r="D23" s="11" t="s">
        <v>242</v>
      </c>
      <c r="E23" s="11"/>
      <c r="F23" s="11" t="s">
        <v>1875</v>
      </c>
      <c r="G23" s="11" t="s">
        <v>3584</v>
      </c>
      <c r="H23" s="11"/>
      <c r="I23" s="11"/>
    </row>
    <row r="24" spans="1:10" ht="30">
      <c r="A24" s="11">
        <v>22</v>
      </c>
      <c r="B24" s="11" t="s">
        <v>113</v>
      </c>
      <c r="C24" s="11">
        <v>30</v>
      </c>
      <c r="D24" s="11" t="s">
        <v>242</v>
      </c>
      <c r="E24" s="11"/>
      <c r="F24" s="11" t="s">
        <v>1876</v>
      </c>
      <c r="G24" s="11" t="s">
        <v>3585</v>
      </c>
      <c r="H24" s="11"/>
      <c r="I24" s="11"/>
    </row>
    <row r="25" spans="1:10" ht="30">
      <c r="A25" s="11">
        <v>23</v>
      </c>
      <c r="B25" s="11" t="s">
        <v>1539</v>
      </c>
      <c r="C25" s="11">
        <v>15</v>
      </c>
      <c r="D25" s="11" t="s">
        <v>242</v>
      </c>
      <c r="E25" s="11"/>
      <c r="F25" s="11" t="s">
        <v>2381</v>
      </c>
      <c r="G25" s="11" t="s">
        <v>3586</v>
      </c>
      <c r="H25" s="11"/>
      <c r="I25" s="11"/>
    </row>
    <row r="26" spans="1:10" ht="30">
      <c r="A26" s="59">
        <v>24</v>
      </c>
      <c r="B26" s="59" t="s">
        <v>1540</v>
      </c>
      <c r="C26" s="59">
        <v>25</v>
      </c>
      <c r="D26" s="59" t="s">
        <v>242</v>
      </c>
      <c r="E26" s="59"/>
      <c r="F26" s="59" t="s">
        <v>2382</v>
      </c>
      <c r="G26" s="59" t="s">
        <v>3587</v>
      </c>
      <c r="H26" s="59"/>
      <c r="I26" s="59"/>
      <c r="J26" s="31"/>
    </row>
    <row r="27" spans="1:10" ht="30">
      <c r="A27" s="59">
        <v>25</v>
      </c>
      <c r="B27" s="59" t="s">
        <v>1524</v>
      </c>
      <c r="C27" s="59">
        <v>1</v>
      </c>
      <c r="D27" s="59" t="s">
        <v>242</v>
      </c>
      <c r="E27" s="59"/>
      <c r="F27" s="59" t="s">
        <v>2383</v>
      </c>
      <c r="G27" s="59" t="s">
        <v>3588</v>
      </c>
      <c r="H27" s="59"/>
      <c r="I27" s="59"/>
      <c r="J27" s="31"/>
    </row>
    <row r="28" spans="1:10" ht="30">
      <c r="A28" s="59">
        <v>26</v>
      </c>
      <c r="B28" s="59" t="s">
        <v>1541</v>
      </c>
      <c r="C28" s="59">
        <v>8</v>
      </c>
      <c r="D28" s="59" t="s">
        <v>160</v>
      </c>
      <c r="E28" s="59" t="s">
        <v>177</v>
      </c>
      <c r="F28" s="59" t="s">
        <v>2384</v>
      </c>
      <c r="G28" s="59" t="s">
        <v>3589</v>
      </c>
      <c r="H28" s="59"/>
      <c r="I28" s="59"/>
      <c r="J28" s="31" t="s">
        <v>7002</v>
      </c>
    </row>
    <row r="29" spans="1:10" ht="30">
      <c r="A29" s="59">
        <v>27</v>
      </c>
      <c r="B29" s="59" t="s">
        <v>77</v>
      </c>
      <c r="C29" s="59">
        <v>8</v>
      </c>
      <c r="D29" s="59" t="s">
        <v>160</v>
      </c>
      <c r="E29" s="59" t="s">
        <v>177</v>
      </c>
      <c r="F29" s="59" t="s">
        <v>5532</v>
      </c>
      <c r="G29" s="59" t="s">
        <v>5536</v>
      </c>
      <c r="H29" s="59"/>
      <c r="I29" s="59"/>
      <c r="J29" s="31"/>
    </row>
    <row r="30" spans="1:10" ht="30">
      <c r="A30" s="59">
        <v>28</v>
      </c>
      <c r="B30" s="59" t="s">
        <v>175</v>
      </c>
      <c r="C30" s="59">
        <v>1</v>
      </c>
      <c r="D30" s="59" t="s">
        <v>242</v>
      </c>
      <c r="E30" s="59"/>
      <c r="F30" s="59" t="s">
        <v>1879</v>
      </c>
      <c r="G30" s="59" t="s">
        <v>3590</v>
      </c>
      <c r="H30" s="59"/>
      <c r="I30" s="59"/>
      <c r="J30" s="31"/>
    </row>
    <row r="31" spans="1:10" ht="30">
      <c r="A31" s="59">
        <v>29</v>
      </c>
      <c r="B31" s="59" t="s">
        <v>1542</v>
      </c>
      <c r="C31" s="59">
        <v>1</v>
      </c>
      <c r="D31" s="59" t="s">
        <v>242</v>
      </c>
      <c r="E31" s="59"/>
      <c r="F31" s="59" t="s">
        <v>2385</v>
      </c>
      <c r="G31" s="59" t="s">
        <v>3591</v>
      </c>
      <c r="H31" s="59"/>
      <c r="I31" s="59"/>
      <c r="J31" s="31"/>
    </row>
    <row r="32" spans="1:10" ht="30">
      <c r="A32" s="59">
        <v>30</v>
      </c>
      <c r="B32" s="59" t="s">
        <v>1543</v>
      </c>
      <c r="C32" s="59">
        <v>1</v>
      </c>
      <c r="D32" s="59" t="s">
        <v>242</v>
      </c>
      <c r="E32" s="59"/>
      <c r="F32" s="59" t="s">
        <v>2386</v>
      </c>
      <c r="G32" s="59" t="s">
        <v>3592</v>
      </c>
      <c r="H32" s="59"/>
      <c r="I32" s="59"/>
      <c r="J32" s="31"/>
    </row>
    <row r="33" spans="1:10" ht="30">
      <c r="A33" s="59">
        <v>31</v>
      </c>
      <c r="B33" s="59" t="s">
        <v>105</v>
      </c>
      <c r="C33" s="59">
        <v>10</v>
      </c>
      <c r="D33" s="59" t="s">
        <v>242</v>
      </c>
      <c r="E33" s="59"/>
      <c r="F33" s="59" t="s">
        <v>1716</v>
      </c>
      <c r="G33" s="59" t="s">
        <v>3593</v>
      </c>
      <c r="H33" s="59"/>
      <c r="I33" s="59"/>
      <c r="J33" s="31"/>
    </row>
    <row r="34" spans="1:10" ht="30">
      <c r="A34" s="11">
        <v>32</v>
      </c>
      <c r="B34" s="11" t="s">
        <v>163</v>
      </c>
      <c r="C34" s="11">
        <v>14</v>
      </c>
      <c r="D34" s="11" t="s">
        <v>161</v>
      </c>
      <c r="E34" s="11" t="s">
        <v>1033</v>
      </c>
      <c r="F34" s="11" t="s">
        <v>1717</v>
      </c>
      <c r="G34" s="11" t="s">
        <v>3594</v>
      </c>
      <c r="H34" s="17"/>
      <c r="I34" s="17"/>
    </row>
    <row r="35" spans="1:10">
      <c r="A35" s="11">
        <v>33</v>
      </c>
      <c r="B35" s="11" t="s">
        <v>1182</v>
      </c>
      <c r="C35" s="11">
        <v>12</v>
      </c>
      <c r="D35" s="11" t="s">
        <v>189</v>
      </c>
      <c r="E35" s="11" t="s">
        <v>5576</v>
      </c>
      <c r="F35" s="11" t="s">
        <v>1688</v>
      </c>
      <c r="G35" s="11" t="s">
        <v>1689</v>
      </c>
      <c r="H35" s="17"/>
      <c r="I35" s="17"/>
    </row>
    <row r="36" spans="1:10" ht="30">
      <c r="A36" s="11">
        <v>34</v>
      </c>
      <c r="B36" s="11" t="s">
        <v>1183</v>
      </c>
      <c r="C36" s="11">
        <v>30</v>
      </c>
      <c r="D36" s="11" t="s">
        <v>242</v>
      </c>
      <c r="E36" s="11" t="s">
        <v>5576</v>
      </c>
      <c r="F36" s="11" t="s">
        <v>1690</v>
      </c>
      <c r="G36" s="11" t="s">
        <v>1691</v>
      </c>
      <c r="H36" s="17"/>
      <c r="I36" s="17"/>
    </row>
    <row r="37" spans="1:10">
      <c r="H37"/>
      <c r="I37"/>
    </row>
    <row r="38" spans="1:10">
      <c r="H38"/>
      <c r="I38"/>
    </row>
    <row r="39" spans="1:10">
      <c r="H39"/>
      <c r="I39"/>
    </row>
    <row r="40" spans="1:10">
      <c r="H40"/>
      <c r="I40"/>
    </row>
    <row r="41" spans="1:10">
      <c r="H41"/>
      <c r="I41"/>
    </row>
    <row r="42" spans="1:10">
      <c r="H42"/>
      <c r="I42"/>
    </row>
    <row r="43" spans="1:10">
      <c r="H43"/>
      <c r="I43"/>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1C4B6-8B08-45BB-BF8E-019B3B36A022}">
  <sheetPr codeName="Sheet104"/>
  <dimension ref="A1:K47"/>
  <sheetViews>
    <sheetView workbookViewId="0">
      <selection activeCell="C22" sqref="C22"/>
    </sheetView>
  </sheetViews>
  <sheetFormatPr defaultColWidth="32.140625" defaultRowHeight="15"/>
  <cols>
    <col min="1" max="1" width="7.140625" bestFit="1" customWidth="1"/>
    <col min="2" max="2" width="28.140625" bestFit="1" customWidth="1"/>
    <col min="3" max="3" width="4.5703125" bestFit="1" customWidth="1"/>
    <col min="4" max="4" width="9" bestFit="1" customWidth="1"/>
    <col min="5" max="5" width="24.42578125" bestFit="1" customWidth="1"/>
    <col min="6" max="6" width="48.140625" bestFit="1" customWidth="1"/>
    <col min="7" max="7" width="57.42578125" customWidth="1"/>
    <col min="8" max="9" width="5.28515625" bestFit="1" customWidth="1"/>
    <col min="10" max="11" width="6" style="1" customWidth="1"/>
    <col min="12" max="16382" width="32.140625" style="1"/>
    <col min="16383" max="16383" width="1.7109375" style="1" customWidth="1"/>
    <col min="16384" max="16384" width="17.7109375" style="1" customWidth="1"/>
  </cols>
  <sheetData>
    <row r="1" spans="1:11">
      <c r="A1" s="12" t="s">
        <v>238</v>
      </c>
      <c r="B1" s="12"/>
      <c r="C1" s="12"/>
      <c r="D1" s="12"/>
      <c r="E1" s="12"/>
      <c r="F1" s="12"/>
      <c r="G1" s="12"/>
      <c r="H1" s="12"/>
      <c r="I1" s="12"/>
      <c r="J1" s="12"/>
      <c r="K1" s="12"/>
    </row>
    <row r="2" spans="1:11">
      <c r="A2" s="10" t="s">
        <v>350</v>
      </c>
      <c r="B2" s="10" t="s">
        <v>156</v>
      </c>
      <c r="C2" s="10" t="s">
        <v>157</v>
      </c>
      <c r="D2" s="10" t="s">
        <v>239</v>
      </c>
      <c r="E2" s="10" t="s">
        <v>159</v>
      </c>
      <c r="F2" s="10" t="s">
        <v>1684</v>
      </c>
      <c r="G2" s="10" t="s">
        <v>1685</v>
      </c>
      <c r="H2" s="10" t="s">
        <v>5367</v>
      </c>
      <c r="I2" s="10" t="s">
        <v>5366</v>
      </c>
      <c r="J2" s="10" t="s">
        <v>5677</v>
      </c>
      <c r="K2" s="10" t="s">
        <v>5703</v>
      </c>
    </row>
    <row r="3" spans="1:11">
      <c r="A3" s="11">
        <v>1</v>
      </c>
      <c r="B3" s="11" t="s">
        <v>240</v>
      </c>
      <c r="C3" s="11">
        <v>8</v>
      </c>
      <c r="D3" s="11" t="s">
        <v>160</v>
      </c>
      <c r="E3" s="11" t="s">
        <v>177</v>
      </c>
      <c r="F3" s="11" t="s">
        <v>1686</v>
      </c>
      <c r="G3" s="11" t="s">
        <v>1687</v>
      </c>
      <c r="H3" s="11" t="s">
        <v>5382</v>
      </c>
      <c r="I3" s="11"/>
      <c r="J3" s="11"/>
      <c r="K3" s="11"/>
    </row>
    <row r="4" spans="1:11" ht="30">
      <c r="A4" s="11">
        <v>2</v>
      </c>
      <c r="B4" s="11" t="s">
        <v>241</v>
      </c>
      <c r="C4" s="11">
        <v>14</v>
      </c>
      <c r="D4" s="11" t="s">
        <v>242</v>
      </c>
      <c r="E4" s="11"/>
      <c r="F4" s="11" t="s">
        <v>1711</v>
      </c>
      <c r="G4" s="11" t="s">
        <v>3572</v>
      </c>
      <c r="H4" s="11" t="s">
        <v>5384</v>
      </c>
      <c r="I4" s="11" t="s">
        <v>5387</v>
      </c>
      <c r="J4" s="11"/>
      <c r="K4" s="11"/>
    </row>
    <row r="5" spans="1:11" ht="30">
      <c r="A5" s="1">
        <v>3</v>
      </c>
      <c r="B5" s="11" t="s">
        <v>151</v>
      </c>
      <c r="C5" s="11">
        <v>7</v>
      </c>
      <c r="D5" s="11" t="s">
        <v>242</v>
      </c>
      <c r="E5" s="11"/>
      <c r="F5" s="11" t="s">
        <v>1725</v>
      </c>
      <c r="G5" s="11" t="s">
        <v>5717</v>
      </c>
      <c r="H5" s="11"/>
      <c r="I5" s="11"/>
      <c r="J5" s="11"/>
      <c r="K5" s="11" t="s">
        <v>5390</v>
      </c>
    </row>
    <row r="6" spans="1:11" ht="30">
      <c r="A6" s="11">
        <v>4</v>
      </c>
      <c r="B6" s="11" t="s">
        <v>1538</v>
      </c>
      <c r="C6" s="11">
        <v>4</v>
      </c>
      <c r="D6" s="11" t="s">
        <v>242</v>
      </c>
      <c r="E6" s="11"/>
      <c r="F6" s="11" t="s">
        <v>2380</v>
      </c>
      <c r="G6" s="11" t="s">
        <v>3573</v>
      </c>
      <c r="H6" s="11" t="s">
        <v>5385</v>
      </c>
      <c r="I6" s="11" t="s">
        <v>5386</v>
      </c>
      <c r="J6" s="11"/>
      <c r="K6" s="11"/>
    </row>
    <row r="7" spans="1:11" ht="30">
      <c r="A7" s="11">
        <v>5</v>
      </c>
      <c r="B7" s="11" t="s">
        <v>2</v>
      </c>
      <c r="C7" s="11">
        <v>1</v>
      </c>
      <c r="D7" s="11" t="s">
        <v>242</v>
      </c>
      <c r="E7" s="11"/>
      <c r="F7" s="11" t="s">
        <v>1696</v>
      </c>
      <c r="G7" s="11" t="s">
        <v>3576</v>
      </c>
      <c r="H7" s="11"/>
      <c r="I7" s="11"/>
      <c r="J7" s="11" t="s">
        <v>5388</v>
      </c>
      <c r="K7" s="11"/>
    </row>
    <row r="8" spans="1:11" ht="30">
      <c r="A8" s="1">
        <v>6</v>
      </c>
      <c r="B8" s="11" t="s">
        <v>44</v>
      </c>
      <c r="C8" s="11">
        <v>15</v>
      </c>
      <c r="D8" s="11" t="s">
        <v>242</v>
      </c>
      <c r="E8" s="11"/>
      <c r="F8" s="11" t="s">
        <v>1697</v>
      </c>
      <c r="G8" s="11" t="s">
        <v>3577</v>
      </c>
      <c r="H8" s="11"/>
      <c r="I8" s="11"/>
      <c r="J8" s="11" t="s">
        <v>5396</v>
      </c>
      <c r="K8" s="11"/>
    </row>
    <row r="9" spans="1:11">
      <c r="A9" s="11">
        <v>7</v>
      </c>
      <c r="B9" s="11" t="s">
        <v>47</v>
      </c>
      <c r="C9" s="11">
        <v>15</v>
      </c>
      <c r="D9" s="11" t="s">
        <v>242</v>
      </c>
      <c r="E9" s="11"/>
      <c r="F9" s="11" t="s">
        <v>1867</v>
      </c>
      <c r="G9" s="11" t="s">
        <v>5620</v>
      </c>
      <c r="H9" s="11"/>
      <c r="I9" s="11"/>
      <c r="J9" s="11"/>
      <c r="K9" s="11"/>
    </row>
    <row r="10" spans="1:11">
      <c r="A10" s="11">
        <v>8</v>
      </c>
      <c r="B10" s="11" t="s">
        <v>183</v>
      </c>
      <c r="C10" s="11">
        <v>15</v>
      </c>
      <c r="D10" s="11" t="s">
        <v>242</v>
      </c>
      <c r="E10" s="11"/>
      <c r="F10" s="11" t="s">
        <v>1868</v>
      </c>
      <c r="G10" s="11" t="s">
        <v>3578</v>
      </c>
      <c r="H10" s="11"/>
      <c r="I10" s="11"/>
      <c r="J10" s="11"/>
      <c r="K10" s="11"/>
    </row>
    <row r="11" spans="1:11">
      <c r="A11" s="1">
        <v>9</v>
      </c>
      <c r="B11" s="11" t="s">
        <v>184</v>
      </c>
      <c r="C11" s="11">
        <v>15</v>
      </c>
      <c r="D11" s="11" t="s">
        <v>242</v>
      </c>
      <c r="E11" s="11"/>
      <c r="F11" s="11" t="s">
        <v>1869</v>
      </c>
      <c r="G11" s="11" t="s">
        <v>3579</v>
      </c>
      <c r="H11" s="11"/>
      <c r="I11" s="11"/>
      <c r="J11" s="11"/>
      <c r="K11" s="11"/>
    </row>
    <row r="12" spans="1:11" ht="30">
      <c r="A12" s="11">
        <v>10</v>
      </c>
      <c r="B12" s="11" t="s">
        <v>50</v>
      </c>
      <c r="C12" s="11">
        <v>15</v>
      </c>
      <c r="D12" s="11" t="s">
        <v>242</v>
      </c>
      <c r="E12" s="11"/>
      <c r="F12" s="11" t="s">
        <v>1870</v>
      </c>
      <c r="G12" s="11" t="s">
        <v>5591</v>
      </c>
      <c r="H12" s="11"/>
      <c r="I12" s="11"/>
      <c r="J12" s="11"/>
      <c r="K12" s="11"/>
    </row>
    <row r="13" spans="1:11" ht="30">
      <c r="A13" s="11">
        <v>11</v>
      </c>
      <c r="B13" s="11" t="s">
        <v>112</v>
      </c>
      <c r="C13" s="11">
        <v>30</v>
      </c>
      <c r="D13" s="11" t="s">
        <v>242</v>
      </c>
      <c r="E13" s="11"/>
      <c r="F13" s="11" t="s">
        <v>1871</v>
      </c>
      <c r="G13" s="11" t="s">
        <v>3580</v>
      </c>
      <c r="H13" s="11"/>
      <c r="I13" s="11"/>
      <c r="J13" s="11"/>
      <c r="K13" s="11"/>
    </row>
    <row r="14" spans="1:11">
      <c r="A14" s="1">
        <v>12</v>
      </c>
      <c r="B14" s="11" t="s">
        <v>51</v>
      </c>
      <c r="C14" s="11">
        <v>15</v>
      </c>
      <c r="D14" s="11" t="s">
        <v>242</v>
      </c>
      <c r="E14" s="11"/>
      <c r="F14" s="11" t="s">
        <v>1872</v>
      </c>
      <c r="G14" s="11" t="s">
        <v>3581</v>
      </c>
      <c r="H14" s="11"/>
      <c r="I14" s="11"/>
      <c r="J14" s="11"/>
      <c r="K14" s="11"/>
    </row>
    <row r="15" spans="1:11">
      <c r="A15" s="11">
        <v>13</v>
      </c>
      <c r="B15" s="11" t="s">
        <v>185</v>
      </c>
      <c r="C15" s="11">
        <v>15</v>
      </c>
      <c r="D15" s="11" t="s">
        <v>242</v>
      </c>
      <c r="E15" s="11"/>
      <c r="F15" s="11" t="s">
        <v>1873</v>
      </c>
      <c r="G15" s="11" t="s">
        <v>3582</v>
      </c>
      <c r="H15" s="11"/>
      <c r="I15" s="11"/>
      <c r="J15" s="11"/>
      <c r="K15" s="11"/>
    </row>
    <row r="16" spans="1:11">
      <c r="A16" s="11">
        <v>14</v>
      </c>
      <c r="B16" s="11" t="s">
        <v>186</v>
      </c>
      <c r="C16" s="11">
        <v>15</v>
      </c>
      <c r="D16" s="11" t="s">
        <v>242</v>
      </c>
      <c r="E16" s="11"/>
      <c r="F16" s="11" t="s">
        <v>1874</v>
      </c>
      <c r="G16" s="11" t="s">
        <v>3583</v>
      </c>
      <c r="H16" s="11"/>
      <c r="I16" s="11"/>
      <c r="J16" s="11"/>
      <c r="K16" s="11"/>
    </row>
    <row r="17" spans="1:11" ht="30">
      <c r="A17" s="1">
        <v>15</v>
      </c>
      <c r="B17" s="11" t="s">
        <v>54</v>
      </c>
      <c r="C17" s="11">
        <v>15</v>
      </c>
      <c r="D17" s="11" t="s">
        <v>242</v>
      </c>
      <c r="E17" s="11"/>
      <c r="F17" s="11" t="s">
        <v>1875</v>
      </c>
      <c r="G17" s="11" t="s">
        <v>3584</v>
      </c>
      <c r="H17" s="11"/>
      <c r="I17" s="11"/>
      <c r="J17" s="11"/>
      <c r="K17" s="11"/>
    </row>
    <row r="18" spans="1:11" ht="30">
      <c r="A18" s="11">
        <v>16</v>
      </c>
      <c r="B18" s="11" t="s">
        <v>113</v>
      </c>
      <c r="C18" s="11">
        <v>30</v>
      </c>
      <c r="D18" s="11" t="s">
        <v>242</v>
      </c>
      <c r="E18" s="11"/>
      <c r="F18" s="11" t="s">
        <v>1876</v>
      </c>
      <c r="G18" s="11" t="s">
        <v>3585</v>
      </c>
      <c r="H18" s="11"/>
      <c r="I18" s="11"/>
      <c r="J18" s="11"/>
      <c r="K18" s="11"/>
    </row>
    <row r="19" spans="1:11" ht="30">
      <c r="A19" s="11">
        <v>17</v>
      </c>
      <c r="B19" s="11" t="s">
        <v>1539</v>
      </c>
      <c r="C19" s="11">
        <v>15</v>
      </c>
      <c r="D19" s="11" t="s">
        <v>242</v>
      </c>
      <c r="E19" s="11"/>
      <c r="F19" s="11" t="s">
        <v>2381</v>
      </c>
      <c r="G19" s="11" t="s">
        <v>3586</v>
      </c>
      <c r="H19" s="11"/>
      <c r="I19" s="11"/>
      <c r="J19" s="11"/>
      <c r="K19" s="11"/>
    </row>
    <row r="20" spans="1:11" ht="30">
      <c r="A20" s="1">
        <v>18</v>
      </c>
      <c r="B20" s="11" t="s">
        <v>1540</v>
      </c>
      <c r="C20" s="11">
        <v>25</v>
      </c>
      <c r="D20" s="11" t="s">
        <v>242</v>
      </c>
      <c r="E20" s="11"/>
      <c r="F20" s="11" t="s">
        <v>2382</v>
      </c>
      <c r="G20" s="11" t="s">
        <v>3587</v>
      </c>
      <c r="H20" s="11"/>
      <c r="I20" s="11"/>
      <c r="J20" s="11"/>
      <c r="K20" s="11"/>
    </row>
    <row r="21" spans="1:11" ht="30">
      <c r="A21" s="11">
        <v>19</v>
      </c>
      <c r="B21" s="11" t="s">
        <v>1524</v>
      </c>
      <c r="C21" s="11">
        <v>1</v>
      </c>
      <c r="D21" s="11" t="s">
        <v>242</v>
      </c>
      <c r="E21" s="11"/>
      <c r="F21" s="11" t="s">
        <v>2383</v>
      </c>
      <c r="G21" s="11" t="s">
        <v>3588</v>
      </c>
      <c r="H21" s="11"/>
      <c r="I21" s="11"/>
      <c r="J21" s="11"/>
      <c r="K21" s="11"/>
    </row>
    <row r="22" spans="1:11" ht="30">
      <c r="A22" s="11">
        <v>20</v>
      </c>
      <c r="B22" s="11" t="s">
        <v>1541</v>
      </c>
      <c r="C22" s="11">
        <v>8</v>
      </c>
      <c r="D22" s="11" t="s">
        <v>160</v>
      </c>
      <c r="E22" s="11" t="s">
        <v>177</v>
      </c>
      <c r="F22" s="11" t="s">
        <v>2384</v>
      </c>
      <c r="G22" s="11" t="s">
        <v>3589</v>
      </c>
      <c r="H22" s="11"/>
      <c r="I22" s="11"/>
      <c r="J22" s="11"/>
      <c r="K22" s="11"/>
    </row>
    <row r="23" spans="1:11" ht="30">
      <c r="A23" s="1">
        <v>21</v>
      </c>
      <c r="B23" s="11" t="s">
        <v>77</v>
      </c>
      <c r="C23" s="11">
        <v>8</v>
      </c>
      <c r="D23" s="11" t="s">
        <v>160</v>
      </c>
      <c r="E23" s="11" t="s">
        <v>177</v>
      </c>
      <c r="F23" s="11" t="s">
        <v>2388</v>
      </c>
      <c r="G23" s="11" t="s">
        <v>5536</v>
      </c>
      <c r="H23" s="11"/>
      <c r="I23" s="11"/>
      <c r="J23" s="11"/>
      <c r="K23" s="11"/>
    </row>
    <row r="24" spans="1:11" ht="30">
      <c r="A24" s="11">
        <v>22</v>
      </c>
      <c r="B24" s="11" t="s">
        <v>78</v>
      </c>
      <c r="C24" s="11">
        <v>4</v>
      </c>
      <c r="D24" s="11" t="s">
        <v>242</v>
      </c>
      <c r="E24" s="11"/>
      <c r="F24" s="11" t="s">
        <v>1707</v>
      </c>
      <c r="G24" s="11" t="s">
        <v>3574</v>
      </c>
      <c r="H24" s="11"/>
      <c r="I24" s="11"/>
      <c r="J24" s="11"/>
      <c r="K24" s="11"/>
    </row>
    <row r="25" spans="1:11" ht="30">
      <c r="A25" s="11">
        <v>23</v>
      </c>
      <c r="B25" s="11" t="s">
        <v>1543</v>
      </c>
      <c r="C25" s="11">
        <v>1</v>
      </c>
      <c r="D25" s="11" t="s">
        <v>242</v>
      </c>
      <c r="E25" s="11"/>
      <c r="F25" s="11" t="s">
        <v>2386</v>
      </c>
      <c r="G25" s="11" t="s">
        <v>3592</v>
      </c>
      <c r="H25" s="11"/>
      <c r="I25" s="11"/>
      <c r="J25" s="11"/>
      <c r="K25" s="11"/>
    </row>
    <row r="26" spans="1:11" ht="30">
      <c r="A26" s="1">
        <v>24</v>
      </c>
      <c r="B26" s="11" t="s">
        <v>168</v>
      </c>
      <c r="C26" s="11">
        <v>10</v>
      </c>
      <c r="D26" s="11" t="s">
        <v>242</v>
      </c>
      <c r="E26" s="11"/>
      <c r="F26" s="11" t="s">
        <v>1708</v>
      </c>
      <c r="G26" s="11" t="s">
        <v>3595</v>
      </c>
      <c r="H26" s="11"/>
      <c r="I26" s="11"/>
      <c r="J26" s="11"/>
      <c r="K26" s="11"/>
    </row>
    <row r="27" spans="1:11" ht="30">
      <c r="A27" s="11">
        <v>25</v>
      </c>
      <c r="B27" s="11" t="s">
        <v>169</v>
      </c>
      <c r="C27" s="11">
        <v>14</v>
      </c>
      <c r="D27" s="11" t="s">
        <v>161</v>
      </c>
      <c r="E27" s="11" t="s">
        <v>1033</v>
      </c>
      <c r="F27" s="11" t="s">
        <v>1709</v>
      </c>
      <c r="G27" s="11" t="s">
        <v>3596</v>
      </c>
      <c r="H27" s="11"/>
      <c r="I27" s="11"/>
      <c r="J27" s="11"/>
      <c r="K27" s="11"/>
    </row>
    <row r="28" spans="1:11" ht="30">
      <c r="A28" s="11">
        <v>26</v>
      </c>
      <c r="B28" s="11" t="s">
        <v>105</v>
      </c>
      <c r="C28" s="11">
        <v>10</v>
      </c>
      <c r="D28" s="11" t="s">
        <v>242</v>
      </c>
      <c r="E28" s="11"/>
      <c r="F28" s="11" t="s">
        <v>1716</v>
      </c>
      <c r="G28" s="11" t="s">
        <v>2885</v>
      </c>
      <c r="H28" s="11"/>
      <c r="I28" s="11"/>
      <c r="J28" s="11"/>
      <c r="K28" s="11"/>
    </row>
    <row r="29" spans="1:11" ht="30">
      <c r="A29" s="1">
        <v>27</v>
      </c>
      <c r="B29" s="11" t="s">
        <v>163</v>
      </c>
      <c r="C29" s="11">
        <v>14</v>
      </c>
      <c r="D29" s="11" t="s">
        <v>161</v>
      </c>
      <c r="E29" s="11" t="s">
        <v>1033</v>
      </c>
      <c r="F29" s="11" t="s">
        <v>1757</v>
      </c>
      <c r="G29" s="11" t="s">
        <v>2886</v>
      </c>
      <c r="H29" s="11"/>
      <c r="I29" s="11"/>
      <c r="J29" s="11"/>
      <c r="K29" s="11"/>
    </row>
    <row r="30" spans="1:11">
      <c r="A30" s="11">
        <v>28</v>
      </c>
      <c r="B30" s="11" t="s">
        <v>1182</v>
      </c>
      <c r="C30" s="11">
        <v>12</v>
      </c>
      <c r="D30" s="11" t="s">
        <v>189</v>
      </c>
      <c r="E30" s="11" t="s">
        <v>5576</v>
      </c>
      <c r="F30" s="11" t="s">
        <v>1688</v>
      </c>
      <c r="G30" s="11" t="s">
        <v>1689</v>
      </c>
      <c r="H30" s="11"/>
      <c r="I30" s="11"/>
      <c r="J30" s="11"/>
      <c r="K30" s="11"/>
    </row>
    <row r="31" spans="1:11" ht="30">
      <c r="A31" s="11">
        <v>29</v>
      </c>
      <c r="B31" s="11" t="s">
        <v>1183</v>
      </c>
      <c r="C31" s="11">
        <v>30</v>
      </c>
      <c r="D31" s="11" t="s">
        <v>242</v>
      </c>
      <c r="E31" s="11" t="s">
        <v>5576</v>
      </c>
      <c r="F31" s="11" t="s">
        <v>1690</v>
      </c>
      <c r="G31" s="11" t="s">
        <v>1691</v>
      </c>
      <c r="H31" s="11"/>
      <c r="I31" s="11"/>
      <c r="J31" s="11"/>
      <c r="K31" s="11"/>
    </row>
    <row r="32" spans="1:11">
      <c r="J32"/>
      <c r="K32"/>
    </row>
    <row r="33" spans="10:11">
      <c r="J33"/>
      <c r="K33"/>
    </row>
    <row r="34" spans="10:11">
      <c r="J34"/>
      <c r="K34"/>
    </row>
    <row r="35" spans="10:11">
      <c r="J35"/>
      <c r="K35"/>
    </row>
    <row r="36" spans="10:11">
      <c r="J36"/>
      <c r="K36"/>
    </row>
    <row r="37" spans="10:11">
      <c r="J37"/>
      <c r="K37"/>
    </row>
    <row r="38" spans="10:11">
      <c r="J38"/>
      <c r="K38"/>
    </row>
    <row r="39" spans="10:11">
      <c r="J39"/>
      <c r="K39"/>
    </row>
    <row r="40" spans="10:11">
      <c r="J40"/>
      <c r="K40"/>
    </row>
    <row r="41" spans="10:11">
      <c r="J41"/>
      <c r="K41"/>
    </row>
    <row r="42" spans="10:11">
      <c r="J42"/>
      <c r="K42"/>
    </row>
    <row r="43" spans="10:11">
      <c r="J43"/>
      <c r="K43"/>
    </row>
    <row r="44" spans="10:11">
      <c r="J44"/>
      <c r="K44"/>
    </row>
    <row r="45" spans="10:11">
      <c r="J45"/>
      <c r="K45"/>
    </row>
    <row r="46" spans="10:11">
      <c r="J46"/>
      <c r="K46"/>
    </row>
    <row r="47" spans="10:11">
      <c r="J47"/>
      <c r="K47"/>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D5D0-D91B-4CF2-825C-239D5C7E05A2}">
  <sheetPr codeName="Sheet14"/>
  <dimension ref="A1:I43"/>
  <sheetViews>
    <sheetView topLeftCell="A43" workbookViewId="0">
      <selection activeCell="C22" sqref="C22"/>
    </sheetView>
  </sheetViews>
  <sheetFormatPr defaultColWidth="32.140625" defaultRowHeight="15"/>
  <cols>
    <col min="1" max="1" width="9.42578125" style="1" bestFit="1" customWidth="1"/>
    <col min="2" max="2" width="20.140625" style="1" bestFit="1" customWidth="1"/>
    <col min="3" max="3" width="4.5703125" style="1" bestFit="1" customWidth="1"/>
    <col min="4" max="4" width="9" style="1" bestFit="1" customWidth="1"/>
    <col min="5" max="5" width="24.42578125" style="1" bestFit="1" customWidth="1"/>
    <col min="6" max="6" width="33.42578125" style="1" bestFit="1" customWidth="1"/>
    <col min="7" max="7" width="56.5703125" style="1" bestFit="1" customWidth="1"/>
    <col min="8" max="9" width="5.28515625" style="1" bestFit="1" customWidth="1"/>
    <col min="10" max="16382" width="32.140625" style="1"/>
    <col min="16383" max="16383" width="1.7109375" style="1" customWidth="1"/>
    <col min="16384" max="16384" width="17.7109375" style="1" customWidth="1"/>
  </cols>
  <sheetData>
    <row r="1" spans="1:9">
      <c r="A1" s="12" t="s">
        <v>238</v>
      </c>
      <c r="B1" s="12"/>
      <c r="C1" s="12"/>
      <c r="D1" s="12"/>
      <c r="E1" s="12"/>
      <c r="F1" s="12"/>
      <c r="G1" s="12"/>
      <c r="H1" s="12"/>
      <c r="I1" s="12"/>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8</v>
      </c>
      <c r="D3" s="11" t="s">
        <v>160</v>
      </c>
      <c r="E3" s="11" t="s">
        <v>177</v>
      </c>
      <c r="F3" s="11" t="s">
        <v>1686</v>
      </c>
      <c r="G3" s="11" t="s">
        <v>1687</v>
      </c>
      <c r="H3" s="11" t="s">
        <v>5382</v>
      </c>
      <c r="I3" s="11"/>
    </row>
    <row r="4" spans="1:9" ht="30">
      <c r="A4" s="11">
        <v>2</v>
      </c>
      <c r="B4" s="11" t="s">
        <v>78</v>
      </c>
      <c r="C4" s="11">
        <v>4</v>
      </c>
      <c r="D4" s="11" t="s">
        <v>242</v>
      </c>
      <c r="E4" s="11"/>
      <c r="F4" s="11" t="s">
        <v>1707</v>
      </c>
      <c r="G4" s="11" t="s">
        <v>3570</v>
      </c>
      <c r="H4" s="11" t="s">
        <v>5384</v>
      </c>
      <c r="I4" s="11"/>
    </row>
    <row r="5" spans="1:9" ht="30">
      <c r="A5" s="11">
        <v>3</v>
      </c>
      <c r="B5" s="11" t="s">
        <v>89</v>
      </c>
      <c r="C5" s="11">
        <v>10</v>
      </c>
      <c r="D5" s="11" t="s">
        <v>242</v>
      </c>
      <c r="E5" s="11"/>
      <c r="F5" s="11" t="s">
        <v>1708</v>
      </c>
      <c r="G5" s="11" t="s">
        <v>3526</v>
      </c>
      <c r="H5" s="11" t="s">
        <v>5385</v>
      </c>
      <c r="I5" s="11"/>
    </row>
    <row r="6" spans="1:9" ht="30">
      <c r="A6" s="53">
        <v>4</v>
      </c>
      <c r="B6" s="11" t="s">
        <v>87</v>
      </c>
      <c r="C6" s="11">
        <v>14</v>
      </c>
      <c r="D6" s="11" t="s">
        <v>1032</v>
      </c>
      <c r="E6" s="11" t="s">
        <v>1033</v>
      </c>
      <c r="F6" s="11" t="s">
        <v>1709</v>
      </c>
      <c r="G6" s="11" t="s">
        <v>3527</v>
      </c>
      <c r="H6" s="11" t="s">
        <v>5402</v>
      </c>
      <c r="I6" s="11"/>
    </row>
    <row r="7" spans="1:9" ht="30">
      <c r="A7" s="53">
        <v>5</v>
      </c>
      <c r="B7" s="11" t="s">
        <v>0</v>
      </c>
      <c r="C7" s="11">
        <v>1</v>
      </c>
      <c r="D7" s="11" t="s">
        <v>242</v>
      </c>
      <c r="E7" s="11"/>
      <c r="F7" s="11" t="s">
        <v>1724</v>
      </c>
      <c r="G7" s="11" t="s">
        <v>3571</v>
      </c>
      <c r="H7" s="11"/>
      <c r="I7" s="11"/>
    </row>
    <row r="8" spans="1:9" ht="120">
      <c r="A8" s="53">
        <v>6</v>
      </c>
      <c r="B8" s="11" t="s">
        <v>1</v>
      </c>
      <c r="C8" s="11">
        <v>1</v>
      </c>
      <c r="D8" s="11" t="s">
        <v>242</v>
      </c>
      <c r="E8" s="11"/>
      <c r="F8" s="11" t="s">
        <v>1730</v>
      </c>
      <c r="G8" s="11" t="s">
        <v>2387</v>
      </c>
      <c r="H8" s="11"/>
      <c r="I8" s="11"/>
    </row>
    <row r="9" spans="1:9" ht="30">
      <c r="A9" s="53">
        <v>7</v>
      </c>
      <c r="B9" s="11" t="s">
        <v>90</v>
      </c>
      <c r="C9" s="11">
        <v>10</v>
      </c>
      <c r="D9" s="11" t="s">
        <v>242</v>
      </c>
      <c r="E9" s="11"/>
      <c r="F9" s="11" t="s">
        <v>1761</v>
      </c>
      <c r="G9" s="11" t="s">
        <v>3219</v>
      </c>
      <c r="H9" s="11"/>
      <c r="I9" s="11"/>
    </row>
    <row r="10" spans="1:9" ht="30">
      <c r="A10" s="53">
        <v>8</v>
      </c>
      <c r="B10" s="11" t="s">
        <v>241</v>
      </c>
      <c r="C10" s="11">
        <v>14</v>
      </c>
      <c r="D10" s="11" t="s">
        <v>242</v>
      </c>
      <c r="E10" s="11"/>
      <c r="F10" s="11" t="s">
        <v>2389</v>
      </c>
      <c r="G10" s="11" t="s">
        <v>2390</v>
      </c>
      <c r="H10" s="11" t="s">
        <v>5451</v>
      </c>
      <c r="I10" s="11" t="s">
        <v>5387</v>
      </c>
    </row>
    <row r="11" spans="1:9">
      <c r="A11" s="53">
        <v>9</v>
      </c>
      <c r="B11" s="11" t="s">
        <v>450</v>
      </c>
      <c r="C11" s="11">
        <v>6</v>
      </c>
      <c r="D11" s="11" t="s">
        <v>242</v>
      </c>
      <c r="E11" s="11"/>
      <c r="F11" s="11" t="s">
        <v>2391</v>
      </c>
      <c r="G11" s="11" t="s">
        <v>2392</v>
      </c>
      <c r="H11" s="11" t="s">
        <v>5670</v>
      </c>
      <c r="I11" s="11" t="s">
        <v>5386</v>
      </c>
    </row>
    <row r="12" spans="1:9" ht="105">
      <c r="A12" s="53">
        <v>10</v>
      </c>
      <c r="B12" s="11" t="s">
        <v>451</v>
      </c>
      <c r="C12" s="11">
        <v>1</v>
      </c>
      <c r="D12" s="11" t="s">
        <v>242</v>
      </c>
      <c r="E12" s="11"/>
      <c r="F12" s="11" t="s">
        <v>2393</v>
      </c>
      <c r="G12" s="11" t="s">
        <v>2394</v>
      </c>
      <c r="H12" s="11"/>
      <c r="I12" s="11"/>
    </row>
    <row r="13" spans="1:9" ht="180">
      <c r="A13" s="53">
        <v>11</v>
      </c>
      <c r="B13" s="11" t="s">
        <v>452</v>
      </c>
      <c r="C13" s="11">
        <v>1</v>
      </c>
      <c r="D13" s="11" t="s">
        <v>242</v>
      </c>
      <c r="E13" s="11"/>
      <c r="F13" s="11" t="s">
        <v>2395</v>
      </c>
      <c r="G13" s="11" t="s">
        <v>2396</v>
      </c>
      <c r="H13" s="11"/>
      <c r="I13" s="11"/>
    </row>
    <row r="14" spans="1:9" ht="30">
      <c r="A14" s="53">
        <v>12</v>
      </c>
      <c r="B14" s="11" t="s">
        <v>453</v>
      </c>
      <c r="C14" s="11">
        <v>8</v>
      </c>
      <c r="D14" s="11" t="s">
        <v>160</v>
      </c>
      <c r="E14" s="11" t="s">
        <v>177</v>
      </c>
      <c r="F14" s="11" t="s">
        <v>2397</v>
      </c>
      <c r="G14" s="11" t="s">
        <v>2398</v>
      </c>
      <c r="H14" s="11"/>
      <c r="I14" s="11"/>
    </row>
    <row r="15" spans="1:9" ht="45">
      <c r="A15" s="53">
        <v>13</v>
      </c>
      <c r="B15" s="11" t="s">
        <v>454</v>
      </c>
      <c r="C15" s="11">
        <v>8</v>
      </c>
      <c r="D15" s="11" t="s">
        <v>160</v>
      </c>
      <c r="E15" s="11" t="s">
        <v>177</v>
      </c>
      <c r="F15" s="11" t="s">
        <v>2399</v>
      </c>
      <c r="G15" s="11" t="s">
        <v>2400</v>
      </c>
      <c r="H15" s="11"/>
      <c r="I15" s="11"/>
    </row>
    <row r="16" spans="1:9" ht="45">
      <c r="A16" s="53">
        <v>14</v>
      </c>
      <c r="B16" s="11" t="s">
        <v>455</v>
      </c>
      <c r="C16" s="11">
        <v>3</v>
      </c>
      <c r="D16" s="11" t="s">
        <v>242</v>
      </c>
      <c r="E16" s="11"/>
      <c r="F16" s="11" t="s">
        <v>2401</v>
      </c>
      <c r="G16" s="11" t="s">
        <v>2842</v>
      </c>
      <c r="H16" s="11"/>
      <c r="I16" s="11"/>
    </row>
    <row r="17" spans="1:9" ht="30">
      <c r="A17" s="53">
        <v>15</v>
      </c>
      <c r="B17" s="11" t="s">
        <v>456</v>
      </c>
      <c r="C17" s="11">
        <v>3</v>
      </c>
      <c r="D17" s="11" t="s">
        <v>242</v>
      </c>
      <c r="E17" s="11"/>
      <c r="F17" s="11" t="s">
        <v>2402</v>
      </c>
      <c r="G17" s="11" t="s">
        <v>2403</v>
      </c>
      <c r="H17" s="11"/>
      <c r="I17" s="11"/>
    </row>
    <row r="18" spans="1:9" ht="45">
      <c r="A18" s="53">
        <v>16</v>
      </c>
      <c r="B18" s="11" t="s">
        <v>457</v>
      </c>
      <c r="C18" s="11">
        <v>14</v>
      </c>
      <c r="D18" s="11" t="s">
        <v>189</v>
      </c>
      <c r="E18" s="11"/>
      <c r="F18" s="11" t="s">
        <v>2404</v>
      </c>
      <c r="G18" s="11" t="s">
        <v>2405</v>
      </c>
      <c r="H18" s="11"/>
      <c r="I18" s="11"/>
    </row>
    <row r="19" spans="1:9" ht="60">
      <c r="A19" s="53">
        <v>17</v>
      </c>
      <c r="B19" s="11" t="s">
        <v>458</v>
      </c>
      <c r="C19" s="11">
        <v>14</v>
      </c>
      <c r="D19" s="11" t="s">
        <v>189</v>
      </c>
      <c r="E19" s="11"/>
      <c r="F19" s="11" t="s">
        <v>2406</v>
      </c>
      <c r="G19" s="11" t="s">
        <v>2407</v>
      </c>
      <c r="H19" s="11"/>
      <c r="I19" s="11"/>
    </row>
    <row r="20" spans="1:9">
      <c r="A20" s="53">
        <v>18</v>
      </c>
      <c r="B20" s="11" t="s">
        <v>459</v>
      </c>
      <c r="C20" s="11">
        <v>14</v>
      </c>
      <c r="D20" s="11" t="s">
        <v>189</v>
      </c>
      <c r="E20" s="11"/>
      <c r="F20" s="11" t="s">
        <v>2408</v>
      </c>
      <c r="G20" s="11" t="s">
        <v>2409</v>
      </c>
      <c r="H20" s="11"/>
      <c r="I20" s="11"/>
    </row>
    <row r="21" spans="1:9" ht="90">
      <c r="A21" s="53">
        <v>19</v>
      </c>
      <c r="B21" s="11" t="s">
        <v>460</v>
      </c>
      <c r="C21" s="11">
        <v>1</v>
      </c>
      <c r="D21" s="11" t="s">
        <v>242</v>
      </c>
      <c r="E21" s="11"/>
      <c r="F21" s="11"/>
      <c r="G21" s="11" t="s">
        <v>2410</v>
      </c>
      <c r="H21" s="11"/>
      <c r="I21" s="11"/>
    </row>
    <row r="22" spans="1:9" ht="30">
      <c r="A22" s="53">
        <v>20</v>
      </c>
      <c r="B22" s="11" t="s">
        <v>461</v>
      </c>
      <c r="C22" s="11">
        <v>8</v>
      </c>
      <c r="D22" s="11" t="s">
        <v>160</v>
      </c>
      <c r="E22" s="11" t="s">
        <v>177</v>
      </c>
      <c r="F22" s="11" t="s">
        <v>2411</v>
      </c>
      <c r="G22" s="11" t="s">
        <v>2412</v>
      </c>
      <c r="H22" s="11"/>
      <c r="I22" s="11"/>
    </row>
    <row r="23" spans="1:9" ht="105">
      <c r="A23" s="53">
        <v>21</v>
      </c>
      <c r="B23" s="11" t="s">
        <v>462</v>
      </c>
      <c r="C23" s="11">
        <v>1</v>
      </c>
      <c r="D23" s="11" t="s">
        <v>242</v>
      </c>
      <c r="E23" s="11"/>
      <c r="F23" s="11" t="s">
        <v>2413</v>
      </c>
      <c r="G23" s="11" t="s">
        <v>2414</v>
      </c>
      <c r="H23" s="11"/>
      <c r="I23" s="11"/>
    </row>
    <row r="24" spans="1:9" ht="45">
      <c r="A24" s="53">
        <v>22</v>
      </c>
      <c r="B24" s="11" t="s">
        <v>268</v>
      </c>
      <c r="C24" s="11">
        <v>14</v>
      </c>
      <c r="D24" s="11" t="s">
        <v>242</v>
      </c>
      <c r="E24" s="11"/>
      <c r="F24" s="11" t="s">
        <v>2421</v>
      </c>
      <c r="G24" s="11" t="s">
        <v>2422</v>
      </c>
      <c r="H24" s="11"/>
      <c r="I24" s="11"/>
    </row>
    <row r="25" spans="1:9" ht="45">
      <c r="A25" s="53">
        <v>23</v>
      </c>
      <c r="B25" s="11" t="s">
        <v>473</v>
      </c>
      <c r="C25" s="11">
        <v>1</v>
      </c>
      <c r="D25" s="11" t="s">
        <v>242</v>
      </c>
      <c r="E25" s="11"/>
      <c r="F25" s="11" t="s">
        <v>2436</v>
      </c>
      <c r="G25" s="11" t="s">
        <v>2437</v>
      </c>
      <c r="H25" s="11"/>
      <c r="I25" s="11"/>
    </row>
    <row r="26" spans="1:9" ht="75">
      <c r="A26" s="53">
        <v>24</v>
      </c>
      <c r="B26" s="11" t="s">
        <v>474</v>
      </c>
      <c r="C26" s="11">
        <v>1</v>
      </c>
      <c r="D26" s="11" t="s">
        <v>242</v>
      </c>
      <c r="E26" s="11"/>
      <c r="F26" s="11" t="s">
        <v>2438</v>
      </c>
      <c r="G26" s="11" t="s">
        <v>2439</v>
      </c>
      <c r="H26" s="11"/>
      <c r="I26" s="11"/>
    </row>
    <row r="27" spans="1:9" ht="120">
      <c r="A27" s="53">
        <v>25</v>
      </c>
      <c r="B27" s="11" t="s">
        <v>475</v>
      </c>
      <c r="C27" s="11">
        <v>1</v>
      </c>
      <c r="D27" s="11" t="s">
        <v>242</v>
      </c>
      <c r="E27" s="11"/>
      <c r="F27" s="11" t="s">
        <v>2440</v>
      </c>
      <c r="G27" s="11" t="s">
        <v>2441</v>
      </c>
      <c r="H27" s="11"/>
      <c r="I27" s="11"/>
    </row>
    <row r="28" spans="1:9" ht="45">
      <c r="A28" s="53">
        <v>26</v>
      </c>
      <c r="B28" s="11" t="s">
        <v>476</v>
      </c>
      <c r="C28" s="11">
        <v>1</v>
      </c>
      <c r="D28" s="11" t="s">
        <v>242</v>
      </c>
      <c r="E28" s="11"/>
      <c r="F28" s="11" t="s">
        <v>2442</v>
      </c>
      <c r="G28" s="11" t="s">
        <v>2443</v>
      </c>
      <c r="H28" s="11"/>
      <c r="I28" s="11"/>
    </row>
    <row r="29" spans="1:9" ht="150">
      <c r="A29" s="53">
        <v>27</v>
      </c>
      <c r="B29" s="11" t="s">
        <v>478</v>
      </c>
      <c r="C29" s="11">
        <v>10</v>
      </c>
      <c r="D29" s="11" t="s">
        <v>189</v>
      </c>
      <c r="E29" s="11"/>
      <c r="F29" s="11" t="s">
        <v>2444</v>
      </c>
      <c r="G29" s="11" t="s">
        <v>2445</v>
      </c>
      <c r="H29" s="11"/>
      <c r="I29" s="11"/>
    </row>
    <row r="30" spans="1:9" ht="30">
      <c r="A30" s="53">
        <v>28</v>
      </c>
      <c r="B30" s="11" t="s">
        <v>479</v>
      </c>
      <c r="C30" s="11">
        <v>20</v>
      </c>
      <c r="D30" s="11" t="s">
        <v>242</v>
      </c>
      <c r="E30" s="11"/>
      <c r="F30" s="11" t="s">
        <v>2447</v>
      </c>
      <c r="G30" s="11" t="s">
        <v>2448</v>
      </c>
      <c r="H30" s="11"/>
      <c r="I30" s="11"/>
    </row>
    <row r="31" spans="1:9" ht="30">
      <c r="A31" s="53">
        <v>29</v>
      </c>
      <c r="B31" s="11" t="s">
        <v>480</v>
      </c>
      <c r="C31" s="11">
        <v>20</v>
      </c>
      <c r="D31" s="11" t="s">
        <v>242</v>
      </c>
      <c r="E31" s="11"/>
      <c r="F31" s="11" t="s">
        <v>2449</v>
      </c>
      <c r="G31" s="11" t="s">
        <v>2450</v>
      </c>
      <c r="H31" s="11"/>
      <c r="I31" s="11"/>
    </row>
    <row r="32" spans="1:9" ht="30">
      <c r="A32" s="53">
        <v>30</v>
      </c>
      <c r="B32" s="11" t="s">
        <v>481</v>
      </c>
      <c r="C32" s="11">
        <v>20</v>
      </c>
      <c r="D32" s="11" t="s">
        <v>242</v>
      </c>
      <c r="E32" s="11"/>
      <c r="F32" s="11" t="s">
        <v>2451</v>
      </c>
      <c r="G32" s="11" t="s">
        <v>2452</v>
      </c>
      <c r="H32" s="11"/>
      <c r="I32" s="11"/>
    </row>
    <row r="33" spans="1:9" ht="30">
      <c r="A33" s="53">
        <v>31</v>
      </c>
      <c r="B33" s="11" t="s">
        <v>482</v>
      </c>
      <c r="C33" s="11">
        <v>20</v>
      </c>
      <c r="D33" s="11" t="s">
        <v>242</v>
      </c>
      <c r="E33" s="11"/>
      <c r="F33" s="11" t="s">
        <v>2453</v>
      </c>
      <c r="G33" s="11" t="s">
        <v>2454</v>
      </c>
      <c r="H33" s="11"/>
      <c r="I33" s="11"/>
    </row>
    <row r="34" spans="1:9" ht="45">
      <c r="A34" s="53">
        <v>32</v>
      </c>
      <c r="B34" s="11" t="s">
        <v>483</v>
      </c>
      <c r="C34" s="11">
        <v>1</v>
      </c>
      <c r="D34" s="11" t="s">
        <v>242</v>
      </c>
      <c r="E34" s="11"/>
      <c r="F34" s="11" t="s">
        <v>2455</v>
      </c>
      <c r="G34" s="11" t="s">
        <v>2456</v>
      </c>
      <c r="H34" s="17"/>
      <c r="I34" s="17"/>
    </row>
    <row r="35" spans="1:9">
      <c r="A35" s="53">
        <v>33</v>
      </c>
      <c r="B35" s="11" t="s">
        <v>484</v>
      </c>
      <c r="C35" s="11">
        <v>8</v>
      </c>
      <c r="D35" s="11" t="s">
        <v>160</v>
      </c>
      <c r="E35" s="11" t="s">
        <v>177</v>
      </c>
      <c r="F35" s="11" t="s">
        <v>5710</v>
      </c>
      <c r="G35" s="11"/>
      <c r="H35" s="17"/>
      <c r="I35" s="17"/>
    </row>
    <row r="36" spans="1:9" ht="60">
      <c r="A36" s="53">
        <v>34</v>
      </c>
      <c r="B36" s="11" t="s">
        <v>1608</v>
      </c>
      <c r="C36" s="11">
        <v>4</v>
      </c>
      <c r="D36" s="11" t="s">
        <v>242</v>
      </c>
      <c r="E36" s="11"/>
      <c r="F36" s="11" t="s">
        <v>2467</v>
      </c>
      <c r="G36" s="11" t="s">
        <v>2843</v>
      </c>
      <c r="H36" s="17"/>
      <c r="I36" s="17"/>
    </row>
    <row r="37" spans="1:9" ht="30">
      <c r="A37" s="53">
        <v>35</v>
      </c>
      <c r="B37" s="11" t="s">
        <v>150</v>
      </c>
      <c r="C37" s="11">
        <v>200</v>
      </c>
      <c r="D37" s="11" t="s">
        <v>242</v>
      </c>
      <c r="E37" s="11"/>
      <c r="F37" s="11" t="s">
        <v>1803</v>
      </c>
      <c r="G37" s="11" t="s">
        <v>3603</v>
      </c>
      <c r="H37" s="17"/>
      <c r="I37" s="17"/>
    </row>
    <row r="38" spans="1:9" ht="30">
      <c r="A38" s="53">
        <v>36</v>
      </c>
      <c r="B38" s="11" t="s">
        <v>105</v>
      </c>
      <c r="C38" s="11">
        <v>10</v>
      </c>
      <c r="D38" s="11" t="s">
        <v>242</v>
      </c>
      <c r="E38" s="11"/>
      <c r="F38" s="11" t="s">
        <v>1716</v>
      </c>
      <c r="G38" s="11" t="s">
        <v>3550</v>
      </c>
      <c r="H38" s="17"/>
      <c r="I38" s="17"/>
    </row>
    <row r="39" spans="1:9" ht="30">
      <c r="A39" s="53">
        <v>37</v>
      </c>
      <c r="B39" s="11" t="s">
        <v>163</v>
      </c>
      <c r="C39" s="11">
        <v>14</v>
      </c>
      <c r="D39" s="11" t="s">
        <v>242</v>
      </c>
      <c r="E39" s="11"/>
      <c r="F39" s="11" t="s">
        <v>1717</v>
      </c>
      <c r="G39" s="11" t="s">
        <v>3594</v>
      </c>
      <c r="H39" s="17"/>
      <c r="I39" s="17"/>
    </row>
    <row r="40" spans="1:9" ht="30">
      <c r="A40" s="53">
        <v>38</v>
      </c>
      <c r="B40" s="11" t="s">
        <v>77</v>
      </c>
      <c r="C40" s="11">
        <v>8</v>
      </c>
      <c r="D40" s="11" t="s">
        <v>160</v>
      </c>
      <c r="E40" s="11" t="s">
        <v>177</v>
      </c>
      <c r="F40" s="11" t="s">
        <v>1751</v>
      </c>
      <c r="G40" s="11" t="s">
        <v>2904</v>
      </c>
      <c r="H40" s="17"/>
      <c r="I40" s="17"/>
    </row>
    <row r="41" spans="1:9">
      <c r="A41" s="53">
        <v>39</v>
      </c>
      <c r="B41" s="11" t="s">
        <v>488</v>
      </c>
      <c r="C41" s="11">
        <v>25</v>
      </c>
      <c r="D41" s="11" t="s">
        <v>242</v>
      </c>
      <c r="E41" s="11"/>
      <c r="F41" s="11" t="s">
        <v>2465</v>
      </c>
      <c r="G41" s="11" t="s">
        <v>2466</v>
      </c>
      <c r="H41" s="17"/>
      <c r="I41" s="17"/>
    </row>
    <row r="42" spans="1:9">
      <c r="A42" s="53">
        <v>40</v>
      </c>
      <c r="B42" s="11" t="s">
        <v>1182</v>
      </c>
      <c r="C42" s="11">
        <v>12</v>
      </c>
      <c r="D42" s="11" t="s">
        <v>189</v>
      </c>
      <c r="E42" s="11" t="s">
        <v>5576</v>
      </c>
      <c r="F42" s="11" t="s">
        <v>1688</v>
      </c>
      <c r="G42" s="11" t="s">
        <v>1689</v>
      </c>
      <c r="H42" s="17"/>
      <c r="I42" s="17"/>
    </row>
    <row r="43" spans="1:9" ht="30">
      <c r="A43" s="53">
        <v>41</v>
      </c>
      <c r="B43" s="11" t="s">
        <v>1183</v>
      </c>
      <c r="C43" s="11">
        <v>30</v>
      </c>
      <c r="D43" s="11" t="s">
        <v>242</v>
      </c>
      <c r="E43" s="11" t="s">
        <v>5576</v>
      </c>
      <c r="F43" s="11" t="s">
        <v>1690</v>
      </c>
      <c r="G43" s="11" t="s">
        <v>1691</v>
      </c>
      <c r="H43" s="17"/>
      <c r="I43" s="17"/>
    </row>
  </sheetData>
  <autoFilter ref="A1:E94" xr:uid="{0A2BD5D0-D91B-4CF2-825C-239D5C7E05A2}"/>
  <pageMargins left="0.7" right="0.7" top="0.75" bottom="0.75" header="0.3" footer="0.3"/>
  <pageSetup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74C13-35A3-4D2E-8E36-97A5FBB0DB21}">
  <sheetPr codeName="Sheet109"/>
  <dimension ref="A1:J48"/>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9" width="5.28515625" style="1" bestFit="1" customWidth="1"/>
    <col min="10" max="16382" width="32.140625" style="1"/>
    <col min="16383" max="16383" width="1.7109375" style="1" customWidth="1"/>
    <col min="16384" max="16384" width="17.7109375" style="1" customWidth="1"/>
  </cols>
  <sheetData>
    <row r="1" spans="1:9">
      <c r="A1" s="12" t="s">
        <v>238</v>
      </c>
      <c r="B1" s="12"/>
      <c r="C1" s="12"/>
      <c r="D1" s="12"/>
      <c r="E1" s="12"/>
      <c r="F1" s="12"/>
      <c r="G1" s="12"/>
      <c r="H1" s="12"/>
      <c r="I1" s="12"/>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8</v>
      </c>
      <c r="D3" s="11" t="s">
        <v>160</v>
      </c>
      <c r="E3" s="11" t="s">
        <v>177</v>
      </c>
      <c r="F3" s="11" t="s">
        <v>1686</v>
      </c>
      <c r="G3" s="11" t="s">
        <v>1687</v>
      </c>
      <c r="H3" s="11" t="s">
        <v>5382</v>
      </c>
      <c r="I3" s="11"/>
    </row>
    <row r="4" spans="1:9" ht="30">
      <c r="A4" s="11">
        <v>2</v>
      </c>
      <c r="B4" s="11" t="s">
        <v>78</v>
      </c>
      <c r="C4" s="11">
        <v>4</v>
      </c>
      <c r="D4" s="11" t="s">
        <v>242</v>
      </c>
      <c r="E4" s="11"/>
      <c r="F4" s="11" t="s">
        <v>1707</v>
      </c>
      <c r="G4" s="11" t="s">
        <v>3570</v>
      </c>
      <c r="H4" s="11" t="s">
        <v>5384</v>
      </c>
      <c r="I4" s="11"/>
    </row>
    <row r="5" spans="1:9" ht="30">
      <c r="A5" s="11">
        <v>3</v>
      </c>
      <c r="B5" s="11" t="s">
        <v>89</v>
      </c>
      <c r="C5" s="11">
        <v>10</v>
      </c>
      <c r="D5" s="11" t="s">
        <v>242</v>
      </c>
      <c r="E5" s="11"/>
      <c r="F5" s="11" t="s">
        <v>1708</v>
      </c>
      <c r="G5" s="11" t="s">
        <v>3526</v>
      </c>
      <c r="H5" s="11" t="s">
        <v>5385</v>
      </c>
      <c r="I5" s="11"/>
    </row>
    <row r="6" spans="1:9" ht="30">
      <c r="A6" s="11">
        <v>4</v>
      </c>
      <c r="B6" s="11" t="s">
        <v>87</v>
      </c>
      <c r="C6" s="11">
        <v>14</v>
      </c>
      <c r="D6" s="11" t="s">
        <v>161</v>
      </c>
      <c r="E6" s="11" t="s">
        <v>1033</v>
      </c>
      <c r="F6" s="11" t="s">
        <v>1709</v>
      </c>
      <c r="G6" s="11" t="s">
        <v>3527</v>
      </c>
      <c r="H6" s="11" t="s">
        <v>5402</v>
      </c>
      <c r="I6" s="11"/>
    </row>
    <row r="7" spans="1:9" ht="30">
      <c r="A7" s="11">
        <v>5</v>
      </c>
      <c r="B7" s="11" t="s">
        <v>0</v>
      </c>
      <c r="C7" s="11">
        <v>1</v>
      </c>
      <c r="D7" s="11" t="s">
        <v>242</v>
      </c>
      <c r="E7" s="11"/>
      <c r="F7" s="11" t="s">
        <v>1724</v>
      </c>
      <c r="G7" s="11" t="s">
        <v>3571</v>
      </c>
      <c r="H7" s="11"/>
      <c r="I7" s="11"/>
    </row>
    <row r="8" spans="1:9" ht="120">
      <c r="A8" s="11">
        <v>6</v>
      </c>
      <c r="B8" s="11" t="s">
        <v>1</v>
      </c>
      <c r="C8" s="11">
        <v>1</v>
      </c>
      <c r="D8" s="11" t="s">
        <v>242</v>
      </c>
      <c r="E8" s="11"/>
      <c r="F8" s="11" t="s">
        <v>1730</v>
      </c>
      <c r="G8" s="11" t="s">
        <v>2387</v>
      </c>
      <c r="H8" s="11"/>
      <c r="I8" s="11"/>
    </row>
    <row r="9" spans="1:9" ht="30">
      <c r="A9" s="11">
        <v>7</v>
      </c>
      <c r="B9" s="11" t="s">
        <v>90</v>
      </c>
      <c r="C9" s="11">
        <v>10</v>
      </c>
      <c r="D9" s="11" t="s">
        <v>242</v>
      </c>
      <c r="E9" s="11"/>
      <c r="F9" s="11" t="s">
        <v>2473</v>
      </c>
      <c r="G9" s="11" t="s">
        <v>3219</v>
      </c>
      <c r="H9" s="11"/>
      <c r="I9" s="11"/>
    </row>
    <row r="10" spans="1:9" ht="30">
      <c r="A10" s="11">
        <v>8</v>
      </c>
      <c r="B10" s="11" t="s">
        <v>243</v>
      </c>
      <c r="C10" s="11">
        <v>2</v>
      </c>
      <c r="D10" s="11" t="s">
        <v>242</v>
      </c>
      <c r="E10" s="11"/>
      <c r="F10" s="11" t="s">
        <v>1883</v>
      </c>
      <c r="G10" s="11" t="s">
        <v>3597</v>
      </c>
      <c r="H10" s="11"/>
      <c r="I10" s="11" t="s">
        <v>5387</v>
      </c>
    </row>
    <row r="11" spans="1:9" ht="30">
      <c r="A11" s="11">
        <v>9</v>
      </c>
      <c r="B11" s="11" t="s">
        <v>241</v>
      </c>
      <c r="C11" s="11">
        <v>14</v>
      </c>
      <c r="D11" s="11" t="s">
        <v>242</v>
      </c>
      <c r="E11" s="11"/>
      <c r="F11" s="11" t="s">
        <v>1711</v>
      </c>
      <c r="G11" s="11" t="s">
        <v>3598</v>
      </c>
      <c r="H11" s="11"/>
      <c r="I11" s="11" t="s">
        <v>5386</v>
      </c>
    </row>
    <row r="12" spans="1:9" ht="30">
      <c r="A12" s="11">
        <v>10</v>
      </c>
      <c r="B12" s="11" t="s">
        <v>691</v>
      </c>
      <c r="C12" s="11">
        <v>8</v>
      </c>
      <c r="D12" s="11" t="s">
        <v>242</v>
      </c>
      <c r="E12" s="11"/>
      <c r="F12" s="11" t="s">
        <v>2468</v>
      </c>
      <c r="G12" s="11" t="s">
        <v>3599</v>
      </c>
      <c r="H12" s="11"/>
      <c r="I12" s="11" t="s">
        <v>5395</v>
      </c>
    </row>
    <row r="13" spans="1:9">
      <c r="A13" s="11">
        <v>11</v>
      </c>
      <c r="B13" s="11" t="s">
        <v>692</v>
      </c>
      <c r="C13" s="11">
        <v>14</v>
      </c>
      <c r="D13" s="11" t="s">
        <v>189</v>
      </c>
      <c r="E13" s="11"/>
      <c r="F13" s="11" t="s">
        <v>2469</v>
      </c>
      <c r="G13" s="11" t="s">
        <v>3600</v>
      </c>
      <c r="H13" s="11"/>
      <c r="I13" s="11"/>
    </row>
    <row r="14" spans="1:9" ht="30">
      <c r="A14" s="11">
        <v>12</v>
      </c>
      <c r="B14" s="11" t="s">
        <v>693</v>
      </c>
      <c r="C14" s="11">
        <v>8</v>
      </c>
      <c r="D14" s="11" t="s">
        <v>160</v>
      </c>
      <c r="E14" s="11" t="s">
        <v>177</v>
      </c>
      <c r="F14" s="11" t="s">
        <v>2470</v>
      </c>
      <c r="G14" s="11" t="s">
        <v>3601</v>
      </c>
      <c r="H14" s="11"/>
      <c r="I14" s="11"/>
    </row>
    <row r="15" spans="1:9" ht="30">
      <c r="A15" s="11">
        <v>13</v>
      </c>
      <c r="B15" s="11" t="s">
        <v>694</v>
      </c>
      <c r="C15" s="11">
        <v>25</v>
      </c>
      <c r="D15" s="11" t="s">
        <v>242</v>
      </c>
      <c r="E15" s="11"/>
      <c r="F15" s="11" t="s">
        <v>2471</v>
      </c>
      <c r="G15" s="11" t="s">
        <v>3602</v>
      </c>
      <c r="H15" s="11"/>
      <c r="I15" s="11"/>
    </row>
    <row r="16" spans="1:9" ht="30">
      <c r="A16" s="11">
        <v>14</v>
      </c>
      <c r="B16" s="11" t="s">
        <v>695</v>
      </c>
      <c r="C16" s="11">
        <v>8</v>
      </c>
      <c r="D16" s="11" t="s">
        <v>242</v>
      </c>
      <c r="E16" s="11"/>
      <c r="F16" s="11" t="s">
        <v>3650</v>
      </c>
      <c r="G16" s="11" t="s">
        <v>3599</v>
      </c>
      <c r="H16" s="11"/>
      <c r="I16" s="11"/>
    </row>
    <row r="17" spans="1:10" ht="30">
      <c r="A17" s="11">
        <v>15</v>
      </c>
      <c r="B17" s="11" t="s">
        <v>150</v>
      </c>
      <c r="C17" s="11">
        <v>200</v>
      </c>
      <c r="D17" s="11" t="s">
        <v>242</v>
      </c>
      <c r="E17" s="11"/>
      <c r="F17" s="11" t="s">
        <v>1803</v>
      </c>
      <c r="G17" s="11" t="s">
        <v>3603</v>
      </c>
      <c r="H17" s="11"/>
      <c r="I17" s="11"/>
    </row>
    <row r="18" spans="1:10" ht="30">
      <c r="A18" s="11">
        <v>16</v>
      </c>
      <c r="B18" s="11" t="s">
        <v>77</v>
      </c>
      <c r="C18" s="11">
        <v>8</v>
      </c>
      <c r="D18" s="11" t="s">
        <v>160</v>
      </c>
      <c r="E18" s="11" t="s">
        <v>177</v>
      </c>
      <c r="F18" s="11" t="s">
        <v>2388</v>
      </c>
      <c r="G18" s="11" t="s">
        <v>3604</v>
      </c>
      <c r="H18" s="11"/>
      <c r="I18" s="11"/>
    </row>
    <row r="19" spans="1:10" ht="30">
      <c r="A19" s="11">
        <v>17</v>
      </c>
      <c r="B19" s="11" t="s">
        <v>696</v>
      </c>
      <c r="C19" s="11">
        <v>1</v>
      </c>
      <c r="D19" s="11" t="s">
        <v>242</v>
      </c>
      <c r="E19" s="11"/>
      <c r="F19" s="11" t="s">
        <v>2472</v>
      </c>
      <c r="G19" s="11" t="s">
        <v>3605</v>
      </c>
      <c r="H19" s="11"/>
      <c r="I19" s="11"/>
    </row>
    <row r="20" spans="1:10" ht="30">
      <c r="A20" s="11">
        <v>18</v>
      </c>
      <c r="B20" s="11" t="s">
        <v>105</v>
      </c>
      <c r="C20" s="11">
        <v>10</v>
      </c>
      <c r="D20" s="11" t="s">
        <v>242</v>
      </c>
      <c r="E20" s="11"/>
      <c r="F20" s="11" t="s">
        <v>1716</v>
      </c>
      <c r="G20" s="11" t="s">
        <v>3550</v>
      </c>
      <c r="H20" s="11"/>
      <c r="I20" s="11"/>
    </row>
    <row r="21" spans="1:10" ht="30">
      <c r="A21" s="11">
        <v>19</v>
      </c>
      <c r="B21" s="11" t="s">
        <v>163</v>
      </c>
      <c r="C21" s="11">
        <v>14</v>
      </c>
      <c r="D21" s="11" t="s">
        <v>161</v>
      </c>
      <c r="E21" s="11" t="s">
        <v>1033</v>
      </c>
      <c r="F21" s="11" t="s">
        <v>1717</v>
      </c>
      <c r="G21" s="11" t="s">
        <v>3594</v>
      </c>
      <c r="H21" s="11"/>
      <c r="I21" s="11"/>
    </row>
    <row r="22" spans="1:10">
      <c r="A22" s="11">
        <v>20</v>
      </c>
      <c r="B22" s="11" t="s">
        <v>1182</v>
      </c>
      <c r="C22" s="11">
        <v>12</v>
      </c>
      <c r="D22" s="11" t="s">
        <v>189</v>
      </c>
      <c r="E22" s="11" t="s">
        <v>5576</v>
      </c>
      <c r="F22" s="11" t="s">
        <v>1688</v>
      </c>
      <c r="G22" s="11" t="s">
        <v>1689</v>
      </c>
      <c r="H22" s="11"/>
      <c r="I22" s="11"/>
    </row>
    <row r="23" spans="1:10" ht="30">
      <c r="A23" s="11">
        <v>21</v>
      </c>
      <c r="B23" s="11" t="s">
        <v>1183</v>
      </c>
      <c r="C23" s="11">
        <v>30</v>
      </c>
      <c r="D23" s="11" t="s">
        <v>242</v>
      </c>
      <c r="E23" s="11" t="s">
        <v>5576</v>
      </c>
      <c r="F23" s="11" t="s">
        <v>1690</v>
      </c>
      <c r="G23" s="11" t="s">
        <v>1691</v>
      </c>
      <c r="H23" s="11"/>
      <c r="I23" s="11"/>
    </row>
    <row r="24" spans="1:10">
      <c r="H24"/>
      <c r="I24"/>
      <c r="J24"/>
    </row>
    <row r="25" spans="1:10">
      <c r="H25"/>
      <c r="I25"/>
      <c r="J25"/>
    </row>
    <row r="26" spans="1:10">
      <c r="H26"/>
      <c r="I26"/>
      <c r="J26"/>
    </row>
    <row r="27" spans="1:10">
      <c r="H27"/>
      <c r="I27"/>
      <c r="J27"/>
    </row>
    <row r="28" spans="1:10">
      <c r="H28"/>
      <c r="I28"/>
      <c r="J28"/>
    </row>
    <row r="29" spans="1:10">
      <c r="H29"/>
      <c r="I29"/>
      <c r="J29"/>
    </row>
    <row r="30" spans="1:10">
      <c r="H30"/>
      <c r="I30"/>
      <c r="J30"/>
    </row>
    <row r="31" spans="1:10">
      <c r="H31"/>
      <c r="I31"/>
      <c r="J31"/>
    </row>
    <row r="32" spans="1:10">
      <c r="H32"/>
      <c r="I32"/>
      <c r="J32"/>
    </row>
    <row r="33" spans="8:10">
      <c r="H33"/>
      <c r="I33"/>
      <c r="J33"/>
    </row>
    <row r="34" spans="8:10">
      <c r="H34"/>
      <c r="I34"/>
      <c r="J34"/>
    </row>
    <row r="35" spans="8:10">
      <c r="H35"/>
      <c r="I35"/>
      <c r="J35"/>
    </row>
    <row r="36" spans="8:10">
      <c r="H36"/>
      <c r="I36"/>
      <c r="J36"/>
    </row>
    <row r="37" spans="8:10">
      <c r="H37"/>
      <c r="I37"/>
      <c r="J37"/>
    </row>
    <row r="38" spans="8:10">
      <c r="H38"/>
      <c r="I38"/>
      <c r="J38"/>
    </row>
    <row r="39" spans="8:10">
      <c r="H39"/>
      <c r="I39"/>
      <c r="J39"/>
    </row>
    <row r="40" spans="8:10">
      <c r="H40"/>
      <c r="I40"/>
      <c r="J40"/>
    </row>
    <row r="41" spans="8:10">
      <c r="H41"/>
      <c r="I41"/>
      <c r="J41"/>
    </row>
    <row r="42" spans="8:10">
      <c r="H42"/>
      <c r="I42"/>
      <c r="J42"/>
    </row>
    <row r="43" spans="8:10">
      <c r="H43"/>
      <c r="I43"/>
      <c r="J43"/>
    </row>
    <row r="44" spans="8:10">
      <c r="H44"/>
      <c r="I44"/>
      <c r="J44"/>
    </row>
    <row r="45" spans="8:10">
      <c r="H45"/>
      <c r="I45"/>
      <c r="J45"/>
    </row>
    <row r="46" spans="8:10">
      <c r="H46"/>
      <c r="I46"/>
      <c r="J46"/>
    </row>
    <row r="47" spans="8:10">
      <c r="H47"/>
      <c r="I47"/>
      <c r="J47"/>
    </row>
    <row r="48" spans="8:10">
      <c r="H48"/>
      <c r="I48"/>
      <c r="J48"/>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2D37B-BCE7-4D5E-A8E2-DCBC6E1890DD}">
  <sheetPr codeName="Sheet115"/>
  <dimension ref="A1:K48"/>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32.140625" style="1" bestFit="1" customWidth="1"/>
    <col min="7" max="7" width="57.42578125" style="1" customWidth="1"/>
    <col min="8" max="11" width="5.28515625" style="1" bestFit="1" customWidth="1"/>
    <col min="12" max="16382" width="32.140625" style="1"/>
    <col min="16383" max="16383" width="1.7109375" style="1" customWidth="1"/>
    <col min="16384" max="16384" width="17.7109375" style="1" customWidth="1"/>
  </cols>
  <sheetData>
    <row r="1" spans="1:11">
      <c r="A1" s="12" t="s">
        <v>238</v>
      </c>
      <c r="B1" s="12"/>
      <c r="C1" s="12"/>
      <c r="D1" s="12"/>
      <c r="E1" s="12"/>
      <c r="F1" s="12"/>
      <c r="G1" s="12"/>
      <c r="H1" s="12"/>
      <c r="I1" s="12"/>
      <c r="J1" s="12"/>
    </row>
    <row r="2" spans="1:11">
      <c r="A2" s="10" t="s">
        <v>350</v>
      </c>
      <c r="B2" s="10" t="s">
        <v>156</v>
      </c>
      <c r="C2" s="10" t="s">
        <v>157</v>
      </c>
      <c r="D2" s="10" t="s">
        <v>239</v>
      </c>
      <c r="E2" s="10" t="s">
        <v>159</v>
      </c>
      <c r="F2" s="10" t="s">
        <v>1684</v>
      </c>
      <c r="G2" s="10" t="s">
        <v>1685</v>
      </c>
      <c r="H2" s="10" t="s">
        <v>5367</v>
      </c>
      <c r="I2" s="10" t="s">
        <v>5366</v>
      </c>
      <c r="J2" s="10" t="s">
        <v>5677</v>
      </c>
      <c r="K2" s="10" t="s">
        <v>5703</v>
      </c>
    </row>
    <row r="3" spans="1:11">
      <c r="A3" s="11">
        <v>1</v>
      </c>
      <c r="B3" s="11" t="s">
        <v>240</v>
      </c>
      <c r="C3" s="11">
        <v>8</v>
      </c>
      <c r="D3" s="11" t="s">
        <v>160</v>
      </c>
      <c r="E3" s="11" t="s">
        <v>177</v>
      </c>
      <c r="F3" s="11" t="s">
        <v>1686</v>
      </c>
      <c r="G3" s="11" t="s">
        <v>1687</v>
      </c>
      <c r="H3" s="11" t="s">
        <v>5382</v>
      </c>
      <c r="I3" s="11"/>
      <c r="J3" s="11"/>
    </row>
    <row r="4" spans="1:11" ht="30">
      <c r="A4" s="11">
        <v>2</v>
      </c>
      <c r="B4" s="11" t="s">
        <v>78</v>
      </c>
      <c r="C4" s="11">
        <v>4</v>
      </c>
      <c r="D4" s="11" t="s">
        <v>242</v>
      </c>
      <c r="E4" s="11"/>
      <c r="F4" s="11" t="s">
        <v>1707</v>
      </c>
      <c r="G4" s="11" t="s">
        <v>3570</v>
      </c>
      <c r="H4" s="11" t="s">
        <v>5384</v>
      </c>
      <c r="I4" s="11"/>
      <c r="J4" s="11"/>
    </row>
    <row r="5" spans="1:11" ht="30">
      <c r="A5" s="11">
        <v>3</v>
      </c>
      <c r="B5" s="11" t="s">
        <v>89</v>
      </c>
      <c r="C5" s="11">
        <v>10</v>
      </c>
      <c r="D5" s="11" t="s">
        <v>242</v>
      </c>
      <c r="E5" s="11"/>
      <c r="F5" s="11" t="s">
        <v>1708</v>
      </c>
      <c r="G5" s="11" t="s">
        <v>3526</v>
      </c>
      <c r="H5" s="11" t="s">
        <v>5385</v>
      </c>
      <c r="I5" s="11"/>
      <c r="J5" s="11"/>
    </row>
    <row r="6" spans="1:11" ht="30">
      <c r="A6" s="11">
        <v>4</v>
      </c>
      <c r="B6" s="11" t="s">
        <v>87</v>
      </c>
      <c r="C6" s="11">
        <v>14</v>
      </c>
      <c r="D6" s="11" t="s">
        <v>1032</v>
      </c>
      <c r="E6" s="11" t="s">
        <v>1033</v>
      </c>
      <c r="F6" s="11" t="s">
        <v>1709</v>
      </c>
      <c r="G6" s="11" t="s">
        <v>3527</v>
      </c>
      <c r="H6" s="11" t="s">
        <v>5402</v>
      </c>
      <c r="I6" s="11"/>
      <c r="J6" s="11"/>
    </row>
    <row r="7" spans="1:11" ht="30">
      <c r="A7" s="11">
        <v>5</v>
      </c>
      <c r="B7" s="11" t="s">
        <v>151</v>
      </c>
      <c r="C7" s="11">
        <v>7</v>
      </c>
      <c r="D7" s="11" t="s">
        <v>242</v>
      </c>
      <c r="E7" s="11"/>
      <c r="F7" s="11" t="s">
        <v>1694</v>
      </c>
      <c r="G7" s="11" t="s">
        <v>3606</v>
      </c>
      <c r="H7" s="11"/>
      <c r="I7" s="11"/>
      <c r="J7" s="11" t="s">
        <v>5701</v>
      </c>
    </row>
    <row r="8" spans="1:11" ht="30">
      <c r="A8" s="53">
        <v>6</v>
      </c>
      <c r="B8" s="11" t="s">
        <v>1590</v>
      </c>
      <c r="C8" s="11">
        <v>14</v>
      </c>
      <c r="D8" s="11" t="s">
        <v>242</v>
      </c>
      <c r="E8" s="11"/>
      <c r="F8" s="11" t="s">
        <v>2474</v>
      </c>
      <c r="G8" s="11" t="s">
        <v>3607</v>
      </c>
      <c r="H8" s="11"/>
      <c r="I8" s="11" t="s">
        <v>5387</v>
      </c>
      <c r="J8" s="11"/>
    </row>
    <row r="9" spans="1:11" ht="30">
      <c r="A9" s="53">
        <v>7</v>
      </c>
      <c r="B9" s="11" t="s">
        <v>0</v>
      </c>
      <c r="C9" s="11">
        <v>1</v>
      </c>
      <c r="D9" s="11" t="s">
        <v>242</v>
      </c>
      <c r="E9" s="11"/>
      <c r="F9" s="11" t="s">
        <v>1724</v>
      </c>
      <c r="G9" s="11" t="s">
        <v>3571</v>
      </c>
      <c r="H9" s="11"/>
      <c r="I9" s="11"/>
      <c r="J9" s="11"/>
    </row>
    <row r="10" spans="1:11" ht="30">
      <c r="A10" s="53">
        <v>8</v>
      </c>
      <c r="B10" s="11" t="s">
        <v>90</v>
      </c>
      <c r="C10" s="11">
        <v>10</v>
      </c>
      <c r="D10" s="11" t="s">
        <v>242</v>
      </c>
      <c r="E10" s="11"/>
      <c r="F10" s="11" t="s">
        <v>1761</v>
      </c>
      <c r="G10" s="11" t="s">
        <v>3608</v>
      </c>
      <c r="H10" s="11"/>
      <c r="I10" s="11"/>
      <c r="J10" s="11"/>
    </row>
    <row r="11" spans="1:11" ht="30">
      <c r="A11" s="53">
        <v>9</v>
      </c>
      <c r="B11" s="11" t="s">
        <v>1</v>
      </c>
      <c r="C11" s="11">
        <v>1</v>
      </c>
      <c r="D11" s="11" t="s">
        <v>242</v>
      </c>
      <c r="E11" s="11"/>
      <c r="F11" s="11" t="s">
        <v>5534</v>
      </c>
      <c r="G11" s="11" t="s">
        <v>5537</v>
      </c>
      <c r="H11" s="11"/>
      <c r="I11" s="11"/>
      <c r="J11" s="11"/>
    </row>
    <row r="12" spans="1:11" ht="30">
      <c r="A12" s="53">
        <v>10</v>
      </c>
      <c r="B12" s="11" t="s">
        <v>1591</v>
      </c>
      <c r="C12" s="11">
        <v>2</v>
      </c>
      <c r="D12" s="11" t="s">
        <v>242</v>
      </c>
      <c r="E12" s="11"/>
      <c r="F12" s="11" t="s">
        <v>2475</v>
      </c>
      <c r="G12" s="11" t="s">
        <v>3609</v>
      </c>
      <c r="H12" s="11"/>
      <c r="I12" s="11"/>
      <c r="J12" s="11"/>
    </row>
    <row r="13" spans="1:11" ht="30">
      <c r="A13" s="53">
        <v>11</v>
      </c>
      <c r="B13" s="11" t="s">
        <v>1592</v>
      </c>
      <c r="C13" s="11">
        <v>3</v>
      </c>
      <c r="D13" s="11" t="s">
        <v>242</v>
      </c>
      <c r="E13" s="11"/>
      <c r="F13" s="11" t="s">
        <v>2476</v>
      </c>
      <c r="G13" s="11" t="s">
        <v>3610</v>
      </c>
      <c r="H13" s="11"/>
      <c r="I13" s="11"/>
      <c r="J13" s="11"/>
    </row>
    <row r="14" spans="1:11" ht="30">
      <c r="A14" s="53">
        <v>12</v>
      </c>
      <c r="B14" s="11" t="s">
        <v>1593</v>
      </c>
      <c r="C14" s="11">
        <v>14</v>
      </c>
      <c r="D14" s="11" t="s">
        <v>242</v>
      </c>
      <c r="E14" s="11"/>
      <c r="F14" s="11" t="s">
        <v>2357</v>
      </c>
      <c r="G14" s="11" t="s">
        <v>3611</v>
      </c>
      <c r="H14" s="11"/>
      <c r="I14" s="11"/>
      <c r="J14" s="11"/>
      <c r="K14" s="11" t="s">
        <v>5702</v>
      </c>
    </row>
    <row r="15" spans="1:11" ht="30">
      <c r="A15" s="53">
        <v>13</v>
      </c>
      <c r="B15" s="11" t="s">
        <v>589</v>
      </c>
      <c r="C15" s="11">
        <v>14</v>
      </c>
      <c r="D15" s="11" t="s">
        <v>189</v>
      </c>
      <c r="E15" s="11"/>
      <c r="F15" s="11" t="s">
        <v>2477</v>
      </c>
      <c r="G15" s="11" t="s">
        <v>3612</v>
      </c>
      <c r="H15" s="11"/>
      <c r="I15" s="11"/>
      <c r="J15" s="11"/>
    </row>
    <row r="16" spans="1:11" ht="30">
      <c r="A16" s="53">
        <v>14</v>
      </c>
      <c r="B16" s="11" t="s">
        <v>1594</v>
      </c>
      <c r="C16" s="11">
        <v>1</v>
      </c>
      <c r="D16" s="11" t="s">
        <v>242</v>
      </c>
      <c r="E16" s="11"/>
      <c r="F16" s="11" t="s">
        <v>2478</v>
      </c>
      <c r="G16" s="11" t="s">
        <v>3613</v>
      </c>
      <c r="H16" s="11"/>
      <c r="I16" s="11"/>
      <c r="J16" s="11"/>
    </row>
    <row r="17" spans="1:10" ht="30">
      <c r="A17" s="53">
        <v>15</v>
      </c>
      <c r="B17" s="11" t="s">
        <v>1595</v>
      </c>
      <c r="C17" s="11">
        <v>3</v>
      </c>
      <c r="D17" s="11" t="s">
        <v>242</v>
      </c>
      <c r="E17" s="11"/>
      <c r="F17" s="11" t="s">
        <v>2479</v>
      </c>
      <c r="G17" s="11" t="s">
        <v>3614</v>
      </c>
      <c r="H17" s="11"/>
      <c r="I17" s="11"/>
      <c r="J17" s="11"/>
    </row>
    <row r="18" spans="1:10" ht="30">
      <c r="A18" s="53">
        <v>16</v>
      </c>
      <c r="B18" s="11" t="s">
        <v>1596</v>
      </c>
      <c r="C18" s="11">
        <v>9</v>
      </c>
      <c r="D18" s="11" t="s">
        <v>189</v>
      </c>
      <c r="E18" s="11"/>
      <c r="F18" s="11" t="s">
        <v>2480</v>
      </c>
      <c r="G18" s="11" t="s">
        <v>3615</v>
      </c>
      <c r="H18" s="11"/>
      <c r="I18" s="11"/>
      <c r="J18" s="11"/>
    </row>
    <row r="19" spans="1:10" ht="30">
      <c r="A19" s="53">
        <v>17</v>
      </c>
      <c r="B19" s="11" t="s">
        <v>684</v>
      </c>
      <c r="C19" s="11">
        <v>14</v>
      </c>
      <c r="D19" s="11" t="s">
        <v>189</v>
      </c>
      <c r="E19" s="11"/>
      <c r="F19" s="11" t="s">
        <v>2481</v>
      </c>
      <c r="G19" s="11" t="s">
        <v>3616</v>
      </c>
      <c r="H19" s="11"/>
      <c r="I19" s="11"/>
      <c r="J19" s="11"/>
    </row>
    <row r="20" spans="1:10" ht="30">
      <c r="A20" s="53">
        <v>18</v>
      </c>
      <c r="B20" s="11" t="s">
        <v>1597</v>
      </c>
      <c r="C20" s="11">
        <v>14</v>
      </c>
      <c r="D20" s="11" t="s">
        <v>189</v>
      </c>
      <c r="E20" s="11"/>
      <c r="F20" s="11" t="s">
        <v>2482</v>
      </c>
      <c r="G20" s="11" t="s">
        <v>3617</v>
      </c>
      <c r="H20" s="11"/>
      <c r="I20" s="11"/>
      <c r="J20" s="11"/>
    </row>
    <row r="21" spans="1:10" ht="30">
      <c r="A21" s="53">
        <v>19</v>
      </c>
      <c r="B21" s="11" t="s">
        <v>275</v>
      </c>
      <c r="C21" s="11">
        <v>8</v>
      </c>
      <c r="D21" s="11" t="s">
        <v>160</v>
      </c>
      <c r="E21" s="11" t="s">
        <v>177</v>
      </c>
      <c r="F21" s="11" t="s">
        <v>2483</v>
      </c>
      <c r="G21" s="11" t="s">
        <v>3618</v>
      </c>
      <c r="H21" s="11"/>
      <c r="I21" s="11"/>
      <c r="J21" s="11"/>
    </row>
    <row r="22" spans="1:10" ht="30">
      <c r="A22" s="53">
        <v>20</v>
      </c>
      <c r="B22" s="11" t="s">
        <v>1598</v>
      </c>
      <c r="C22" s="11">
        <v>1</v>
      </c>
      <c r="D22" s="11" t="s">
        <v>242</v>
      </c>
      <c r="E22" s="11"/>
      <c r="F22" s="11" t="s">
        <v>2484</v>
      </c>
      <c r="G22" s="11" t="s">
        <v>3619</v>
      </c>
      <c r="H22" s="11"/>
      <c r="I22" s="11"/>
      <c r="J22" s="11"/>
    </row>
    <row r="23" spans="1:10" ht="30">
      <c r="A23" s="53">
        <v>21</v>
      </c>
      <c r="B23" s="11" t="s">
        <v>1599</v>
      </c>
      <c r="C23" s="11">
        <v>1</v>
      </c>
      <c r="D23" s="11" t="s">
        <v>242</v>
      </c>
      <c r="E23" s="11"/>
      <c r="F23" s="11" t="s">
        <v>2485</v>
      </c>
      <c r="G23" s="11" t="s">
        <v>3620</v>
      </c>
      <c r="H23" s="11"/>
      <c r="I23" s="11"/>
      <c r="J23" s="11"/>
    </row>
    <row r="24" spans="1:10" ht="30">
      <c r="A24" s="53">
        <v>22</v>
      </c>
      <c r="B24" s="11" t="s">
        <v>1600</v>
      </c>
      <c r="C24" s="11">
        <v>9</v>
      </c>
      <c r="D24" s="11" t="s">
        <v>189</v>
      </c>
      <c r="E24" s="11"/>
      <c r="F24" s="11" t="s">
        <v>2486</v>
      </c>
      <c r="G24" s="11" t="s">
        <v>3621</v>
      </c>
      <c r="H24" s="17"/>
      <c r="I24" s="17"/>
      <c r="J24" s="17"/>
    </row>
    <row r="25" spans="1:10" ht="30">
      <c r="A25" s="53">
        <v>23</v>
      </c>
      <c r="B25" s="11" t="s">
        <v>1601</v>
      </c>
      <c r="C25" s="11">
        <v>14</v>
      </c>
      <c r="D25" s="11" t="s">
        <v>189</v>
      </c>
      <c r="E25" s="11"/>
      <c r="F25" s="11" t="s">
        <v>2487</v>
      </c>
      <c r="G25" s="11" t="s">
        <v>3622</v>
      </c>
      <c r="H25" s="17"/>
      <c r="I25" s="17"/>
      <c r="J25" s="17"/>
    </row>
    <row r="26" spans="1:10" ht="30">
      <c r="A26" s="53">
        <v>24</v>
      </c>
      <c r="B26" s="11" t="s">
        <v>1602</v>
      </c>
      <c r="C26" s="11">
        <v>1</v>
      </c>
      <c r="D26" s="11" t="s">
        <v>242</v>
      </c>
      <c r="E26" s="11"/>
      <c r="F26" s="11" t="s">
        <v>2488</v>
      </c>
      <c r="G26" s="11" t="s">
        <v>3623</v>
      </c>
      <c r="H26" s="17"/>
      <c r="I26" s="17"/>
      <c r="J26" s="17"/>
    </row>
    <row r="27" spans="1:10" ht="30">
      <c r="A27" s="53">
        <v>25</v>
      </c>
      <c r="B27" s="11" t="s">
        <v>150</v>
      </c>
      <c r="C27" s="11">
        <v>200</v>
      </c>
      <c r="D27" s="11" t="s">
        <v>242</v>
      </c>
      <c r="E27" s="11"/>
      <c r="F27" s="11" t="s">
        <v>1803</v>
      </c>
      <c r="G27" s="11" t="s">
        <v>3624</v>
      </c>
      <c r="H27" s="17"/>
      <c r="I27" s="17"/>
      <c r="J27" s="17"/>
    </row>
    <row r="28" spans="1:10" ht="30">
      <c r="A28" s="53">
        <v>26</v>
      </c>
      <c r="B28" s="11" t="s">
        <v>1603</v>
      </c>
      <c r="C28" s="11">
        <v>3</v>
      </c>
      <c r="D28" s="11" t="s">
        <v>189</v>
      </c>
      <c r="E28" s="11"/>
      <c r="F28" s="11" t="s">
        <v>2489</v>
      </c>
      <c r="G28" s="11" t="s">
        <v>3625</v>
      </c>
      <c r="H28" s="17"/>
      <c r="I28" s="17"/>
      <c r="J28" s="17"/>
    </row>
    <row r="29" spans="1:10" ht="30">
      <c r="A29" s="53">
        <v>27</v>
      </c>
      <c r="B29" s="11" t="s">
        <v>1604</v>
      </c>
      <c r="C29" s="11">
        <v>1</v>
      </c>
      <c r="D29" s="11" t="s">
        <v>242</v>
      </c>
      <c r="E29" s="11"/>
      <c r="F29" s="11" t="s">
        <v>2490</v>
      </c>
      <c r="G29" s="11" t="s">
        <v>3626</v>
      </c>
      <c r="H29" s="17"/>
      <c r="I29" s="17"/>
      <c r="J29" s="17"/>
    </row>
    <row r="30" spans="1:10" ht="30">
      <c r="A30" s="53">
        <v>28</v>
      </c>
      <c r="B30" s="11" t="s">
        <v>268</v>
      </c>
      <c r="C30" s="11">
        <v>14</v>
      </c>
      <c r="D30" s="11" t="s">
        <v>242</v>
      </c>
      <c r="E30" s="11"/>
      <c r="F30" s="11" t="s">
        <v>2494</v>
      </c>
      <c r="G30" s="11" t="s">
        <v>3627</v>
      </c>
      <c r="H30" s="17"/>
      <c r="I30" s="17"/>
      <c r="J30" s="17"/>
    </row>
    <row r="31" spans="1:10" ht="30">
      <c r="A31" s="53">
        <v>29</v>
      </c>
      <c r="B31" s="11" t="s">
        <v>425</v>
      </c>
      <c r="C31" s="11">
        <v>8</v>
      </c>
      <c r="D31" s="11" t="s">
        <v>160</v>
      </c>
      <c r="E31" s="11" t="s">
        <v>177</v>
      </c>
      <c r="F31" s="11" t="s">
        <v>2359</v>
      </c>
      <c r="G31" s="11" t="s">
        <v>3628</v>
      </c>
      <c r="H31" s="17"/>
      <c r="I31" s="17"/>
      <c r="J31" s="17"/>
    </row>
    <row r="32" spans="1:10" ht="30">
      <c r="A32" s="53">
        <v>30</v>
      </c>
      <c r="B32" s="11" t="s">
        <v>1605</v>
      </c>
      <c r="C32" s="11">
        <v>1</v>
      </c>
      <c r="D32" s="11" t="s">
        <v>242</v>
      </c>
      <c r="E32" s="11"/>
      <c r="F32" s="11" t="s">
        <v>2495</v>
      </c>
      <c r="G32" s="11" t="s">
        <v>3629</v>
      </c>
      <c r="H32" s="17"/>
      <c r="I32" s="17"/>
      <c r="J32" s="17"/>
    </row>
    <row r="33" spans="1:10" ht="30">
      <c r="A33" s="53">
        <v>31</v>
      </c>
      <c r="B33" s="11" t="s">
        <v>1606</v>
      </c>
      <c r="C33" s="11">
        <v>14</v>
      </c>
      <c r="D33" s="11" t="s">
        <v>189</v>
      </c>
      <c r="E33" s="11"/>
      <c r="F33" s="11" t="s">
        <v>2492</v>
      </c>
      <c r="G33" s="11" t="s">
        <v>3630</v>
      </c>
      <c r="H33" s="17"/>
      <c r="I33" s="17"/>
      <c r="J33" s="17"/>
    </row>
    <row r="34" spans="1:10" ht="30">
      <c r="A34" s="53">
        <v>32</v>
      </c>
      <c r="B34" s="11" t="s">
        <v>1607</v>
      </c>
      <c r="C34" s="11">
        <v>8</v>
      </c>
      <c r="D34" s="11" t="s">
        <v>160</v>
      </c>
      <c r="E34" s="11" t="s">
        <v>177</v>
      </c>
      <c r="F34" s="11" t="s">
        <v>2493</v>
      </c>
      <c r="G34" s="11" t="s">
        <v>5592</v>
      </c>
      <c r="H34" s="17"/>
      <c r="I34" s="17"/>
      <c r="J34" s="17"/>
    </row>
    <row r="35" spans="1:10" ht="30">
      <c r="A35" s="53">
        <v>33</v>
      </c>
      <c r="B35" s="11" t="s">
        <v>105</v>
      </c>
      <c r="C35" s="11">
        <v>10</v>
      </c>
      <c r="D35" s="11" t="s">
        <v>242</v>
      </c>
      <c r="E35" s="11"/>
      <c r="F35" s="11" t="s">
        <v>1716</v>
      </c>
      <c r="G35" s="11" t="s">
        <v>3550</v>
      </c>
      <c r="H35" s="17"/>
      <c r="I35" s="17"/>
      <c r="J35" s="17"/>
    </row>
    <row r="36" spans="1:10" ht="30">
      <c r="A36" s="53">
        <v>34</v>
      </c>
      <c r="B36" s="11" t="s">
        <v>163</v>
      </c>
      <c r="C36" s="11">
        <v>14</v>
      </c>
      <c r="D36" s="11" t="s">
        <v>1032</v>
      </c>
      <c r="E36" s="11" t="s">
        <v>1033</v>
      </c>
      <c r="F36" s="11" t="s">
        <v>1717</v>
      </c>
      <c r="G36" s="11" t="s">
        <v>3594</v>
      </c>
      <c r="H36" s="17"/>
      <c r="I36" s="17"/>
      <c r="J36" s="17"/>
    </row>
    <row r="37" spans="1:10">
      <c r="A37" s="53">
        <v>35</v>
      </c>
      <c r="B37" s="11" t="s">
        <v>1182</v>
      </c>
      <c r="C37" s="11">
        <v>12</v>
      </c>
      <c r="D37" s="11" t="s">
        <v>189</v>
      </c>
      <c r="E37" s="11" t="s">
        <v>5576</v>
      </c>
      <c r="F37" s="11" t="s">
        <v>1688</v>
      </c>
      <c r="G37" s="11" t="s">
        <v>1689</v>
      </c>
      <c r="H37" s="17"/>
      <c r="I37" s="17"/>
      <c r="J37" s="17"/>
    </row>
    <row r="38" spans="1:10" ht="30">
      <c r="A38" s="53">
        <v>36</v>
      </c>
      <c r="B38" s="11" t="s">
        <v>1183</v>
      </c>
      <c r="C38" s="11">
        <v>30</v>
      </c>
      <c r="D38" s="11" t="s">
        <v>242</v>
      </c>
      <c r="E38" s="11" t="s">
        <v>5576</v>
      </c>
      <c r="F38" s="11" t="s">
        <v>1690</v>
      </c>
      <c r="G38" s="11" t="s">
        <v>1691</v>
      </c>
      <c r="H38" s="17"/>
      <c r="I38" s="17"/>
      <c r="J38" s="17"/>
    </row>
    <row r="39" spans="1:10">
      <c r="H39"/>
      <c r="I39"/>
      <c r="J39"/>
    </row>
    <row r="40" spans="1:10">
      <c r="H40"/>
      <c r="I40"/>
      <c r="J40"/>
    </row>
    <row r="41" spans="1:10">
      <c r="H41"/>
      <c r="I41"/>
      <c r="J41"/>
    </row>
    <row r="42" spans="1:10">
      <c r="H42"/>
      <c r="I42"/>
      <c r="J42"/>
    </row>
    <row r="43" spans="1:10">
      <c r="H43"/>
      <c r="I43"/>
      <c r="J43"/>
    </row>
    <row r="44" spans="1:10">
      <c r="H44"/>
      <c r="I44"/>
      <c r="J44"/>
    </row>
    <row r="45" spans="1:10">
      <c r="H45"/>
      <c r="I45"/>
      <c r="J45"/>
    </row>
    <row r="46" spans="1:10">
      <c r="H46"/>
      <c r="I46"/>
      <c r="J46"/>
    </row>
    <row r="47" spans="1:10">
      <c r="H47"/>
      <c r="I47"/>
      <c r="J47"/>
    </row>
    <row r="48" spans="1:10">
      <c r="H48"/>
      <c r="I48"/>
      <c r="J48"/>
    </row>
  </sheetData>
  <pageMargins left="0.7" right="0.7" top="0.75" bottom="0.75" header="0.3" footer="0.3"/>
  <pageSetup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318BF-C83E-410B-B709-A43F8C10C776}">
  <sheetPr codeName="Sheet107"/>
  <dimension ref="A1:K48"/>
  <sheetViews>
    <sheetView workbookViewId="0">
      <selection activeCell="C22" sqref="C22"/>
    </sheetView>
  </sheetViews>
  <sheetFormatPr defaultColWidth="32.140625" defaultRowHeight="15"/>
  <cols>
    <col min="1" max="1" width="7.140625" style="1" bestFit="1" customWidth="1"/>
    <col min="2" max="2" width="19.42578125" style="1" bestFit="1" customWidth="1"/>
    <col min="3" max="3" width="4.5703125" style="1" bestFit="1" customWidth="1"/>
    <col min="4" max="4" width="9" style="1" bestFit="1" customWidth="1"/>
    <col min="5" max="5" width="24.42578125" style="1" bestFit="1" customWidth="1"/>
    <col min="6" max="6" width="33.85546875" style="1" bestFit="1" customWidth="1"/>
    <col min="7" max="7" width="57.28515625" style="1" bestFit="1" customWidth="1"/>
    <col min="8" max="8" width="5.28515625" style="1" customWidth="1"/>
    <col min="9" max="9" width="5.28515625" style="1" bestFit="1" customWidth="1"/>
    <col min="10" max="16381" width="32.140625" style="1"/>
    <col min="16382" max="16382" width="1.7109375" style="1" customWidth="1"/>
    <col min="16383" max="16384" width="17.7109375" style="1" customWidth="1"/>
  </cols>
  <sheetData>
    <row r="1" spans="1:9">
      <c r="A1" s="12" t="s">
        <v>238</v>
      </c>
      <c r="B1" s="12"/>
      <c r="C1" s="12"/>
      <c r="D1" s="12"/>
      <c r="E1" s="12"/>
      <c r="F1" s="12"/>
      <c r="G1" s="12"/>
      <c r="H1" s="12"/>
      <c r="I1" s="12"/>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8</v>
      </c>
      <c r="D3" s="11" t="s">
        <v>160</v>
      </c>
      <c r="E3" s="11" t="s">
        <v>177</v>
      </c>
      <c r="F3" s="11" t="s">
        <v>1686</v>
      </c>
      <c r="G3" s="11" t="s">
        <v>1687</v>
      </c>
      <c r="H3" s="11" t="s">
        <v>5382</v>
      </c>
      <c r="I3" s="11"/>
    </row>
    <row r="4" spans="1:9" ht="30">
      <c r="A4" s="11">
        <v>2</v>
      </c>
      <c r="B4" s="11" t="s">
        <v>89</v>
      </c>
      <c r="C4" s="11">
        <v>10</v>
      </c>
      <c r="D4" s="11" t="s">
        <v>242</v>
      </c>
      <c r="E4" s="11"/>
      <c r="F4" s="11" t="s">
        <v>1708</v>
      </c>
      <c r="G4" s="11" t="s">
        <v>3631</v>
      </c>
      <c r="H4" s="11" t="s">
        <v>5384</v>
      </c>
      <c r="I4" s="11"/>
    </row>
    <row r="5" spans="1:9" ht="90">
      <c r="A5" s="11">
        <v>3</v>
      </c>
      <c r="B5" s="11" t="s">
        <v>1548</v>
      </c>
      <c r="C5" s="11">
        <v>1</v>
      </c>
      <c r="D5" s="11" t="s">
        <v>242</v>
      </c>
      <c r="E5" s="11"/>
      <c r="F5" s="11" t="s">
        <v>2496</v>
      </c>
      <c r="G5" s="11" t="s">
        <v>5712</v>
      </c>
      <c r="H5" s="11"/>
      <c r="I5" s="11"/>
    </row>
    <row r="6" spans="1:9" ht="30">
      <c r="A6" s="11">
        <v>4</v>
      </c>
      <c r="B6" s="11" t="s">
        <v>1549</v>
      </c>
      <c r="C6" s="11">
        <v>8</v>
      </c>
      <c r="D6" s="11" t="s">
        <v>242</v>
      </c>
      <c r="E6" s="11"/>
      <c r="F6" s="11" t="s">
        <v>2497</v>
      </c>
      <c r="G6" s="11" t="s">
        <v>3633</v>
      </c>
      <c r="H6" s="11"/>
      <c r="I6" s="11"/>
    </row>
    <row r="7" spans="1:9">
      <c r="A7" s="11">
        <v>5</v>
      </c>
      <c r="B7" s="11" t="s">
        <v>78</v>
      </c>
      <c r="C7" s="11">
        <v>4</v>
      </c>
      <c r="D7" s="11" t="s">
        <v>242</v>
      </c>
      <c r="E7" s="11"/>
      <c r="F7" s="11" t="s">
        <v>1707</v>
      </c>
      <c r="G7" s="11" t="s">
        <v>5593</v>
      </c>
      <c r="H7" s="11"/>
      <c r="I7" s="11" t="s">
        <v>5387</v>
      </c>
    </row>
    <row r="8" spans="1:9" ht="30">
      <c r="A8" s="11">
        <v>6</v>
      </c>
      <c r="B8" s="11" t="s">
        <v>1550</v>
      </c>
      <c r="C8" s="11">
        <v>15</v>
      </c>
      <c r="D8" s="11" t="s">
        <v>242</v>
      </c>
      <c r="E8" s="11"/>
      <c r="F8" s="11" t="s">
        <v>2498</v>
      </c>
      <c r="G8" s="11" t="s">
        <v>3634</v>
      </c>
      <c r="H8" s="11"/>
      <c r="I8" s="11"/>
    </row>
    <row r="9" spans="1:9">
      <c r="A9" s="11">
        <v>7</v>
      </c>
      <c r="B9" s="11" t="s">
        <v>1551</v>
      </c>
      <c r="C9" s="11">
        <v>15</v>
      </c>
      <c r="D9" s="11" t="s">
        <v>242</v>
      </c>
      <c r="E9" s="11"/>
      <c r="F9" s="11" t="s">
        <v>2499</v>
      </c>
      <c r="G9" s="11" t="s">
        <v>3635</v>
      </c>
      <c r="H9" s="11"/>
      <c r="I9" s="11"/>
    </row>
    <row r="10" spans="1:9">
      <c r="A10" s="11">
        <v>8</v>
      </c>
      <c r="B10" s="11" t="s">
        <v>1552</v>
      </c>
      <c r="C10" s="11">
        <v>15</v>
      </c>
      <c r="D10" s="11" t="s">
        <v>242</v>
      </c>
      <c r="E10" s="11"/>
      <c r="F10" s="11" t="s">
        <v>2500</v>
      </c>
      <c r="G10" s="11" t="s">
        <v>3636</v>
      </c>
      <c r="H10" s="11"/>
      <c r="I10" s="11"/>
    </row>
    <row r="11" spans="1:9">
      <c r="A11" s="11">
        <v>9</v>
      </c>
      <c r="B11" s="11" t="s">
        <v>1553</v>
      </c>
      <c r="C11" s="11">
        <v>15</v>
      </c>
      <c r="D11" s="11" t="s">
        <v>242</v>
      </c>
      <c r="E11" s="11"/>
      <c r="F11" s="11" t="s">
        <v>2501</v>
      </c>
      <c r="G11" s="11" t="s">
        <v>5595</v>
      </c>
      <c r="H11" s="11"/>
      <c r="I11" s="11"/>
    </row>
    <row r="12" spans="1:9" ht="409.5">
      <c r="A12" s="11">
        <v>10</v>
      </c>
      <c r="B12" s="11" t="s">
        <v>1554</v>
      </c>
      <c r="C12" s="11">
        <v>20</v>
      </c>
      <c r="D12" s="11" t="s">
        <v>242</v>
      </c>
      <c r="E12" s="11"/>
      <c r="F12" s="11" t="s">
        <v>2502</v>
      </c>
      <c r="G12" s="11" t="s">
        <v>5713</v>
      </c>
      <c r="H12" s="11"/>
      <c r="I12" s="11"/>
    </row>
    <row r="13" spans="1:9" ht="30">
      <c r="A13" s="11">
        <v>11</v>
      </c>
      <c r="B13" s="11" t="s">
        <v>1555</v>
      </c>
      <c r="C13" s="11">
        <v>1</v>
      </c>
      <c r="D13" s="11" t="s">
        <v>242</v>
      </c>
      <c r="E13" s="11"/>
      <c r="F13" s="11" t="s">
        <v>2503</v>
      </c>
      <c r="G13" s="11" t="s">
        <v>5714</v>
      </c>
      <c r="H13" s="11"/>
      <c r="I13" s="11"/>
    </row>
    <row r="14" spans="1:9" ht="30">
      <c r="A14" s="11">
        <v>12</v>
      </c>
      <c r="B14" s="11" t="s">
        <v>1556</v>
      </c>
      <c r="C14" s="11">
        <v>14</v>
      </c>
      <c r="D14" s="11" t="s">
        <v>161</v>
      </c>
      <c r="E14" s="11" t="s">
        <v>1033</v>
      </c>
      <c r="F14" s="11" t="s">
        <v>2504</v>
      </c>
      <c r="G14" s="11" t="s">
        <v>3638</v>
      </c>
      <c r="H14" s="11"/>
      <c r="I14" s="11"/>
    </row>
    <row r="15" spans="1:9" ht="30">
      <c r="A15" s="11">
        <v>13</v>
      </c>
      <c r="B15" s="11" t="s">
        <v>1557</v>
      </c>
      <c r="C15" s="11">
        <v>1</v>
      </c>
      <c r="D15" s="11" t="s">
        <v>242</v>
      </c>
      <c r="E15" s="11"/>
      <c r="F15" s="11" t="s">
        <v>2102</v>
      </c>
      <c r="G15" s="11" t="s">
        <v>3639</v>
      </c>
      <c r="H15" s="11"/>
      <c r="I15" s="11"/>
    </row>
    <row r="16" spans="1:9" ht="75">
      <c r="A16" s="11">
        <v>14</v>
      </c>
      <c r="B16" s="11" t="s">
        <v>1558</v>
      </c>
      <c r="C16" s="11">
        <v>1</v>
      </c>
      <c r="D16" s="11" t="s">
        <v>242</v>
      </c>
      <c r="E16" s="11"/>
      <c r="F16" s="11" t="s">
        <v>2505</v>
      </c>
      <c r="G16" s="11" t="s">
        <v>5715</v>
      </c>
      <c r="H16" s="11"/>
      <c r="I16" s="11"/>
    </row>
    <row r="17" spans="1:11" ht="30">
      <c r="A17" s="11">
        <v>15</v>
      </c>
      <c r="B17" s="11" t="s">
        <v>1561</v>
      </c>
      <c r="C17" s="11">
        <v>15</v>
      </c>
      <c r="D17" s="11" t="s">
        <v>242</v>
      </c>
      <c r="E17" s="11"/>
      <c r="F17" s="11" t="s">
        <v>2506</v>
      </c>
      <c r="G17" s="11" t="s">
        <v>3641</v>
      </c>
      <c r="H17" s="11"/>
      <c r="I17" s="11"/>
    </row>
    <row r="18" spans="1:11" ht="30">
      <c r="A18" s="11">
        <v>16</v>
      </c>
      <c r="B18" s="11" t="s">
        <v>1559</v>
      </c>
      <c r="C18" s="11">
        <v>60</v>
      </c>
      <c r="D18" s="11" t="s">
        <v>242</v>
      </c>
      <c r="E18" s="11"/>
      <c r="F18" s="11" t="s">
        <v>2507</v>
      </c>
      <c r="G18" s="11" t="s">
        <v>3642</v>
      </c>
      <c r="H18" s="11"/>
      <c r="I18" s="11"/>
    </row>
    <row r="19" spans="1:11" ht="30">
      <c r="A19" s="11">
        <v>17</v>
      </c>
      <c r="B19" s="11" t="s">
        <v>1560</v>
      </c>
      <c r="C19" s="11">
        <v>3</v>
      </c>
      <c r="D19" s="11" t="s">
        <v>242</v>
      </c>
      <c r="E19" s="11"/>
      <c r="F19" s="11" t="s">
        <v>2508</v>
      </c>
      <c r="G19" s="11" t="s">
        <v>3643</v>
      </c>
      <c r="H19" s="11"/>
      <c r="I19" s="11"/>
    </row>
    <row r="20" spans="1:11" ht="30">
      <c r="A20" s="11">
        <v>18</v>
      </c>
      <c r="B20" s="11" t="s">
        <v>105</v>
      </c>
      <c r="C20" s="11">
        <v>10</v>
      </c>
      <c r="D20" s="11" t="s">
        <v>242</v>
      </c>
      <c r="E20" s="11"/>
      <c r="F20" s="11" t="s">
        <v>1716</v>
      </c>
      <c r="G20" s="11" t="s">
        <v>2885</v>
      </c>
      <c r="H20" s="11"/>
      <c r="I20" s="11"/>
    </row>
    <row r="21" spans="1:11" ht="30">
      <c r="A21" s="11">
        <v>19</v>
      </c>
      <c r="B21" s="11" t="s">
        <v>163</v>
      </c>
      <c r="C21" s="11">
        <v>14</v>
      </c>
      <c r="D21" s="11" t="s">
        <v>161</v>
      </c>
      <c r="E21" s="11" t="s">
        <v>1033</v>
      </c>
      <c r="F21" s="11" t="s">
        <v>1757</v>
      </c>
      <c r="G21" s="11" t="s">
        <v>2886</v>
      </c>
      <c r="H21" s="11"/>
      <c r="I21" s="11"/>
    </row>
    <row r="22" spans="1:11">
      <c r="A22" s="11">
        <v>20</v>
      </c>
      <c r="B22" s="11" t="s">
        <v>1182</v>
      </c>
      <c r="C22" s="11">
        <v>12</v>
      </c>
      <c r="D22" s="11" t="s">
        <v>189</v>
      </c>
      <c r="E22" s="11" t="s">
        <v>5576</v>
      </c>
      <c r="F22" s="11" t="s">
        <v>1688</v>
      </c>
      <c r="G22" s="11" t="s">
        <v>1689</v>
      </c>
      <c r="H22" s="11"/>
      <c r="I22" s="11"/>
    </row>
    <row r="23" spans="1:11" ht="30">
      <c r="A23" s="11">
        <v>21</v>
      </c>
      <c r="B23" s="11" t="s">
        <v>1183</v>
      </c>
      <c r="C23" s="11">
        <v>30</v>
      </c>
      <c r="D23" s="11" t="s">
        <v>242</v>
      </c>
      <c r="E23" s="11" t="s">
        <v>5576</v>
      </c>
      <c r="F23" s="11" t="s">
        <v>1690</v>
      </c>
      <c r="G23" s="11" t="s">
        <v>1691</v>
      </c>
      <c r="H23" s="11"/>
      <c r="I23" s="11"/>
    </row>
    <row r="24" spans="1:11">
      <c r="G24"/>
      <c r="H24"/>
      <c r="I24"/>
      <c r="J24"/>
      <c r="K24"/>
    </row>
    <row r="25" spans="1:11">
      <c r="G25"/>
      <c r="H25"/>
      <c r="I25"/>
      <c r="J25"/>
      <c r="K25"/>
    </row>
    <row r="26" spans="1:11">
      <c r="G26"/>
      <c r="H26"/>
      <c r="I26"/>
      <c r="J26"/>
      <c r="K26"/>
    </row>
    <row r="27" spans="1:11">
      <c r="G27"/>
      <c r="H27"/>
      <c r="I27"/>
      <c r="J27"/>
      <c r="K27"/>
    </row>
    <row r="28" spans="1:11">
      <c r="G28"/>
      <c r="H28"/>
      <c r="I28"/>
      <c r="J28"/>
      <c r="K28"/>
    </row>
    <row r="29" spans="1:11">
      <c r="G29"/>
      <c r="H29"/>
      <c r="I29"/>
      <c r="J29"/>
      <c r="K29"/>
    </row>
    <row r="30" spans="1:11">
      <c r="G30"/>
      <c r="H30"/>
      <c r="I30"/>
      <c r="J30"/>
      <c r="K30"/>
    </row>
    <row r="31" spans="1:11">
      <c r="G31"/>
      <c r="H31"/>
      <c r="I31"/>
      <c r="J31"/>
      <c r="K31"/>
    </row>
    <row r="32" spans="1:11">
      <c r="G32"/>
      <c r="H32"/>
      <c r="I32"/>
      <c r="J32"/>
      <c r="K32"/>
    </row>
    <row r="33" spans="7:11">
      <c r="G33"/>
      <c r="H33"/>
      <c r="I33"/>
      <c r="J33"/>
      <c r="K33"/>
    </row>
    <row r="34" spans="7:11">
      <c r="G34"/>
      <c r="H34"/>
      <c r="I34"/>
      <c r="J34"/>
      <c r="K34"/>
    </row>
    <row r="35" spans="7:11">
      <c r="G35"/>
      <c r="H35"/>
      <c r="I35"/>
      <c r="J35"/>
      <c r="K35"/>
    </row>
    <row r="36" spans="7:11">
      <c r="G36"/>
      <c r="H36"/>
      <c r="I36"/>
      <c r="J36"/>
      <c r="K36"/>
    </row>
    <row r="37" spans="7:11">
      <c r="G37"/>
      <c r="H37"/>
      <c r="I37"/>
      <c r="J37"/>
      <c r="K37"/>
    </row>
    <row r="38" spans="7:11">
      <c r="G38"/>
      <c r="H38"/>
      <c r="I38"/>
      <c r="J38"/>
      <c r="K38"/>
    </row>
    <row r="39" spans="7:11">
      <c r="G39"/>
      <c r="H39"/>
      <c r="I39"/>
      <c r="J39"/>
      <c r="K39"/>
    </row>
    <row r="40" spans="7:11">
      <c r="G40"/>
      <c r="H40"/>
      <c r="I40"/>
      <c r="J40"/>
      <c r="K40"/>
    </row>
    <row r="41" spans="7:11">
      <c r="G41"/>
      <c r="H41"/>
      <c r="I41"/>
      <c r="J41"/>
      <c r="K41"/>
    </row>
    <row r="42" spans="7:11">
      <c r="G42"/>
      <c r="H42"/>
      <c r="I42"/>
      <c r="J42"/>
      <c r="K42"/>
    </row>
    <row r="43" spans="7:11">
      <c r="G43"/>
      <c r="H43"/>
      <c r="I43"/>
      <c r="J43"/>
      <c r="K43"/>
    </row>
    <row r="44" spans="7:11">
      <c r="G44"/>
      <c r="H44"/>
      <c r="I44"/>
      <c r="J44"/>
      <c r="K44"/>
    </row>
    <row r="45" spans="7:11">
      <c r="G45"/>
      <c r="H45"/>
      <c r="I45"/>
      <c r="J45"/>
      <c r="K45"/>
    </row>
    <row r="46" spans="7:11">
      <c r="G46"/>
      <c r="H46"/>
      <c r="I46"/>
      <c r="J46"/>
      <c r="K46"/>
    </row>
    <row r="47" spans="7:11">
      <c r="G47"/>
      <c r="H47"/>
      <c r="I47"/>
      <c r="J47"/>
      <c r="K47"/>
    </row>
    <row r="48" spans="7:11">
      <c r="H48"/>
      <c r="I48"/>
    </row>
  </sheetData>
  <pageMargins left="0.7" right="0.7" top="0.75" bottom="0.75" header="0.3" footer="0.3"/>
  <pageSetup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9BFE4-0CEA-4B7D-B9FA-8759B1396936}">
  <sheetPr codeName="Sheet106"/>
  <dimension ref="A1:J46"/>
  <sheetViews>
    <sheetView topLeftCell="A14" workbookViewId="0">
      <selection activeCell="C22" sqref="C22"/>
    </sheetView>
  </sheetViews>
  <sheetFormatPr defaultColWidth="32.140625" defaultRowHeight="15"/>
  <cols>
    <col min="1" max="1" width="7.140625" style="1" bestFit="1" customWidth="1"/>
    <col min="2" max="2" width="19.42578125" style="1" bestFit="1" customWidth="1"/>
    <col min="3" max="3" width="4.5703125" style="1" bestFit="1" customWidth="1"/>
    <col min="4" max="4" width="9" style="1" bestFit="1" customWidth="1"/>
    <col min="5" max="5" width="24.42578125" style="1" bestFit="1" customWidth="1"/>
    <col min="6" max="6" width="33.85546875" style="1" bestFit="1" customWidth="1"/>
    <col min="7" max="7" width="57.28515625" style="1" bestFit="1" customWidth="1"/>
    <col min="8" max="8" width="5.28515625" style="1" customWidth="1"/>
    <col min="9" max="9" width="5.28515625" style="1" bestFit="1" customWidth="1"/>
    <col min="10" max="16381" width="32.140625" style="1"/>
    <col min="16382" max="16382" width="1.7109375" style="1" customWidth="1"/>
    <col min="16383" max="16384" width="17.7109375" style="1" customWidth="1"/>
  </cols>
  <sheetData>
    <row r="1" spans="1:9">
      <c r="A1" s="12" t="s">
        <v>238</v>
      </c>
      <c r="B1" s="12"/>
      <c r="C1" s="12"/>
      <c r="D1" s="12"/>
      <c r="E1" s="12"/>
      <c r="F1" s="12"/>
      <c r="G1" s="12"/>
      <c r="H1" s="12"/>
      <c r="I1" s="12"/>
    </row>
    <row r="2" spans="1:9">
      <c r="A2" s="10" t="s">
        <v>350</v>
      </c>
      <c r="B2" s="10" t="s">
        <v>156</v>
      </c>
      <c r="C2" s="10" t="s">
        <v>157</v>
      </c>
      <c r="D2" s="10" t="s">
        <v>239</v>
      </c>
      <c r="E2" s="10" t="s">
        <v>159</v>
      </c>
      <c r="F2" s="10" t="s">
        <v>1684</v>
      </c>
      <c r="G2" s="10" t="s">
        <v>1685</v>
      </c>
      <c r="H2" s="10" t="s">
        <v>5367</v>
      </c>
      <c r="I2" s="10" t="s">
        <v>5366</v>
      </c>
    </row>
    <row r="3" spans="1:9">
      <c r="A3" s="11">
        <v>1</v>
      </c>
      <c r="B3" s="11" t="s">
        <v>240</v>
      </c>
      <c r="C3" s="11">
        <v>8</v>
      </c>
      <c r="D3" s="11" t="s">
        <v>160</v>
      </c>
      <c r="E3" s="11" t="s">
        <v>177</v>
      </c>
      <c r="F3" s="11" t="s">
        <v>1686</v>
      </c>
      <c r="G3" s="11" t="s">
        <v>1687</v>
      </c>
      <c r="H3" s="11" t="s">
        <v>5382</v>
      </c>
      <c r="I3" s="11"/>
    </row>
    <row r="4" spans="1:9" ht="30">
      <c r="A4" s="11">
        <v>2</v>
      </c>
      <c r="B4" s="11" t="s">
        <v>89</v>
      </c>
      <c r="C4" s="11">
        <v>10</v>
      </c>
      <c r="D4" s="11" t="s">
        <v>242</v>
      </c>
      <c r="E4" s="11"/>
      <c r="F4" s="11" t="s">
        <v>1708</v>
      </c>
      <c r="G4" s="11" t="s">
        <v>3631</v>
      </c>
      <c r="H4" s="11" t="s">
        <v>5385</v>
      </c>
      <c r="I4" s="11" t="s">
        <v>5387</v>
      </c>
    </row>
    <row r="5" spans="1:9">
      <c r="A5" s="55">
        <v>3</v>
      </c>
      <c r="B5" s="11" t="s">
        <v>1547</v>
      </c>
      <c r="C5" s="11">
        <v>8</v>
      </c>
      <c r="D5" s="11" t="s">
        <v>160</v>
      </c>
      <c r="E5" s="11" t="s">
        <v>177</v>
      </c>
      <c r="F5" s="11" t="s">
        <v>2368</v>
      </c>
      <c r="G5" s="11" t="s">
        <v>3644</v>
      </c>
      <c r="H5" s="11"/>
      <c r="I5" s="11"/>
    </row>
    <row r="6" spans="1:9" ht="30">
      <c r="A6" s="55">
        <v>4</v>
      </c>
      <c r="B6" s="11" t="s">
        <v>1548</v>
      </c>
      <c r="C6" s="11">
        <v>1</v>
      </c>
      <c r="D6" s="11" t="s">
        <v>242</v>
      </c>
      <c r="E6" s="11"/>
      <c r="F6" s="11" t="s">
        <v>2496</v>
      </c>
      <c r="G6" s="11" t="s">
        <v>3632</v>
      </c>
      <c r="H6" s="11"/>
      <c r="I6" s="11"/>
    </row>
    <row r="7" spans="1:9" ht="30">
      <c r="A7" s="55">
        <v>5</v>
      </c>
      <c r="B7" s="11" t="s">
        <v>1549</v>
      </c>
      <c r="C7" s="11">
        <v>8</v>
      </c>
      <c r="D7" s="11" t="s">
        <v>242</v>
      </c>
      <c r="E7" s="11"/>
      <c r="F7" s="11" t="s">
        <v>2497</v>
      </c>
      <c r="G7" s="11" t="s">
        <v>3633</v>
      </c>
      <c r="H7" s="11"/>
      <c r="I7" s="11"/>
    </row>
    <row r="8" spans="1:9">
      <c r="A8" s="55">
        <v>6</v>
      </c>
      <c r="B8" s="11" t="s">
        <v>78</v>
      </c>
      <c r="C8" s="11">
        <v>4</v>
      </c>
      <c r="D8" s="11" t="s">
        <v>242</v>
      </c>
      <c r="E8" s="11"/>
      <c r="F8" s="11" t="s">
        <v>1707</v>
      </c>
      <c r="G8" s="11" t="s">
        <v>5593</v>
      </c>
      <c r="H8" s="11"/>
      <c r="I8" s="11"/>
    </row>
    <row r="9" spans="1:9" ht="30">
      <c r="A9" s="55">
        <v>7</v>
      </c>
      <c r="B9" s="11" t="s">
        <v>1550</v>
      </c>
      <c r="C9" s="11">
        <v>15</v>
      </c>
      <c r="D9" s="11" t="s">
        <v>242</v>
      </c>
      <c r="E9" s="11"/>
      <c r="F9" s="11" t="s">
        <v>2498</v>
      </c>
      <c r="G9" s="11" t="s">
        <v>3634</v>
      </c>
      <c r="H9" s="11"/>
      <c r="I9" s="11"/>
    </row>
    <row r="10" spans="1:9">
      <c r="A10" s="55">
        <v>8</v>
      </c>
      <c r="B10" s="11" t="s">
        <v>1551</v>
      </c>
      <c r="C10" s="11">
        <v>15</v>
      </c>
      <c r="D10" s="11" t="s">
        <v>242</v>
      </c>
      <c r="E10" s="11"/>
      <c r="F10" s="11" t="s">
        <v>2499</v>
      </c>
      <c r="G10" s="11" t="s">
        <v>3635</v>
      </c>
      <c r="H10" s="11"/>
      <c r="I10" s="11"/>
    </row>
    <row r="11" spans="1:9">
      <c r="A11" s="55">
        <v>9</v>
      </c>
      <c r="B11" s="11" t="s">
        <v>1552</v>
      </c>
      <c r="C11" s="11">
        <v>15</v>
      </c>
      <c r="D11" s="11" t="s">
        <v>242</v>
      </c>
      <c r="E11" s="11"/>
      <c r="F11" s="11" t="s">
        <v>2500</v>
      </c>
      <c r="G11" s="11" t="s">
        <v>3636</v>
      </c>
      <c r="H11" s="11"/>
      <c r="I11" s="11"/>
    </row>
    <row r="12" spans="1:9">
      <c r="A12" s="55">
        <v>10</v>
      </c>
      <c r="B12" s="11" t="s">
        <v>1553</v>
      </c>
      <c r="C12" s="11">
        <v>15</v>
      </c>
      <c r="D12" s="11" t="s">
        <v>242</v>
      </c>
      <c r="E12" s="11"/>
      <c r="F12" s="11" t="s">
        <v>2501</v>
      </c>
      <c r="G12" s="11" t="s">
        <v>5595</v>
      </c>
      <c r="H12" s="11"/>
      <c r="I12" s="11"/>
    </row>
    <row r="13" spans="1:9" ht="135">
      <c r="A13" s="55">
        <v>11</v>
      </c>
      <c r="B13" s="11" t="s">
        <v>1554</v>
      </c>
      <c r="C13" s="11">
        <v>20</v>
      </c>
      <c r="D13" s="11" t="s">
        <v>242</v>
      </c>
      <c r="E13" s="11"/>
      <c r="F13" s="11" t="s">
        <v>2502</v>
      </c>
      <c r="G13" s="11" t="s">
        <v>5716</v>
      </c>
      <c r="H13" s="11"/>
      <c r="I13" s="11"/>
    </row>
    <row r="14" spans="1:9" ht="30">
      <c r="A14" s="55">
        <v>12</v>
      </c>
      <c r="B14" s="11" t="s">
        <v>1555</v>
      </c>
      <c r="C14" s="11">
        <v>1</v>
      </c>
      <c r="D14" s="11" t="s">
        <v>242</v>
      </c>
      <c r="E14" s="11"/>
      <c r="F14" s="11" t="s">
        <v>2503</v>
      </c>
      <c r="G14" s="11" t="s">
        <v>3637</v>
      </c>
      <c r="H14" s="11"/>
      <c r="I14" s="11"/>
    </row>
    <row r="15" spans="1:9" ht="30">
      <c r="A15" s="55">
        <v>13</v>
      </c>
      <c r="B15" s="11" t="s">
        <v>1556</v>
      </c>
      <c r="C15" s="11">
        <v>14</v>
      </c>
      <c r="D15" s="11" t="s">
        <v>161</v>
      </c>
      <c r="E15" s="11" t="s">
        <v>1033</v>
      </c>
      <c r="F15" s="11" t="s">
        <v>2504</v>
      </c>
      <c r="G15" s="11" t="s">
        <v>3638</v>
      </c>
      <c r="H15" s="11"/>
      <c r="I15" s="11"/>
    </row>
    <row r="16" spans="1:9" ht="30">
      <c r="A16" s="55">
        <v>14</v>
      </c>
      <c r="B16" s="11" t="s">
        <v>1557</v>
      </c>
      <c r="C16" s="11">
        <v>1</v>
      </c>
      <c r="D16" s="11" t="s">
        <v>242</v>
      </c>
      <c r="E16" s="11"/>
      <c r="F16" s="11" t="s">
        <v>2102</v>
      </c>
      <c r="G16" s="11" t="s">
        <v>3639</v>
      </c>
      <c r="H16" s="11"/>
      <c r="I16" s="11"/>
    </row>
    <row r="17" spans="1:10" ht="30">
      <c r="A17" s="55">
        <v>15</v>
      </c>
      <c r="B17" s="11" t="s">
        <v>1558</v>
      </c>
      <c r="C17" s="11">
        <v>1</v>
      </c>
      <c r="D17" s="11" t="s">
        <v>242</v>
      </c>
      <c r="E17" s="11"/>
      <c r="F17" s="11" t="s">
        <v>2505</v>
      </c>
      <c r="G17" s="11" t="s">
        <v>3640</v>
      </c>
      <c r="H17" s="11"/>
      <c r="I17" s="11"/>
    </row>
    <row r="18" spans="1:10" ht="30">
      <c r="A18" s="59">
        <v>16</v>
      </c>
      <c r="B18" s="59" t="s">
        <v>0</v>
      </c>
      <c r="C18" s="59">
        <v>1</v>
      </c>
      <c r="D18" s="59" t="s">
        <v>242</v>
      </c>
      <c r="E18" s="59"/>
      <c r="F18" s="59" t="s">
        <v>1724</v>
      </c>
      <c r="G18" s="59" t="s">
        <v>3571</v>
      </c>
      <c r="H18" s="59"/>
      <c r="I18" s="59"/>
      <c r="J18" s="31"/>
    </row>
    <row r="19" spans="1:10" ht="30">
      <c r="A19" s="59">
        <v>17</v>
      </c>
      <c r="B19" s="59" t="s">
        <v>1559</v>
      </c>
      <c r="C19" s="59">
        <v>60</v>
      </c>
      <c r="D19" s="59" t="s">
        <v>242</v>
      </c>
      <c r="E19" s="59"/>
      <c r="F19" s="59"/>
      <c r="G19" s="59"/>
      <c r="H19" s="59"/>
      <c r="I19" s="59"/>
      <c r="J19" s="31" t="s">
        <v>6786</v>
      </c>
    </row>
    <row r="20" spans="1:10" ht="30">
      <c r="A20" s="59">
        <v>18</v>
      </c>
      <c r="B20" s="59" t="s">
        <v>1560</v>
      </c>
      <c r="C20" s="59">
        <v>3</v>
      </c>
      <c r="D20" s="59" t="s">
        <v>242</v>
      </c>
      <c r="E20" s="59"/>
      <c r="F20" s="59" t="s">
        <v>2508</v>
      </c>
      <c r="G20" s="59" t="s">
        <v>3643</v>
      </c>
      <c r="H20" s="59"/>
      <c r="I20" s="59"/>
      <c r="J20" s="31" t="s">
        <v>6786</v>
      </c>
    </row>
    <row r="21" spans="1:10" ht="30">
      <c r="A21" s="59">
        <v>19</v>
      </c>
      <c r="B21" s="59" t="s">
        <v>105</v>
      </c>
      <c r="C21" s="59">
        <v>10</v>
      </c>
      <c r="D21" s="59" t="s">
        <v>242</v>
      </c>
      <c r="E21" s="59"/>
      <c r="F21" s="59" t="s">
        <v>1716</v>
      </c>
      <c r="G21" s="59" t="s">
        <v>3550</v>
      </c>
      <c r="H21" s="59"/>
      <c r="I21" s="59"/>
      <c r="J21" s="31"/>
    </row>
    <row r="22" spans="1:10" ht="30">
      <c r="A22" s="59">
        <v>20</v>
      </c>
      <c r="B22" s="59" t="s">
        <v>163</v>
      </c>
      <c r="C22" s="59">
        <v>14</v>
      </c>
      <c r="D22" s="59" t="s">
        <v>161</v>
      </c>
      <c r="E22" s="59" t="s">
        <v>1033</v>
      </c>
      <c r="F22" s="59" t="s">
        <v>1717</v>
      </c>
      <c r="G22" s="59" t="s">
        <v>3594</v>
      </c>
      <c r="H22" s="69" t="s">
        <v>5384</v>
      </c>
      <c r="I22" s="69"/>
      <c r="J22" s="31"/>
    </row>
    <row r="23" spans="1:10">
      <c r="A23" s="59">
        <v>21</v>
      </c>
      <c r="B23" s="59" t="s">
        <v>1182</v>
      </c>
      <c r="C23" s="59">
        <v>12</v>
      </c>
      <c r="D23" s="59" t="s">
        <v>189</v>
      </c>
      <c r="E23" s="59" t="s">
        <v>5576</v>
      </c>
      <c r="F23" s="59" t="s">
        <v>1688</v>
      </c>
      <c r="G23" s="59" t="s">
        <v>1689</v>
      </c>
      <c r="H23" s="69"/>
      <c r="I23" s="69"/>
      <c r="J23" s="31"/>
    </row>
    <row r="24" spans="1:10" ht="30">
      <c r="A24" s="59">
        <v>22</v>
      </c>
      <c r="B24" s="59" t="s">
        <v>1183</v>
      </c>
      <c r="C24" s="59">
        <v>30</v>
      </c>
      <c r="D24" s="59" t="s">
        <v>242</v>
      </c>
      <c r="E24" s="59" t="s">
        <v>5576</v>
      </c>
      <c r="F24" s="59" t="s">
        <v>1690</v>
      </c>
      <c r="G24" s="59" t="s">
        <v>1691</v>
      </c>
      <c r="H24" s="69"/>
      <c r="I24" s="69"/>
      <c r="J24" s="31"/>
    </row>
    <row r="25" spans="1:10">
      <c r="A25" s="31"/>
      <c r="B25" s="31"/>
      <c r="C25" s="31"/>
      <c r="D25" s="31"/>
      <c r="E25" s="31"/>
      <c r="F25" s="31"/>
      <c r="G25" s="31"/>
      <c r="H25" s="72"/>
      <c r="I25" s="72"/>
      <c r="J25" s="31"/>
    </row>
    <row r="26" spans="1:10">
      <c r="A26" s="31"/>
      <c r="B26" s="31"/>
      <c r="C26" s="31"/>
      <c r="D26" s="31"/>
      <c r="E26" s="31"/>
      <c r="F26" s="31"/>
      <c r="G26" s="31"/>
      <c r="H26" s="72"/>
      <c r="I26" s="72"/>
      <c r="J26" s="31"/>
    </row>
    <row r="27" spans="1:10">
      <c r="A27" s="59">
        <v>3</v>
      </c>
      <c r="B27" s="59" t="s">
        <v>1545</v>
      </c>
      <c r="C27" s="59">
        <v>20</v>
      </c>
      <c r="D27" s="59" t="s">
        <v>242</v>
      </c>
      <c r="E27" s="59"/>
      <c r="F27" s="59" t="s">
        <v>2509</v>
      </c>
      <c r="G27" s="59" t="s">
        <v>2510</v>
      </c>
      <c r="H27" s="59"/>
      <c r="I27" s="59"/>
      <c r="J27" s="31" t="s">
        <v>6785</v>
      </c>
    </row>
    <row r="28" spans="1:10">
      <c r="A28" s="59">
        <v>4</v>
      </c>
      <c r="B28" s="59" t="s">
        <v>1546</v>
      </c>
      <c r="C28" s="59">
        <v>200</v>
      </c>
      <c r="D28" s="59" t="s">
        <v>242</v>
      </c>
      <c r="E28" s="59"/>
      <c r="F28" s="59" t="s">
        <v>2511</v>
      </c>
      <c r="G28" s="59" t="s">
        <v>2512</v>
      </c>
      <c r="H28" s="59"/>
      <c r="I28" s="59"/>
      <c r="J28" s="31" t="s">
        <v>6785</v>
      </c>
    </row>
    <row r="29" spans="1:10">
      <c r="A29" s="31"/>
      <c r="B29" s="31"/>
      <c r="C29" s="31"/>
      <c r="D29" s="31"/>
      <c r="E29" s="31"/>
      <c r="F29" s="31"/>
      <c r="G29" s="31"/>
      <c r="H29" s="72"/>
      <c r="I29" s="72"/>
      <c r="J29" s="31"/>
    </row>
    <row r="30" spans="1:10">
      <c r="A30" s="31"/>
      <c r="B30" s="31"/>
      <c r="C30" s="31"/>
      <c r="D30" s="31"/>
      <c r="E30" s="31"/>
      <c r="F30" s="31"/>
      <c r="G30" s="31"/>
      <c r="H30" s="72"/>
      <c r="I30" s="72"/>
      <c r="J30" s="31"/>
    </row>
    <row r="31" spans="1:10">
      <c r="A31" s="31"/>
      <c r="B31" s="31"/>
      <c r="C31" s="31"/>
      <c r="D31" s="31"/>
      <c r="E31" s="31"/>
      <c r="F31" s="31"/>
      <c r="G31" s="31"/>
      <c r="H31" s="72"/>
      <c r="I31" s="72"/>
      <c r="J31" s="31"/>
    </row>
    <row r="32" spans="1:10">
      <c r="A32" s="31"/>
      <c r="B32" s="31"/>
      <c r="C32" s="31"/>
      <c r="D32" s="31"/>
      <c r="E32" s="31"/>
      <c r="F32" s="31"/>
      <c r="G32" s="31"/>
      <c r="H32" s="72"/>
      <c r="I32" s="72"/>
      <c r="J32" s="31"/>
    </row>
    <row r="33" spans="1:10">
      <c r="A33" s="31"/>
      <c r="B33" s="31"/>
      <c r="C33" s="31"/>
      <c r="D33" s="31"/>
      <c r="E33" s="31"/>
      <c r="F33" s="31"/>
      <c r="G33" s="31"/>
      <c r="H33" s="72"/>
      <c r="I33" s="72"/>
      <c r="J33" s="31"/>
    </row>
    <row r="34" spans="1:10">
      <c r="A34" s="31"/>
      <c r="B34" s="31"/>
      <c r="C34" s="31"/>
      <c r="D34" s="31"/>
      <c r="E34" s="31"/>
      <c r="F34" s="31"/>
      <c r="G34" s="31"/>
      <c r="H34" s="72"/>
      <c r="I34" s="72"/>
      <c r="J34" s="31"/>
    </row>
    <row r="35" spans="1:10">
      <c r="H35"/>
      <c r="I35"/>
    </row>
    <row r="36" spans="1:10">
      <c r="H36"/>
      <c r="I36"/>
    </row>
    <row r="37" spans="1:10">
      <c r="H37"/>
      <c r="I37"/>
    </row>
    <row r="38" spans="1:10">
      <c r="H38"/>
      <c r="I38"/>
    </row>
    <row r="39" spans="1:10">
      <c r="H39"/>
      <c r="I39"/>
    </row>
    <row r="40" spans="1:10">
      <c r="H40"/>
      <c r="I40"/>
    </row>
    <row r="41" spans="1:10">
      <c r="H41"/>
      <c r="I41"/>
    </row>
    <row r="42" spans="1:10">
      <c r="H42"/>
      <c r="I42"/>
    </row>
    <row r="43" spans="1:10">
      <c r="H43"/>
      <c r="I43"/>
    </row>
    <row r="44" spans="1:10">
      <c r="H44"/>
      <c r="I44"/>
    </row>
    <row r="45" spans="1:10">
      <c r="H45"/>
      <c r="I45"/>
    </row>
    <row r="46" spans="1:10">
      <c r="H46"/>
      <c r="I46"/>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90EC-3907-43B8-8AC5-42F26447332B}">
  <sheetPr codeName="Sheet112"/>
  <dimension ref="A1:M48"/>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5.28515625" style="1" customWidth="1"/>
    <col min="9" max="16380" width="32.140625" style="1"/>
    <col min="16381" max="16381" width="1.7109375" style="1" customWidth="1"/>
    <col min="16382" max="16384" width="17.7109375" style="1" customWidth="1"/>
  </cols>
  <sheetData>
    <row r="1" spans="1:13">
      <c r="A1" s="12" t="s">
        <v>238</v>
      </c>
      <c r="B1" s="12"/>
      <c r="C1" s="12"/>
      <c r="D1" s="12"/>
      <c r="E1" s="12"/>
      <c r="F1" s="12"/>
      <c r="G1" s="12"/>
      <c r="H1" s="12"/>
    </row>
    <row r="2" spans="1:13">
      <c r="A2" s="10" t="s">
        <v>350</v>
      </c>
      <c r="B2" s="10" t="s">
        <v>156</v>
      </c>
      <c r="C2" s="10" t="s">
        <v>157</v>
      </c>
      <c r="D2" s="10" t="s">
        <v>239</v>
      </c>
      <c r="E2" s="10" t="s">
        <v>159</v>
      </c>
      <c r="F2" s="10" t="s">
        <v>1684</v>
      </c>
      <c r="G2" s="10" t="s">
        <v>1685</v>
      </c>
      <c r="H2" s="10" t="s">
        <v>5367</v>
      </c>
    </row>
    <row r="3" spans="1:13">
      <c r="A3" s="11">
        <v>1</v>
      </c>
      <c r="B3" s="11" t="s">
        <v>240</v>
      </c>
      <c r="C3" s="11">
        <v>8</v>
      </c>
      <c r="D3" s="11" t="s">
        <v>160</v>
      </c>
      <c r="E3" s="11" t="s">
        <v>177</v>
      </c>
      <c r="F3" s="11" t="s">
        <v>1686</v>
      </c>
      <c r="G3" s="11" t="s">
        <v>1687</v>
      </c>
      <c r="H3" s="11" t="s">
        <v>5382</v>
      </c>
    </row>
    <row r="4" spans="1:13" ht="30">
      <c r="A4" s="11">
        <v>2</v>
      </c>
      <c r="B4" s="11" t="s">
        <v>89</v>
      </c>
      <c r="C4" s="11">
        <v>10</v>
      </c>
      <c r="D4" s="11" t="s">
        <v>242</v>
      </c>
      <c r="E4" s="11"/>
      <c r="F4" s="11" t="s">
        <v>1708</v>
      </c>
      <c r="G4" s="11" t="s">
        <v>3631</v>
      </c>
      <c r="H4" s="11" t="s">
        <v>5384</v>
      </c>
    </row>
    <row r="5" spans="1:13" ht="30">
      <c r="A5" s="59">
        <v>3</v>
      </c>
      <c r="B5" s="59" t="s">
        <v>1575</v>
      </c>
      <c r="C5" s="59">
        <v>3</v>
      </c>
      <c r="D5" s="59" t="s">
        <v>189</v>
      </c>
      <c r="E5" s="59"/>
      <c r="F5" s="59" t="s">
        <v>2513</v>
      </c>
      <c r="G5" s="59" t="s">
        <v>5704</v>
      </c>
      <c r="H5" s="59"/>
      <c r="I5" s="31" t="s">
        <v>7003</v>
      </c>
    </row>
    <row r="6" spans="1:13">
      <c r="A6" s="59">
        <v>4</v>
      </c>
      <c r="B6" s="59" t="s">
        <v>1609</v>
      </c>
      <c r="C6" s="59">
        <v>4</v>
      </c>
      <c r="D6" s="59" t="s">
        <v>242</v>
      </c>
      <c r="E6" s="59"/>
      <c r="F6" s="59" t="s">
        <v>2514</v>
      </c>
      <c r="G6" s="59" t="s">
        <v>5705</v>
      </c>
      <c r="H6" s="59"/>
      <c r="I6" s="31"/>
    </row>
    <row r="7" spans="1:13">
      <c r="A7" s="59">
        <v>5</v>
      </c>
      <c r="B7" s="59" t="s">
        <v>1610</v>
      </c>
      <c r="C7" s="59">
        <v>4</v>
      </c>
      <c r="D7" s="59" t="s">
        <v>242</v>
      </c>
      <c r="E7" s="59"/>
      <c r="F7" s="59" t="s">
        <v>2515</v>
      </c>
      <c r="G7" s="59" t="s">
        <v>5709</v>
      </c>
      <c r="H7" s="59"/>
      <c r="I7" s="31"/>
    </row>
    <row r="8" spans="1:13">
      <c r="A8" s="59">
        <v>6</v>
      </c>
      <c r="B8" s="59" t="s">
        <v>1611</v>
      </c>
      <c r="C8" s="59">
        <v>4</v>
      </c>
      <c r="D8" s="59" t="s">
        <v>242</v>
      </c>
      <c r="E8" s="59"/>
      <c r="F8" s="59" t="s">
        <v>2516</v>
      </c>
      <c r="G8" s="59" t="s">
        <v>5706</v>
      </c>
      <c r="H8" s="59"/>
      <c r="I8" s="31"/>
    </row>
    <row r="9" spans="1:13">
      <c r="A9" s="59">
        <v>7</v>
      </c>
      <c r="B9" s="59" t="s">
        <v>1612</v>
      </c>
      <c r="C9" s="59">
        <v>4</v>
      </c>
      <c r="D9" s="59" t="s">
        <v>242</v>
      </c>
      <c r="E9" s="59"/>
      <c r="F9" s="59" t="s">
        <v>2517</v>
      </c>
      <c r="G9" s="59" t="s">
        <v>5707</v>
      </c>
      <c r="H9" s="59"/>
      <c r="I9" s="31"/>
    </row>
    <row r="10" spans="1:13">
      <c r="A10" s="59">
        <v>8</v>
      </c>
      <c r="B10" s="59" t="s">
        <v>1613</v>
      </c>
      <c r="C10" s="59">
        <v>4</v>
      </c>
      <c r="D10" s="59" t="s">
        <v>242</v>
      </c>
      <c r="E10" s="59"/>
      <c r="F10" s="59" t="s">
        <v>2518</v>
      </c>
      <c r="G10" s="59" t="s">
        <v>5708</v>
      </c>
      <c r="H10" s="59"/>
      <c r="I10" s="31"/>
    </row>
    <row r="11" spans="1:13">
      <c r="A11" s="59">
        <v>9</v>
      </c>
      <c r="B11" s="59" t="s">
        <v>1182</v>
      </c>
      <c r="C11" s="59">
        <v>12</v>
      </c>
      <c r="D11" s="59" t="s">
        <v>189</v>
      </c>
      <c r="E11" s="59" t="s">
        <v>5576</v>
      </c>
      <c r="F11" s="59" t="s">
        <v>1688</v>
      </c>
      <c r="G11" s="59" t="s">
        <v>1689</v>
      </c>
      <c r="H11" s="59"/>
      <c r="I11" s="31"/>
    </row>
    <row r="12" spans="1:13" ht="30">
      <c r="A12" s="59">
        <v>10</v>
      </c>
      <c r="B12" s="59" t="s">
        <v>1183</v>
      </c>
      <c r="C12" s="59">
        <v>30</v>
      </c>
      <c r="D12" s="59" t="s">
        <v>242</v>
      </c>
      <c r="E12" s="59" t="s">
        <v>5576</v>
      </c>
      <c r="F12" s="59" t="s">
        <v>1690</v>
      </c>
      <c r="G12" s="59" t="s">
        <v>1691</v>
      </c>
      <c r="H12" s="59"/>
      <c r="I12" s="31"/>
    </row>
    <row r="13" spans="1:13">
      <c r="A13" s="31"/>
      <c r="B13" s="31"/>
      <c r="C13" s="31"/>
      <c r="D13" s="31"/>
      <c r="E13" s="72"/>
      <c r="F13" s="72"/>
      <c r="G13" s="72"/>
      <c r="H13" s="72"/>
      <c r="I13" s="72"/>
      <c r="J13"/>
      <c r="K13"/>
      <c r="L13"/>
      <c r="M13"/>
    </row>
    <row r="14" spans="1:13">
      <c r="A14" s="31"/>
      <c r="B14" s="31"/>
      <c r="C14" s="31"/>
      <c r="D14" s="31"/>
      <c r="E14" s="72"/>
      <c r="F14" s="72"/>
      <c r="G14" s="72"/>
      <c r="H14" s="72"/>
      <c r="I14" s="72"/>
      <c r="J14"/>
      <c r="K14"/>
      <c r="L14"/>
      <c r="M14"/>
    </row>
    <row r="15" spans="1:13">
      <c r="A15" s="31"/>
      <c r="B15" s="31"/>
      <c r="C15" s="31"/>
      <c r="D15" s="31"/>
      <c r="E15" s="72"/>
      <c r="F15" s="72"/>
      <c r="G15" s="72"/>
      <c r="H15" s="72"/>
      <c r="I15" s="72"/>
      <c r="J15"/>
      <c r="K15"/>
      <c r="L15"/>
      <c r="M15"/>
    </row>
    <row r="16" spans="1:13">
      <c r="A16" s="31"/>
      <c r="B16" s="31"/>
      <c r="C16" s="31"/>
      <c r="D16" s="31"/>
      <c r="E16" s="72"/>
      <c r="F16" s="72"/>
      <c r="G16" s="72"/>
      <c r="H16" s="72"/>
      <c r="I16" s="72"/>
      <c r="J16"/>
      <c r="K16"/>
      <c r="L16"/>
      <c r="M16"/>
    </row>
    <row r="17" spans="1:13">
      <c r="A17" s="31"/>
      <c r="B17" s="31"/>
      <c r="C17" s="31"/>
      <c r="D17" s="31"/>
      <c r="E17" s="72"/>
      <c r="F17" s="72"/>
      <c r="G17" s="72"/>
      <c r="H17" s="72"/>
      <c r="I17" s="72"/>
      <c r="J17"/>
      <c r="K17"/>
      <c r="L17"/>
      <c r="M17"/>
    </row>
    <row r="18" spans="1:13">
      <c r="A18" s="31"/>
      <c r="B18" s="31"/>
      <c r="C18" s="31"/>
      <c r="D18" s="31"/>
      <c r="E18" s="72"/>
      <c r="F18" s="72"/>
      <c r="G18" s="72"/>
      <c r="H18" s="72"/>
      <c r="I18" s="72"/>
      <c r="J18"/>
      <c r="K18"/>
      <c r="L18"/>
      <c r="M18"/>
    </row>
    <row r="19" spans="1:13">
      <c r="E19"/>
      <c r="F19"/>
      <c r="G19"/>
      <c r="H19"/>
      <c r="I19"/>
      <c r="J19"/>
      <c r="K19"/>
      <c r="L19"/>
      <c r="M19"/>
    </row>
    <row r="20" spans="1:13">
      <c r="E20"/>
      <c r="F20"/>
      <c r="G20"/>
      <c r="H20"/>
      <c r="I20"/>
      <c r="J20"/>
      <c r="K20"/>
      <c r="L20"/>
      <c r="M20"/>
    </row>
    <row r="21" spans="1:13">
      <c r="E21"/>
      <c r="F21"/>
      <c r="G21"/>
      <c r="H21"/>
      <c r="I21"/>
      <c r="J21"/>
      <c r="K21"/>
      <c r="L21"/>
      <c r="M21"/>
    </row>
    <row r="22" spans="1:13">
      <c r="E22"/>
      <c r="F22"/>
      <c r="G22"/>
      <c r="H22"/>
      <c r="I22"/>
      <c r="J22"/>
      <c r="K22"/>
      <c r="L22"/>
      <c r="M22"/>
    </row>
    <row r="23" spans="1:13">
      <c r="E23"/>
      <c r="F23"/>
      <c r="G23"/>
      <c r="H23"/>
      <c r="I23"/>
      <c r="J23"/>
      <c r="K23"/>
      <c r="L23"/>
      <c r="M23"/>
    </row>
    <row r="24" spans="1:13">
      <c r="E24"/>
      <c r="F24"/>
      <c r="G24"/>
      <c r="H24"/>
      <c r="I24"/>
      <c r="J24"/>
      <c r="K24"/>
      <c r="L24"/>
      <c r="M24"/>
    </row>
    <row r="25" spans="1:13">
      <c r="E25"/>
      <c r="F25"/>
      <c r="G25"/>
      <c r="H25"/>
      <c r="I25"/>
      <c r="J25"/>
      <c r="K25"/>
      <c r="L25"/>
      <c r="M25"/>
    </row>
    <row r="26" spans="1:13">
      <c r="E26"/>
      <c r="F26"/>
      <c r="G26"/>
      <c r="H26"/>
      <c r="I26"/>
      <c r="J26"/>
      <c r="K26"/>
      <c r="L26"/>
      <c r="M26"/>
    </row>
    <row r="27" spans="1:13">
      <c r="E27"/>
      <c r="F27"/>
      <c r="G27"/>
      <c r="H27"/>
      <c r="I27"/>
      <c r="J27"/>
      <c r="K27"/>
      <c r="L27"/>
      <c r="M27"/>
    </row>
    <row r="28" spans="1:13">
      <c r="E28"/>
      <c r="F28"/>
      <c r="G28"/>
      <c r="H28"/>
      <c r="I28"/>
      <c r="J28"/>
      <c r="K28"/>
      <c r="L28"/>
      <c r="M28"/>
    </row>
    <row r="29" spans="1:13">
      <c r="E29"/>
      <c r="F29"/>
      <c r="G29"/>
      <c r="H29"/>
      <c r="I29"/>
      <c r="J29"/>
      <c r="K29"/>
      <c r="L29"/>
      <c r="M29"/>
    </row>
    <row r="30" spans="1:13">
      <c r="E30"/>
      <c r="F30"/>
      <c r="G30"/>
      <c r="H30"/>
      <c r="I30"/>
      <c r="J30"/>
      <c r="K30"/>
      <c r="L30"/>
      <c r="M30"/>
    </row>
    <row r="31" spans="1:13">
      <c r="E31"/>
      <c r="F31"/>
      <c r="G31"/>
      <c r="H31"/>
      <c r="I31"/>
      <c r="J31"/>
      <c r="K31"/>
      <c r="L31"/>
      <c r="M31"/>
    </row>
    <row r="32" spans="1:13">
      <c r="E32"/>
      <c r="F32"/>
      <c r="G32"/>
      <c r="H32"/>
      <c r="I32"/>
      <c r="J32"/>
      <c r="K32"/>
      <c r="L32"/>
      <c r="M32"/>
    </row>
    <row r="33" spans="5:13">
      <c r="E33"/>
      <c r="F33"/>
      <c r="G33"/>
      <c r="H33"/>
      <c r="I33"/>
      <c r="J33"/>
      <c r="K33"/>
      <c r="L33"/>
      <c r="M33"/>
    </row>
    <row r="34" spans="5:13">
      <c r="E34"/>
      <c r="F34"/>
      <c r="G34"/>
      <c r="H34"/>
      <c r="I34"/>
      <c r="J34"/>
      <c r="K34"/>
      <c r="L34"/>
      <c r="M34"/>
    </row>
    <row r="35" spans="5:13">
      <c r="E35"/>
      <c r="F35"/>
      <c r="G35"/>
      <c r="H35"/>
      <c r="I35"/>
      <c r="J35"/>
      <c r="K35"/>
      <c r="L35"/>
      <c r="M35"/>
    </row>
    <row r="36" spans="5:13">
      <c r="H36"/>
    </row>
    <row r="37" spans="5:13">
      <c r="H37"/>
    </row>
    <row r="38" spans="5:13">
      <c r="H38"/>
    </row>
    <row r="39" spans="5:13">
      <c r="H39"/>
    </row>
    <row r="40" spans="5:13">
      <c r="H40"/>
    </row>
    <row r="41" spans="5:13">
      <c r="H41"/>
    </row>
    <row r="42" spans="5:13">
      <c r="H42"/>
    </row>
    <row r="43" spans="5:13">
      <c r="H43"/>
    </row>
    <row r="44" spans="5:13">
      <c r="H44"/>
    </row>
    <row r="45" spans="5:13">
      <c r="H45"/>
    </row>
    <row r="46" spans="5:13">
      <c r="H46"/>
    </row>
    <row r="47" spans="5:13">
      <c r="H47"/>
    </row>
    <row r="48" spans="5:13">
      <c r="H48"/>
    </row>
  </sheetData>
  <phoneticPr fontId="2"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573C4-738A-4CA9-BD29-EF3903A81823}">
  <sheetPr codeName="Sheet47"/>
  <dimension ref="A1:I29"/>
  <sheetViews>
    <sheetView topLeftCell="A25"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9.5703125" style="1" customWidth="1"/>
    <col min="9" max="16382" width="32.140625" style="1"/>
    <col min="16383" max="16383" width="1.7109375" style="1" customWidth="1"/>
    <col min="16384" max="16384" width="17.7109375" style="1" customWidth="1"/>
  </cols>
  <sheetData>
    <row r="1" spans="1:9">
      <c r="A1" s="3" t="s">
        <v>238</v>
      </c>
      <c r="B1" s="3"/>
      <c r="C1" s="3"/>
      <c r="D1" s="3"/>
      <c r="E1" s="3"/>
      <c r="F1" s="3"/>
      <c r="G1" s="3"/>
      <c r="H1" s="3"/>
    </row>
    <row r="2" spans="1:9">
      <c r="A2" s="10" t="s">
        <v>350</v>
      </c>
      <c r="B2" s="10" t="s">
        <v>156</v>
      </c>
      <c r="C2" s="10" t="s">
        <v>157</v>
      </c>
      <c r="D2" s="10" t="s">
        <v>239</v>
      </c>
      <c r="E2" s="10" t="s">
        <v>159</v>
      </c>
      <c r="F2" s="10" t="s">
        <v>1684</v>
      </c>
      <c r="G2" s="10" t="s">
        <v>1685</v>
      </c>
      <c r="H2" s="10" t="s">
        <v>5371</v>
      </c>
    </row>
    <row r="3" spans="1:9">
      <c r="A3" s="11">
        <v>1</v>
      </c>
      <c r="B3" s="11" t="s">
        <v>240</v>
      </c>
      <c r="C3" s="11">
        <v>8</v>
      </c>
      <c r="D3" s="11" t="s">
        <v>160</v>
      </c>
      <c r="E3" s="11" t="s">
        <v>177</v>
      </c>
      <c r="F3" s="11" t="s">
        <v>1686</v>
      </c>
      <c r="G3" s="11" t="s">
        <v>1687</v>
      </c>
      <c r="H3" s="11"/>
    </row>
    <row r="4" spans="1:9" ht="30">
      <c r="A4" s="11">
        <v>2</v>
      </c>
      <c r="B4" s="11" t="s">
        <v>241</v>
      </c>
      <c r="C4" s="11">
        <v>14</v>
      </c>
      <c r="D4" s="11" t="s">
        <v>242</v>
      </c>
      <c r="E4" s="11"/>
      <c r="F4" s="11" t="s">
        <v>2389</v>
      </c>
      <c r="G4" s="11" t="s">
        <v>2390</v>
      </c>
      <c r="H4" s="11" t="s">
        <v>5382</v>
      </c>
    </row>
    <row r="5" spans="1:9" ht="30">
      <c r="A5" s="80">
        <v>3</v>
      </c>
      <c r="B5" s="80" t="s">
        <v>5360</v>
      </c>
      <c r="C5" s="80">
        <v>5</v>
      </c>
      <c r="D5" s="80" t="s">
        <v>242</v>
      </c>
      <c r="E5" s="80"/>
      <c r="F5" s="80" t="s">
        <v>5361</v>
      </c>
      <c r="G5" s="80" t="s">
        <v>5362</v>
      </c>
      <c r="H5" s="59" t="s">
        <v>5385</v>
      </c>
      <c r="I5" s="31" t="s">
        <v>7004</v>
      </c>
    </row>
    <row r="6" spans="1:9" ht="45">
      <c r="A6" s="59">
        <v>4</v>
      </c>
      <c r="B6" s="59" t="s">
        <v>424</v>
      </c>
      <c r="C6" s="59">
        <v>8</v>
      </c>
      <c r="D6" s="59" t="s">
        <v>160</v>
      </c>
      <c r="E6" s="59" t="s">
        <v>177</v>
      </c>
      <c r="F6" s="59" t="s">
        <v>2519</v>
      </c>
      <c r="G6" s="59" t="s">
        <v>2520</v>
      </c>
      <c r="H6" s="59" t="s">
        <v>5384</v>
      </c>
      <c r="I6" s="31"/>
    </row>
    <row r="7" spans="1:9" ht="30">
      <c r="A7" s="59">
        <v>5</v>
      </c>
      <c r="B7" s="59" t="s">
        <v>425</v>
      </c>
      <c r="C7" s="59">
        <v>8</v>
      </c>
      <c r="D7" s="59" t="s">
        <v>160</v>
      </c>
      <c r="E7" s="59" t="s">
        <v>177</v>
      </c>
      <c r="F7" s="59" t="s">
        <v>2521</v>
      </c>
      <c r="G7" s="59" t="s">
        <v>2522</v>
      </c>
      <c r="H7" s="59"/>
      <c r="I7" s="31"/>
    </row>
    <row r="8" spans="1:9" ht="30">
      <c r="A8" s="59">
        <v>6</v>
      </c>
      <c r="B8" s="59" t="s">
        <v>426</v>
      </c>
      <c r="C8" s="59">
        <v>2</v>
      </c>
      <c r="D8" s="59" t="s">
        <v>242</v>
      </c>
      <c r="E8" s="59"/>
      <c r="F8" s="59" t="s">
        <v>2523</v>
      </c>
      <c r="G8" s="59" t="s">
        <v>2524</v>
      </c>
      <c r="H8" s="59"/>
      <c r="I8" s="31"/>
    </row>
    <row r="9" spans="1:9" ht="75">
      <c r="A9" s="59">
        <v>7</v>
      </c>
      <c r="B9" s="59" t="s">
        <v>427</v>
      </c>
      <c r="C9" s="59">
        <v>1</v>
      </c>
      <c r="D9" s="59" t="s">
        <v>242</v>
      </c>
      <c r="E9" s="59"/>
      <c r="F9" s="59" t="s">
        <v>2525</v>
      </c>
      <c r="G9" s="59" t="s">
        <v>2526</v>
      </c>
      <c r="H9" s="59"/>
      <c r="I9" s="31"/>
    </row>
    <row r="10" spans="1:9" ht="45">
      <c r="A10" s="11">
        <v>8</v>
      </c>
      <c r="B10" s="11" t="s">
        <v>428</v>
      </c>
      <c r="C10" s="11">
        <v>16</v>
      </c>
      <c r="D10" s="11" t="s">
        <v>189</v>
      </c>
      <c r="E10" s="11" t="s">
        <v>1266</v>
      </c>
      <c r="F10" s="11" t="s">
        <v>2527</v>
      </c>
      <c r="G10" s="11" t="s">
        <v>2528</v>
      </c>
      <c r="H10" s="11"/>
    </row>
    <row r="11" spans="1:9" ht="30">
      <c r="A11" s="11">
        <v>9</v>
      </c>
      <c r="B11" s="11" t="s">
        <v>254</v>
      </c>
      <c r="C11" s="11">
        <v>16</v>
      </c>
      <c r="D11" s="11" t="s">
        <v>189</v>
      </c>
      <c r="E11" s="11" t="s">
        <v>1266</v>
      </c>
      <c r="F11" s="11" t="s">
        <v>2529</v>
      </c>
      <c r="G11" s="11" t="s">
        <v>2530</v>
      </c>
      <c r="H11" s="11"/>
    </row>
    <row r="12" spans="1:9" ht="60">
      <c r="A12" s="11">
        <v>10</v>
      </c>
      <c r="B12" s="11" t="s">
        <v>429</v>
      </c>
      <c r="C12" s="11">
        <v>10</v>
      </c>
      <c r="D12" s="11" t="s">
        <v>242</v>
      </c>
      <c r="E12" s="11"/>
      <c r="F12" s="11" t="s">
        <v>2531</v>
      </c>
      <c r="G12" s="11" t="s">
        <v>2532</v>
      </c>
      <c r="H12" s="11"/>
    </row>
    <row r="13" spans="1:9" ht="90">
      <c r="A13" s="11">
        <v>11</v>
      </c>
      <c r="B13" s="11" t="s">
        <v>430</v>
      </c>
      <c r="C13" s="11">
        <v>25</v>
      </c>
      <c r="D13" s="11" t="s">
        <v>242</v>
      </c>
      <c r="E13" s="11"/>
      <c r="F13" s="11" t="s">
        <v>2533</v>
      </c>
      <c r="G13" s="11" t="s">
        <v>4817</v>
      </c>
      <c r="H13" s="11"/>
    </row>
    <row r="14" spans="1:9" ht="135">
      <c r="A14" s="11">
        <v>12</v>
      </c>
      <c r="B14" s="11" t="s">
        <v>431</v>
      </c>
      <c r="C14" s="11">
        <v>1</v>
      </c>
      <c r="D14" s="11" t="s">
        <v>242</v>
      </c>
      <c r="E14" s="11"/>
      <c r="F14" s="11" t="s">
        <v>2534</v>
      </c>
      <c r="G14" s="11" t="s">
        <v>2535</v>
      </c>
      <c r="H14" s="11"/>
    </row>
    <row r="15" spans="1:9" ht="120">
      <c r="A15" s="11">
        <v>13</v>
      </c>
      <c r="B15" s="11" t="s">
        <v>432</v>
      </c>
      <c r="C15" s="11">
        <v>16</v>
      </c>
      <c r="D15" s="11" t="s">
        <v>189</v>
      </c>
      <c r="E15" s="11" t="s">
        <v>1266</v>
      </c>
      <c r="F15" s="11" t="s">
        <v>2536</v>
      </c>
      <c r="G15" s="11" t="s">
        <v>3645</v>
      </c>
      <c r="H15" s="11"/>
    </row>
    <row r="16" spans="1:9" ht="195">
      <c r="A16" s="11">
        <v>14</v>
      </c>
      <c r="B16" s="11" t="s">
        <v>433</v>
      </c>
      <c r="C16" s="11">
        <v>1</v>
      </c>
      <c r="D16" s="11" t="s">
        <v>242</v>
      </c>
      <c r="E16" s="11"/>
      <c r="F16" s="11" t="s">
        <v>2537</v>
      </c>
      <c r="G16" s="11" t="s">
        <v>2538</v>
      </c>
      <c r="H16" s="11"/>
    </row>
    <row r="17" spans="1:8" ht="30">
      <c r="A17" s="11">
        <v>15</v>
      </c>
      <c r="B17" s="11" t="s">
        <v>89</v>
      </c>
      <c r="C17" s="11">
        <v>3</v>
      </c>
      <c r="D17" s="11" t="s">
        <v>242</v>
      </c>
      <c r="E17" s="11"/>
      <c r="F17" s="11" t="s">
        <v>2539</v>
      </c>
      <c r="G17" s="11" t="s">
        <v>3675</v>
      </c>
      <c r="H17" s="11"/>
    </row>
    <row r="18" spans="1:8" ht="60">
      <c r="A18" s="11">
        <v>16</v>
      </c>
      <c r="B18" s="11" t="s">
        <v>90</v>
      </c>
      <c r="C18" s="11">
        <v>3</v>
      </c>
      <c r="D18" s="11" t="s">
        <v>242</v>
      </c>
      <c r="E18" s="11"/>
      <c r="F18" s="11" t="s">
        <v>2541</v>
      </c>
      <c r="G18" s="11" t="s">
        <v>2542</v>
      </c>
      <c r="H18" s="11"/>
    </row>
    <row r="19" spans="1:8" ht="90">
      <c r="A19" s="11">
        <v>17</v>
      </c>
      <c r="B19" s="11" t="s">
        <v>434</v>
      </c>
      <c r="C19" s="11">
        <v>1</v>
      </c>
      <c r="D19" s="11" t="s">
        <v>242</v>
      </c>
      <c r="E19" s="11"/>
      <c r="F19" s="11" t="s">
        <v>2543</v>
      </c>
      <c r="G19" s="11" t="s">
        <v>2544</v>
      </c>
      <c r="H19" s="11"/>
    </row>
    <row r="20" spans="1:8" ht="75">
      <c r="A20" s="11">
        <v>18</v>
      </c>
      <c r="B20" s="11" t="s">
        <v>435</v>
      </c>
      <c r="C20" s="11">
        <v>16</v>
      </c>
      <c r="D20" s="11" t="s">
        <v>189</v>
      </c>
      <c r="E20" s="11" t="s">
        <v>1266</v>
      </c>
      <c r="F20" s="11" t="s">
        <v>2545</v>
      </c>
      <c r="G20" s="11" t="s">
        <v>2546</v>
      </c>
      <c r="H20" s="11"/>
    </row>
    <row r="21" spans="1:8" ht="75">
      <c r="A21" s="11">
        <v>19</v>
      </c>
      <c r="B21" s="11" t="s">
        <v>436</v>
      </c>
      <c r="C21" s="11">
        <v>1</v>
      </c>
      <c r="D21" s="11" t="s">
        <v>242</v>
      </c>
      <c r="E21" s="11"/>
      <c r="F21" s="11" t="s">
        <v>2547</v>
      </c>
      <c r="G21" s="11" t="s">
        <v>2548</v>
      </c>
      <c r="H21" s="11"/>
    </row>
    <row r="22" spans="1:8" ht="45">
      <c r="A22" s="11">
        <v>20</v>
      </c>
      <c r="B22" s="11" t="s">
        <v>303</v>
      </c>
      <c r="C22" s="11">
        <v>16</v>
      </c>
      <c r="D22" s="11" t="s">
        <v>189</v>
      </c>
      <c r="E22" s="11" t="s">
        <v>1266</v>
      </c>
      <c r="F22" s="11" t="s">
        <v>2549</v>
      </c>
      <c r="G22" s="11" t="s">
        <v>2550</v>
      </c>
      <c r="H22" s="11"/>
    </row>
    <row r="23" spans="1:8" ht="45">
      <c r="A23" s="11">
        <v>21</v>
      </c>
      <c r="B23" s="11" t="s">
        <v>437</v>
      </c>
      <c r="C23" s="11">
        <v>2</v>
      </c>
      <c r="D23" s="11" t="s">
        <v>242</v>
      </c>
      <c r="E23" s="11"/>
      <c r="F23" s="11" t="s">
        <v>2551</v>
      </c>
      <c r="G23" s="11" t="s">
        <v>2552</v>
      </c>
      <c r="H23" s="11"/>
    </row>
    <row r="24" spans="1:8" ht="30">
      <c r="A24" s="11">
        <v>22</v>
      </c>
      <c r="B24" s="11" t="s">
        <v>422</v>
      </c>
      <c r="C24" s="11">
        <v>14</v>
      </c>
      <c r="D24" s="11" t="s">
        <v>242</v>
      </c>
      <c r="E24" s="11"/>
      <c r="F24" s="11" t="s">
        <v>2389</v>
      </c>
      <c r="G24" s="11" t="s">
        <v>2390</v>
      </c>
      <c r="H24" s="11"/>
    </row>
    <row r="25" spans="1:8">
      <c r="A25" s="11">
        <v>23</v>
      </c>
      <c r="B25" s="11" t="s">
        <v>423</v>
      </c>
      <c r="C25" s="11">
        <v>8</v>
      </c>
      <c r="D25" s="11" t="s">
        <v>242</v>
      </c>
      <c r="E25" s="11"/>
      <c r="F25" s="11" t="s">
        <v>5661</v>
      </c>
      <c r="G25" s="11"/>
      <c r="H25" s="11"/>
    </row>
    <row r="26" spans="1:8" ht="30">
      <c r="A26" s="11">
        <v>24</v>
      </c>
      <c r="B26" s="11" t="s">
        <v>438</v>
      </c>
      <c r="C26" s="11">
        <v>25</v>
      </c>
      <c r="D26" s="11" t="s">
        <v>242</v>
      </c>
      <c r="E26" s="11"/>
      <c r="F26" s="11" t="s">
        <v>2417</v>
      </c>
      <c r="G26" s="11" t="s">
        <v>2418</v>
      </c>
      <c r="H26" s="11"/>
    </row>
    <row r="27" spans="1:8" ht="30">
      <c r="A27" s="11">
        <v>25</v>
      </c>
      <c r="B27" s="11" t="s">
        <v>439</v>
      </c>
      <c r="C27" s="11">
        <v>25</v>
      </c>
      <c r="D27" s="11" t="s">
        <v>242</v>
      </c>
      <c r="E27" s="11"/>
      <c r="F27" s="11" t="s">
        <v>2419</v>
      </c>
      <c r="G27" s="11" t="s">
        <v>2420</v>
      </c>
      <c r="H27" s="11"/>
    </row>
    <row r="28" spans="1:8">
      <c r="A28" s="11">
        <v>26</v>
      </c>
      <c r="B28" s="11" t="s">
        <v>1182</v>
      </c>
      <c r="C28" s="11">
        <v>12</v>
      </c>
      <c r="D28" s="11" t="s">
        <v>189</v>
      </c>
      <c r="E28" s="11" t="s">
        <v>5576</v>
      </c>
      <c r="F28" s="11" t="s">
        <v>1688</v>
      </c>
      <c r="G28" s="11" t="s">
        <v>1689</v>
      </c>
      <c r="H28" s="11"/>
    </row>
    <row r="29" spans="1:8" ht="30">
      <c r="A29" s="11">
        <v>27</v>
      </c>
      <c r="B29" s="11" t="s">
        <v>1183</v>
      </c>
      <c r="C29" s="11">
        <v>30</v>
      </c>
      <c r="D29" s="11" t="s">
        <v>242</v>
      </c>
      <c r="E29" s="11" t="s">
        <v>5576</v>
      </c>
      <c r="F29" s="11" t="s">
        <v>1690</v>
      </c>
      <c r="G29" s="11" t="s">
        <v>1691</v>
      </c>
      <c r="H29" s="11"/>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E0C01-D66A-4587-BADD-389D03B51306}">
  <sheetPr codeName="Sheet49"/>
  <dimension ref="A1:I29"/>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16382" width="32.140625" style="1"/>
    <col min="16383" max="16383" width="1.7109375" style="1" customWidth="1"/>
    <col min="16384" max="16384" width="17.7109375" style="1" customWidth="1"/>
  </cols>
  <sheetData>
    <row r="1" spans="1:9">
      <c r="A1" s="3" t="s">
        <v>238</v>
      </c>
      <c r="B1" s="3"/>
      <c r="C1" s="3"/>
      <c r="D1" s="3"/>
      <c r="E1" s="3"/>
      <c r="F1" s="3"/>
      <c r="G1" s="3"/>
    </row>
    <row r="2" spans="1:9">
      <c r="A2" s="10" t="s">
        <v>350</v>
      </c>
      <c r="B2" s="10" t="s">
        <v>156</v>
      </c>
      <c r="C2" s="10" t="s">
        <v>157</v>
      </c>
      <c r="D2" s="10" t="s">
        <v>239</v>
      </c>
      <c r="E2" s="10" t="s">
        <v>159</v>
      </c>
      <c r="F2" s="10" t="s">
        <v>1684</v>
      </c>
      <c r="G2" s="10" t="s">
        <v>1685</v>
      </c>
      <c r="H2" s="10" t="s">
        <v>5371</v>
      </c>
    </row>
    <row r="3" spans="1:9">
      <c r="A3" s="11">
        <v>1</v>
      </c>
      <c r="B3" s="11" t="s">
        <v>240</v>
      </c>
      <c r="C3" s="11">
        <v>8</v>
      </c>
      <c r="D3" s="11" t="s">
        <v>160</v>
      </c>
      <c r="E3" s="11" t="s">
        <v>177</v>
      </c>
      <c r="F3" s="11" t="s">
        <v>1686</v>
      </c>
      <c r="G3" s="11" t="s">
        <v>1687</v>
      </c>
      <c r="H3" s="11"/>
    </row>
    <row r="4" spans="1:9" ht="30">
      <c r="A4" s="11">
        <v>2</v>
      </c>
      <c r="B4" s="11" t="s">
        <v>241</v>
      </c>
      <c r="C4" s="11">
        <v>14</v>
      </c>
      <c r="D4" s="11" t="s">
        <v>242</v>
      </c>
      <c r="E4" s="11"/>
      <c r="F4" s="11" t="s">
        <v>2389</v>
      </c>
      <c r="G4" s="11" t="s">
        <v>2390</v>
      </c>
      <c r="H4" s="11" t="s">
        <v>5382</v>
      </c>
    </row>
    <row r="5" spans="1:9" ht="30">
      <c r="A5" s="80">
        <v>3</v>
      </c>
      <c r="B5" s="80" t="s">
        <v>5360</v>
      </c>
      <c r="C5" s="80">
        <v>5</v>
      </c>
      <c r="D5" s="80" t="s">
        <v>242</v>
      </c>
      <c r="E5" s="80"/>
      <c r="F5" s="80" t="s">
        <v>5361</v>
      </c>
      <c r="G5" s="80" t="s">
        <v>5362</v>
      </c>
      <c r="H5" s="59" t="s">
        <v>5385</v>
      </c>
      <c r="I5" s="31" t="s">
        <v>7004</v>
      </c>
    </row>
    <row r="6" spans="1:9" ht="45">
      <c r="A6" s="59">
        <v>4</v>
      </c>
      <c r="B6" s="59" t="s">
        <v>424</v>
      </c>
      <c r="C6" s="59">
        <v>8</v>
      </c>
      <c r="D6" s="59" t="s">
        <v>160</v>
      </c>
      <c r="E6" s="59" t="s">
        <v>177</v>
      </c>
      <c r="F6" s="59" t="s">
        <v>2519</v>
      </c>
      <c r="G6" s="59" t="s">
        <v>2520</v>
      </c>
      <c r="H6" s="59" t="s">
        <v>5384</v>
      </c>
      <c r="I6" s="31"/>
    </row>
    <row r="7" spans="1:9" ht="30">
      <c r="A7" s="59">
        <v>5</v>
      </c>
      <c r="B7" s="59" t="s">
        <v>425</v>
      </c>
      <c r="C7" s="59">
        <v>8</v>
      </c>
      <c r="D7" s="59" t="s">
        <v>160</v>
      </c>
      <c r="E7" s="59" t="s">
        <v>177</v>
      </c>
      <c r="F7" s="59" t="s">
        <v>2521</v>
      </c>
      <c r="G7" s="59" t="s">
        <v>2522</v>
      </c>
      <c r="H7" s="59" t="s">
        <v>1291</v>
      </c>
      <c r="I7" s="31"/>
    </row>
    <row r="8" spans="1:9" ht="30">
      <c r="A8" s="59">
        <v>6</v>
      </c>
      <c r="B8" s="59" t="s">
        <v>426</v>
      </c>
      <c r="C8" s="59">
        <v>2</v>
      </c>
      <c r="D8" s="59" t="s">
        <v>242</v>
      </c>
      <c r="E8" s="59"/>
      <c r="F8" s="59" t="s">
        <v>2523</v>
      </c>
      <c r="G8" s="59" t="s">
        <v>2524</v>
      </c>
      <c r="H8" s="59" t="s">
        <v>1291</v>
      </c>
      <c r="I8" s="31"/>
    </row>
    <row r="9" spans="1:9" ht="75">
      <c r="A9" s="11">
        <v>7</v>
      </c>
      <c r="B9" s="11" t="s">
        <v>427</v>
      </c>
      <c r="C9" s="11">
        <v>1</v>
      </c>
      <c r="D9" s="11" t="s">
        <v>242</v>
      </c>
      <c r="E9" s="11"/>
      <c r="F9" s="11" t="s">
        <v>2525</v>
      </c>
      <c r="G9" s="11" t="s">
        <v>2526</v>
      </c>
      <c r="H9" s="11"/>
    </row>
    <row r="10" spans="1:9" ht="45">
      <c r="A10" s="11">
        <v>8</v>
      </c>
      <c r="B10" s="11" t="s">
        <v>428</v>
      </c>
      <c r="C10" s="11">
        <v>16</v>
      </c>
      <c r="D10" s="11" t="s">
        <v>189</v>
      </c>
      <c r="E10" s="11" t="s">
        <v>1266</v>
      </c>
      <c r="F10" s="11" t="s">
        <v>2527</v>
      </c>
      <c r="G10" s="11" t="s">
        <v>2528</v>
      </c>
      <c r="H10" s="11"/>
    </row>
    <row r="11" spans="1:9" ht="30">
      <c r="A11" s="11">
        <v>9</v>
      </c>
      <c r="B11" s="11" t="s">
        <v>254</v>
      </c>
      <c r="C11" s="11">
        <v>16</v>
      </c>
      <c r="D11" s="11" t="s">
        <v>189</v>
      </c>
      <c r="E11" s="11" t="s">
        <v>1266</v>
      </c>
      <c r="F11" s="11" t="s">
        <v>2529</v>
      </c>
      <c r="G11" s="11" t="s">
        <v>2530</v>
      </c>
      <c r="H11" s="11"/>
    </row>
    <row r="12" spans="1:9" ht="60">
      <c r="A12" s="11">
        <v>10</v>
      </c>
      <c r="B12" s="11" t="s">
        <v>429</v>
      </c>
      <c r="C12" s="11">
        <v>10</v>
      </c>
      <c r="D12" s="11" t="s">
        <v>242</v>
      </c>
      <c r="E12" s="11"/>
      <c r="F12" s="11" t="s">
        <v>2531</v>
      </c>
      <c r="G12" s="11" t="s">
        <v>2532</v>
      </c>
      <c r="H12" s="11"/>
    </row>
    <row r="13" spans="1:9" ht="90">
      <c r="A13" s="11">
        <v>11</v>
      </c>
      <c r="B13" s="11" t="s">
        <v>430</v>
      </c>
      <c r="C13" s="11">
        <v>25</v>
      </c>
      <c r="D13" s="11" t="s">
        <v>242</v>
      </c>
      <c r="E13" s="11"/>
      <c r="F13" s="11" t="s">
        <v>2533</v>
      </c>
      <c r="G13" s="11" t="s">
        <v>4817</v>
      </c>
      <c r="H13" s="11"/>
    </row>
    <row r="14" spans="1:9" ht="135">
      <c r="A14" s="11">
        <v>12</v>
      </c>
      <c r="B14" s="11" t="s">
        <v>440</v>
      </c>
      <c r="C14" s="11">
        <v>1</v>
      </c>
      <c r="D14" s="11" t="s">
        <v>242</v>
      </c>
      <c r="E14" s="11"/>
      <c r="F14" s="11" t="s">
        <v>2534</v>
      </c>
      <c r="G14" s="11" t="s">
        <v>2535</v>
      </c>
      <c r="H14" s="11"/>
    </row>
    <row r="15" spans="1:9" ht="120">
      <c r="A15" s="11">
        <v>13</v>
      </c>
      <c r="B15" s="11" t="s">
        <v>441</v>
      </c>
      <c r="C15" s="11">
        <v>16</v>
      </c>
      <c r="D15" s="11" t="s">
        <v>189</v>
      </c>
      <c r="E15" s="11" t="s">
        <v>1266</v>
      </c>
      <c r="F15" s="11" t="s">
        <v>2536</v>
      </c>
      <c r="G15" s="11" t="s">
        <v>3645</v>
      </c>
      <c r="H15" s="11"/>
    </row>
    <row r="16" spans="1:9" ht="30">
      <c r="A16" s="11">
        <v>14</v>
      </c>
      <c r="B16" s="11" t="s">
        <v>89</v>
      </c>
      <c r="C16" s="11">
        <v>3</v>
      </c>
      <c r="D16" s="11" t="s">
        <v>242</v>
      </c>
      <c r="E16" s="11"/>
      <c r="F16" s="11" t="s">
        <v>2539</v>
      </c>
      <c r="G16" s="11" t="s">
        <v>2540</v>
      </c>
      <c r="H16" s="11"/>
    </row>
    <row r="17" spans="1:8" ht="60">
      <c r="A17" s="11">
        <v>15</v>
      </c>
      <c r="B17" s="11" t="s">
        <v>90</v>
      </c>
      <c r="C17" s="11">
        <v>3</v>
      </c>
      <c r="D17" s="11" t="s">
        <v>242</v>
      </c>
      <c r="E17" s="11"/>
      <c r="F17" s="11" t="s">
        <v>2541</v>
      </c>
      <c r="G17" s="11" t="s">
        <v>2542</v>
      </c>
      <c r="H17" s="11"/>
    </row>
    <row r="18" spans="1:8" ht="90">
      <c r="A18" s="11">
        <v>16</v>
      </c>
      <c r="B18" s="11" t="s">
        <v>442</v>
      </c>
      <c r="C18" s="11">
        <v>1</v>
      </c>
      <c r="D18" s="11" t="s">
        <v>242</v>
      </c>
      <c r="E18" s="11"/>
      <c r="F18" s="11" t="s">
        <v>2543</v>
      </c>
      <c r="G18" s="11" t="s">
        <v>2544</v>
      </c>
      <c r="H18" s="11"/>
    </row>
    <row r="19" spans="1:8" ht="90">
      <c r="A19" s="11">
        <v>17</v>
      </c>
      <c r="B19" s="11" t="s">
        <v>443</v>
      </c>
      <c r="C19" s="11">
        <v>16</v>
      </c>
      <c r="D19" s="11" t="s">
        <v>189</v>
      </c>
      <c r="E19" s="11" t="s">
        <v>1266</v>
      </c>
      <c r="F19" s="11" t="s">
        <v>2553</v>
      </c>
      <c r="G19" s="11" t="s">
        <v>2554</v>
      </c>
      <c r="H19" s="11"/>
    </row>
    <row r="20" spans="1:8" ht="45">
      <c r="A20" s="11">
        <v>18</v>
      </c>
      <c r="B20" s="11" t="s">
        <v>438</v>
      </c>
      <c r="C20" s="11">
        <v>25</v>
      </c>
      <c r="D20" s="11" t="s">
        <v>242</v>
      </c>
      <c r="E20" s="11"/>
      <c r="F20" s="11" t="s">
        <v>2555</v>
      </c>
      <c r="G20" s="11" t="s">
        <v>2556</v>
      </c>
      <c r="H20" s="11"/>
    </row>
    <row r="21" spans="1:8" ht="30">
      <c r="A21" s="11">
        <v>19</v>
      </c>
      <c r="B21" s="11" t="s">
        <v>439</v>
      </c>
      <c r="C21" s="11">
        <v>25</v>
      </c>
      <c r="D21" s="11" t="s">
        <v>242</v>
      </c>
      <c r="E21" s="11"/>
      <c r="F21" s="11" t="s">
        <v>2419</v>
      </c>
      <c r="G21" s="11" t="s">
        <v>2420</v>
      </c>
      <c r="H21" s="11"/>
    </row>
    <row r="22" spans="1:8">
      <c r="A22" s="11">
        <v>20</v>
      </c>
      <c r="B22" s="11" t="s">
        <v>444</v>
      </c>
      <c r="C22" s="11">
        <v>9</v>
      </c>
      <c r="D22" s="11" t="s">
        <v>189</v>
      </c>
      <c r="E22" s="11" t="s">
        <v>1269</v>
      </c>
      <c r="F22" s="11" t="s">
        <v>2557</v>
      </c>
      <c r="G22" s="11" t="s">
        <v>2558</v>
      </c>
      <c r="H22" s="11"/>
    </row>
    <row r="23" spans="1:8">
      <c r="A23" s="11">
        <v>21</v>
      </c>
      <c r="B23" s="11" t="s">
        <v>445</v>
      </c>
      <c r="C23" s="11">
        <v>9</v>
      </c>
      <c r="D23" s="11" t="s">
        <v>189</v>
      </c>
      <c r="E23" s="11" t="s">
        <v>1269</v>
      </c>
      <c r="F23" s="11" t="s">
        <v>2559</v>
      </c>
      <c r="G23" s="11" t="s">
        <v>2558</v>
      </c>
      <c r="H23" s="11"/>
    </row>
    <row r="24" spans="1:8" ht="45">
      <c r="A24" s="11">
        <v>22</v>
      </c>
      <c r="B24" s="11" t="s">
        <v>446</v>
      </c>
      <c r="C24" s="11">
        <v>1</v>
      </c>
      <c r="D24" s="11" t="s">
        <v>242</v>
      </c>
      <c r="E24" s="11"/>
      <c r="F24" s="11" t="s">
        <v>2560</v>
      </c>
      <c r="G24" s="11" t="s">
        <v>2561</v>
      </c>
      <c r="H24" s="11"/>
    </row>
    <row r="25" spans="1:8">
      <c r="A25" s="11">
        <v>23</v>
      </c>
      <c r="B25" s="11" t="s">
        <v>447</v>
      </c>
      <c r="C25" s="11">
        <v>2</v>
      </c>
      <c r="D25" s="11" t="s">
        <v>242</v>
      </c>
      <c r="E25" s="11"/>
      <c r="F25" s="11" t="s">
        <v>2562</v>
      </c>
      <c r="G25" s="11" t="s">
        <v>2562</v>
      </c>
      <c r="H25" s="11"/>
    </row>
    <row r="26" spans="1:8">
      <c r="A26" s="11">
        <v>24</v>
      </c>
      <c r="B26" s="11" t="s">
        <v>448</v>
      </c>
      <c r="C26" s="11">
        <v>9</v>
      </c>
      <c r="D26" s="11" t="s">
        <v>189</v>
      </c>
      <c r="E26" s="11" t="s">
        <v>1269</v>
      </c>
      <c r="F26" s="11" t="s">
        <v>2563</v>
      </c>
      <c r="G26" s="11" t="s">
        <v>2563</v>
      </c>
      <c r="H26" s="11"/>
    </row>
    <row r="27" spans="1:8" ht="30">
      <c r="A27" s="11">
        <v>25</v>
      </c>
      <c r="B27" s="11" t="s">
        <v>449</v>
      </c>
      <c r="C27" s="11">
        <v>1</v>
      </c>
      <c r="D27" s="11" t="s">
        <v>242</v>
      </c>
      <c r="E27" s="11"/>
      <c r="F27" s="11" t="s">
        <v>2564</v>
      </c>
      <c r="G27" s="11" t="s">
        <v>2565</v>
      </c>
      <c r="H27" s="11"/>
    </row>
    <row r="28" spans="1:8">
      <c r="A28" s="11">
        <v>26</v>
      </c>
      <c r="B28" s="11" t="s">
        <v>1182</v>
      </c>
      <c r="C28" s="11">
        <v>12</v>
      </c>
      <c r="D28" s="11" t="s">
        <v>189</v>
      </c>
      <c r="E28" s="11" t="s">
        <v>5576</v>
      </c>
      <c r="F28" s="11" t="s">
        <v>1688</v>
      </c>
      <c r="G28" s="11" t="s">
        <v>1689</v>
      </c>
      <c r="H28" s="11"/>
    </row>
    <row r="29" spans="1:8" ht="30">
      <c r="A29" s="11">
        <v>27</v>
      </c>
      <c r="B29" s="11" t="s">
        <v>1183</v>
      </c>
      <c r="C29" s="11">
        <v>30</v>
      </c>
      <c r="D29" s="11" t="s">
        <v>242</v>
      </c>
      <c r="E29" s="11" t="s">
        <v>5576</v>
      </c>
      <c r="F29" s="11" t="s">
        <v>1690</v>
      </c>
      <c r="G29" s="11" t="s">
        <v>1691</v>
      </c>
      <c r="H29" s="11"/>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F4B29-18FE-4319-942A-B7DD29FD7F4C}">
  <sheetPr codeName="Sheet50"/>
  <dimension ref="A1:H8"/>
  <sheetViews>
    <sheetView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8" width="6.28515625" style="1" customWidth="1"/>
    <col min="9" max="16382" width="32.140625" style="1"/>
    <col min="16383" max="16383" width="1.7109375" style="1" customWidth="1"/>
    <col min="16384" max="16384" width="17.7109375" style="1" customWidth="1"/>
  </cols>
  <sheetData>
    <row r="1" spans="1:8">
      <c r="A1" s="3" t="s">
        <v>238</v>
      </c>
      <c r="B1" s="3"/>
      <c r="C1" s="3"/>
      <c r="D1" s="3"/>
      <c r="E1" s="3"/>
      <c r="F1" s="3"/>
      <c r="G1" s="3"/>
      <c r="H1" s="3"/>
    </row>
    <row r="2" spans="1:8">
      <c r="A2" s="10" t="s">
        <v>350</v>
      </c>
      <c r="B2" s="10" t="s">
        <v>156</v>
      </c>
      <c r="C2" s="10" t="s">
        <v>157</v>
      </c>
      <c r="D2" s="10" t="s">
        <v>239</v>
      </c>
      <c r="E2" s="10" t="s">
        <v>159</v>
      </c>
      <c r="F2" s="10" t="s">
        <v>1684</v>
      </c>
      <c r="G2" s="10" t="s">
        <v>1685</v>
      </c>
      <c r="H2" s="10"/>
    </row>
    <row r="3" spans="1:8">
      <c r="A3" s="11">
        <v>1</v>
      </c>
      <c r="B3" s="11" t="s">
        <v>724</v>
      </c>
      <c r="C3" s="11">
        <v>8</v>
      </c>
      <c r="D3" s="11" t="s">
        <v>160</v>
      </c>
      <c r="E3" s="11" t="s">
        <v>177</v>
      </c>
      <c r="F3" s="11" t="s">
        <v>1686</v>
      </c>
      <c r="G3" s="11" t="s">
        <v>1687</v>
      </c>
      <c r="H3" s="11" t="s">
        <v>5382</v>
      </c>
    </row>
    <row r="4" spans="1:8" ht="30">
      <c r="A4" s="11">
        <v>2</v>
      </c>
      <c r="B4" s="11" t="s">
        <v>133</v>
      </c>
      <c r="C4" s="11">
        <v>2</v>
      </c>
      <c r="D4" s="11" t="s">
        <v>242</v>
      </c>
      <c r="E4" s="11"/>
      <c r="F4" s="11" t="s">
        <v>2078</v>
      </c>
      <c r="G4" s="11" t="s">
        <v>2079</v>
      </c>
      <c r="H4" s="11" t="s">
        <v>5384</v>
      </c>
    </row>
    <row r="5" spans="1:8">
      <c r="A5" s="11">
        <v>3</v>
      </c>
      <c r="B5" s="11" t="s">
        <v>748</v>
      </c>
      <c r="C5" s="11">
        <v>30</v>
      </c>
      <c r="D5" s="11" t="s">
        <v>242</v>
      </c>
      <c r="E5" s="11"/>
      <c r="F5" s="11" t="s">
        <v>2080</v>
      </c>
      <c r="G5" s="11" t="s">
        <v>5616</v>
      </c>
      <c r="H5" s="11"/>
    </row>
    <row r="6" spans="1:8">
      <c r="A6" s="11">
        <v>4</v>
      </c>
      <c r="B6" s="11" t="s">
        <v>749</v>
      </c>
      <c r="C6" s="11">
        <v>30</v>
      </c>
      <c r="D6" s="11" t="s">
        <v>242</v>
      </c>
      <c r="E6" s="11"/>
      <c r="F6" s="11" t="s">
        <v>2081</v>
      </c>
      <c r="G6" s="11" t="s">
        <v>5624</v>
      </c>
      <c r="H6" s="11"/>
    </row>
    <row r="7" spans="1:8">
      <c r="A7" s="11">
        <v>5</v>
      </c>
      <c r="B7" s="11" t="s">
        <v>1182</v>
      </c>
      <c r="C7" s="11">
        <v>12</v>
      </c>
      <c r="D7" s="11" t="s">
        <v>189</v>
      </c>
      <c r="E7" s="11" t="s">
        <v>5576</v>
      </c>
      <c r="F7" s="11" t="s">
        <v>1688</v>
      </c>
      <c r="G7" s="11" t="s">
        <v>1689</v>
      </c>
      <c r="H7" s="11"/>
    </row>
    <row r="8" spans="1:8" ht="30">
      <c r="A8" s="11">
        <v>6</v>
      </c>
      <c r="B8" s="11" t="s">
        <v>1183</v>
      </c>
      <c r="C8" s="11">
        <v>30</v>
      </c>
      <c r="D8" s="11" t="s">
        <v>242</v>
      </c>
      <c r="E8" s="11" t="s">
        <v>5576</v>
      </c>
      <c r="F8" s="11" t="s">
        <v>1690</v>
      </c>
      <c r="G8" s="11" t="s">
        <v>1691</v>
      </c>
      <c r="H8" s="11"/>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E29D4-189E-4B22-A02A-1C8923AE16FC}">
  <sheetPr codeName="Sheet58"/>
  <dimension ref="A1:I68"/>
  <sheetViews>
    <sheetView topLeftCell="A56" workbookViewId="0">
      <selection activeCell="C22" sqref="C22"/>
    </sheetView>
  </sheetViews>
  <sheetFormatPr defaultColWidth="32.140625" defaultRowHeight="15"/>
  <cols>
    <col min="1" max="1" width="7.140625" style="1" bestFit="1" customWidth="1"/>
    <col min="2" max="2" width="17.85546875" style="1" bestFit="1" customWidth="1"/>
    <col min="3" max="3" width="4.5703125" style="1" bestFit="1" customWidth="1"/>
    <col min="4" max="4" width="9" style="1" bestFit="1" customWidth="1"/>
    <col min="5" max="5" width="24.42578125" style="1" bestFit="1" customWidth="1"/>
    <col min="6" max="6" width="42.42578125" style="1" bestFit="1" customWidth="1"/>
    <col min="7" max="7" width="56.7109375" style="1" bestFit="1" customWidth="1"/>
    <col min="8" max="8" width="5.140625" style="1" bestFit="1" customWidth="1"/>
    <col min="9" max="16382" width="32.140625" style="1"/>
    <col min="16383" max="16383" width="1.7109375" style="1" customWidth="1"/>
    <col min="16384" max="16384" width="17.7109375" style="1" customWidth="1"/>
  </cols>
  <sheetData>
    <row r="1" spans="1:8">
      <c r="A1" s="3" t="s">
        <v>238</v>
      </c>
      <c r="B1" s="3"/>
      <c r="C1" s="3"/>
      <c r="D1" s="3"/>
      <c r="E1" s="3"/>
      <c r="F1" s="3"/>
      <c r="G1" s="3"/>
      <c r="H1" s="3"/>
    </row>
    <row r="2" spans="1:8">
      <c r="A2" s="10" t="s">
        <v>350</v>
      </c>
      <c r="B2" s="10" t="s">
        <v>156</v>
      </c>
      <c r="C2" s="10" t="s">
        <v>157</v>
      </c>
      <c r="D2" s="10" t="s">
        <v>239</v>
      </c>
      <c r="E2" s="10" t="s">
        <v>159</v>
      </c>
      <c r="F2" s="10" t="s">
        <v>1684</v>
      </c>
      <c r="G2" s="10" t="s">
        <v>1685</v>
      </c>
      <c r="H2" s="10" t="s">
        <v>5371</v>
      </c>
    </row>
    <row r="3" spans="1:8">
      <c r="A3" s="11">
        <v>1</v>
      </c>
      <c r="B3" s="11" t="s">
        <v>240</v>
      </c>
      <c r="C3" s="11">
        <v>8</v>
      </c>
      <c r="D3" s="11" t="s">
        <v>160</v>
      </c>
      <c r="E3" s="11" t="s">
        <v>177</v>
      </c>
      <c r="F3" s="11" t="s">
        <v>1686</v>
      </c>
      <c r="G3" s="11" t="s">
        <v>1687</v>
      </c>
      <c r="H3" s="11" t="s">
        <v>5382</v>
      </c>
    </row>
    <row r="4" spans="1:8" ht="30">
      <c r="A4" s="59">
        <v>2</v>
      </c>
      <c r="B4" s="59" t="s">
        <v>1489</v>
      </c>
      <c r="C4" s="59">
        <v>2</v>
      </c>
      <c r="D4" s="59" t="s">
        <v>242</v>
      </c>
      <c r="E4" s="59"/>
      <c r="F4" s="59" t="s">
        <v>5573</v>
      </c>
      <c r="G4" s="59" t="s">
        <v>5574</v>
      </c>
      <c r="H4" s="59"/>
    </row>
    <row r="5" spans="1:8">
      <c r="A5" s="59">
        <v>3</v>
      </c>
      <c r="B5" s="59" t="s">
        <v>5572</v>
      </c>
      <c r="C5" s="59">
        <v>4</v>
      </c>
      <c r="D5" s="59" t="s">
        <v>242</v>
      </c>
      <c r="E5" s="59"/>
      <c r="F5" s="59" t="s">
        <v>5570</v>
      </c>
      <c r="G5" s="59" t="s">
        <v>5571</v>
      </c>
      <c r="H5" s="59"/>
    </row>
    <row r="6" spans="1:8" ht="165">
      <c r="A6" s="59">
        <v>4</v>
      </c>
      <c r="B6" s="59" t="s">
        <v>243</v>
      </c>
      <c r="C6" s="59">
        <v>2</v>
      </c>
      <c r="D6" s="59" t="s">
        <v>242</v>
      </c>
      <c r="E6" s="59"/>
      <c r="F6" s="59" t="s">
        <v>2674</v>
      </c>
      <c r="G6" s="59" t="s">
        <v>2673</v>
      </c>
      <c r="H6" s="59"/>
    </row>
    <row r="7" spans="1:8" ht="30">
      <c r="A7" s="59">
        <v>5</v>
      </c>
      <c r="B7" s="59" t="s">
        <v>1210</v>
      </c>
      <c r="C7" s="59">
        <v>7</v>
      </c>
      <c r="D7" s="59" t="s">
        <v>242</v>
      </c>
      <c r="E7" s="59"/>
      <c r="F7" s="59" t="s">
        <v>2676</v>
      </c>
      <c r="G7" s="59" t="s">
        <v>2677</v>
      </c>
      <c r="H7" s="59"/>
    </row>
    <row r="8" spans="1:8" ht="75">
      <c r="A8" s="59">
        <v>6</v>
      </c>
      <c r="B8" s="59" t="s">
        <v>1211</v>
      </c>
      <c r="C8" s="59">
        <v>1</v>
      </c>
      <c r="D8" s="59" t="s">
        <v>242</v>
      </c>
      <c r="E8" s="59"/>
      <c r="F8" s="59" t="s">
        <v>2679</v>
      </c>
      <c r="G8" s="59" t="s">
        <v>2678</v>
      </c>
      <c r="H8" s="59"/>
    </row>
    <row r="9" spans="1:8" ht="30">
      <c r="A9" s="53">
        <v>7</v>
      </c>
      <c r="B9" s="11" t="s">
        <v>241</v>
      </c>
      <c r="C9" s="11">
        <v>14</v>
      </c>
      <c r="D9" s="11" t="s">
        <v>242</v>
      </c>
      <c r="E9" s="11"/>
      <c r="F9" s="11" t="s">
        <v>2389</v>
      </c>
      <c r="G9" s="11" t="s">
        <v>2680</v>
      </c>
      <c r="H9" s="11" t="s">
        <v>5384</v>
      </c>
    </row>
    <row r="10" spans="1:8" ht="30">
      <c r="A10" s="53">
        <v>8</v>
      </c>
      <c r="B10" s="11" t="s">
        <v>426</v>
      </c>
      <c r="C10" s="11">
        <v>2</v>
      </c>
      <c r="D10" s="11" t="s">
        <v>242</v>
      </c>
      <c r="E10" s="11"/>
      <c r="F10" s="11" t="s">
        <v>2523</v>
      </c>
      <c r="G10" s="11" t="s">
        <v>2681</v>
      </c>
      <c r="H10" s="11"/>
    </row>
    <row r="11" spans="1:8" ht="60">
      <c r="A11" s="53">
        <v>9</v>
      </c>
      <c r="B11" s="11" t="s">
        <v>1212</v>
      </c>
      <c r="C11" s="11">
        <v>1</v>
      </c>
      <c r="D11" s="11" t="s">
        <v>242</v>
      </c>
      <c r="E11" s="11"/>
      <c r="F11" s="11" t="s">
        <v>2682</v>
      </c>
      <c r="G11" s="11" t="s">
        <v>2683</v>
      </c>
      <c r="H11" s="11"/>
    </row>
    <row r="12" spans="1:8" ht="30">
      <c r="A12" s="53">
        <v>10</v>
      </c>
      <c r="B12" s="11" t="s">
        <v>772</v>
      </c>
      <c r="C12" s="11">
        <v>10</v>
      </c>
      <c r="D12" s="11" t="s">
        <v>242</v>
      </c>
      <c r="E12" s="11"/>
      <c r="F12" s="11" t="s">
        <v>2684</v>
      </c>
      <c r="G12" s="11" t="s">
        <v>2685</v>
      </c>
      <c r="H12" s="11"/>
    </row>
    <row r="13" spans="1:8" ht="45">
      <c r="A13" s="53">
        <v>11</v>
      </c>
      <c r="B13" s="11" t="s">
        <v>430</v>
      </c>
      <c r="C13" s="11">
        <v>25</v>
      </c>
      <c r="D13" s="11" t="s">
        <v>242</v>
      </c>
      <c r="E13" s="11"/>
      <c r="F13" s="11" t="s">
        <v>2415</v>
      </c>
      <c r="G13" s="11" t="s">
        <v>2686</v>
      </c>
      <c r="H13" s="11"/>
    </row>
    <row r="14" spans="1:8" ht="45">
      <c r="A14" s="53">
        <v>12</v>
      </c>
      <c r="B14" s="11" t="s">
        <v>438</v>
      </c>
      <c r="C14" s="11">
        <v>25</v>
      </c>
      <c r="D14" s="11" t="s">
        <v>242</v>
      </c>
      <c r="E14" s="11"/>
      <c r="F14" s="11" t="s">
        <v>2555</v>
      </c>
      <c r="G14" s="11" t="s">
        <v>2687</v>
      </c>
      <c r="H14" s="11"/>
    </row>
    <row r="15" spans="1:8" ht="45">
      <c r="A15" s="53">
        <v>13</v>
      </c>
      <c r="B15" s="11" t="s">
        <v>439</v>
      </c>
      <c r="C15" s="11">
        <v>25</v>
      </c>
      <c r="D15" s="11" t="s">
        <v>242</v>
      </c>
      <c r="E15" s="11"/>
      <c r="F15" s="11" t="s">
        <v>2689</v>
      </c>
      <c r="G15" s="11" t="s">
        <v>2688</v>
      </c>
      <c r="H15" s="11"/>
    </row>
    <row r="16" spans="1:8" ht="45">
      <c r="A16" s="53">
        <v>14</v>
      </c>
      <c r="B16" s="11" t="s">
        <v>1213</v>
      </c>
      <c r="C16" s="11">
        <v>14</v>
      </c>
      <c r="D16" s="11" t="s">
        <v>189</v>
      </c>
      <c r="E16" s="11"/>
      <c r="F16" s="11" t="s">
        <v>2691</v>
      </c>
      <c r="G16" s="11" t="s">
        <v>2690</v>
      </c>
      <c r="H16" s="11"/>
    </row>
    <row r="17" spans="1:8" ht="45">
      <c r="A17" s="53">
        <v>15</v>
      </c>
      <c r="B17" s="11" t="s">
        <v>428</v>
      </c>
      <c r="C17" s="11">
        <v>14</v>
      </c>
      <c r="D17" s="11" t="s">
        <v>189</v>
      </c>
      <c r="E17" s="11"/>
      <c r="F17" s="11" t="s">
        <v>2692</v>
      </c>
      <c r="G17" s="11" t="s">
        <v>2694</v>
      </c>
      <c r="H17" s="11"/>
    </row>
    <row r="18" spans="1:8" ht="45">
      <c r="A18" s="53">
        <v>16</v>
      </c>
      <c r="B18" s="11" t="s">
        <v>1203</v>
      </c>
      <c r="C18" s="11">
        <v>14</v>
      </c>
      <c r="D18" s="11" t="s">
        <v>189</v>
      </c>
      <c r="E18" s="11"/>
      <c r="F18" s="11" t="s">
        <v>2578</v>
      </c>
      <c r="G18" s="11" t="s">
        <v>2695</v>
      </c>
      <c r="H18" s="11"/>
    </row>
    <row r="19" spans="1:8">
      <c r="A19" s="53">
        <v>17</v>
      </c>
      <c r="B19" s="11" t="s">
        <v>424</v>
      </c>
      <c r="C19" s="11">
        <v>8</v>
      </c>
      <c r="D19" s="11" t="s">
        <v>160</v>
      </c>
      <c r="E19" s="11" t="s">
        <v>177</v>
      </c>
      <c r="F19" s="11" t="s">
        <v>2519</v>
      </c>
      <c r="G19" s="11" t="s">
        <v>2696</v>
      </c>
      <c r="H19" s="11"/>
    </row>
    <row r="20" spans="1:8" ht="30">
      <c r="A20" s="53">
        <v>18</v>
      </c>
      <c r="B20" s="11" t="s">
        <v>425</v>
      </c>
      <c r="C20" s="11">
        <v>8</v>
      </c>
      <c r="D20" s="11" t="s">
        <v>160</v>
      </c>
      <c r="E20" s="11" t="s">
        <v>177</v>
      </c>
      <c r="F20" s="11" t="s">
        <v>2629</v>
      </c>
      <c r="G20" s="11" t="s">
        <v>2697</v>
      </c>
      <c r="H20" s="11"/>
    </row>
    <row r="21" spans="1:8" ht="315">
      <c r="A21" s="53">
        <v>19</v>
      </c>
      <c r="B21" s="11" t="s">
        <v>1201</v>
      </c>
      <c r="C21" s="11">
        <v>2</v>
      </c>
      <c r="D21" s="11" t="s">
        <v>242</v>
      </c>
      <c r="E21" s="11"/>
      <c r="F21" s="11" t="s">
        <v>2699</v>
      </c>
      <c r="G21" s="11" t="s">
        <v>2698</v>
      </c>
      <c r="H21" s="11"/>
    </row>
    <row r="22" spans="1:8" ht="75">
      <c r="A22" s="53">
        <v>20</v>
      </c>
      <c r="B22" s="11" t="s">
        <v>1214</v>
      </c>
      <c r="C22" s="11">
        <v>1</v>
      </c>
      <c r="D22" s="11" t="s">
        <v>242</v>
      </c>
      <c r="E22" s="11"/>
      <c r="F22" s="11" t="s">
        <v>2701</v>
      </c>
      <c r="G22" s="11" t="s">
        <v>2700</v>
      </c>
      <c r="H22" s="11"/>
    </row>
    <row r="23" spans="1:8" ht="60">
      <c r="A23" s="53">
        <v>21</v>
      </c>
      <c r="B23" s="11" t="s">
        <v>1215</v>
      </c>
      <c r="C23" s="11">
        <v>9</v>
      </c>
      <c r="D23" s="11" t="s">
        <v>189</v>
      </c>
      <c r="E23" s="11"/>
      <c r="F23" s="11" t="s">
        <v>2702</v>
      </c>
      <c r="G23" s="11" t="s">
        <v>2786</v>
      </c>
      <c r="H23" s="11"/>
    </row>
    <row r="24" spans="1:8" ht="75">
      <c r="A24" s="53">
        <v>22</v>
      </c>
      <c r="B24" s="11" t="s">
        <v>275</v>
      </c>
      <c r="C24" s="11">
        <v>8</v>
      </c>
      <c r="D24" s="11" t="s">
        <v>160</v>
      </c>
      <c r="E24" s="11" t="s">
        <v>177</v>
      </c>
      <c r="F24" s="11" t="s">
        <v>2704</v>
      </c>
      <c r="G24" s="11" t="s">
        <v>2703</v>
      </c>
      <c r="H24" s="11"/>
    </row>
    <row r="25" spans="1:8" ht="60">
      <c r="A25" s="53">
        <v>23</v>
      </c>
      <c r="B25" s="11" t="s">
        <v>1216</v>
      </c>
      <c r="C25" s="11">
        <v>6</v>
      </c>
      <c r="D25" s="11" t="s">
        <v>242</v>
      </c>
      <c r="E25" s="11"/>
      <c r="F25" s="11" t="s">
        <v>2705</v>
      </c>
      <c r="G25" s="11" t="s">
        <v>2706</v>
      </c>
      <c r="H25" s="11"/>
    </row>
    <row r="26" spans="1:8" ht="30">
      <c r="A26" s="53">
        <v>24</v>
      </c>
      <c r="B26" s="11" t="s">
        <v>1217</v>
      </c>
      <c r="C26" s="11">
        <v>105</v>
      </c>
      <c r="D26" s="11" t="s">
        <v>242</v>
      </c>
      <c r="E26" s="11"/>
      <c r="F26" s="11" t="s">
        <v>2707</v>
      </c>
      <c r="G26" s="11" t="s">
        <v>2708</v>
      </c>
      <c r="H26" s="11"/>
    </row>
    <row r="27" spans="1:8" ht="30">
      <c r="A27" s="53">
        <v>25</v>
      </c>
      <c r="B27" s="11" t="s">
        <v>1218</v>
      </c>
      <c r="C27" s="11">
        <v>8</v>
      </c>
      <c r="D27" s="11" t="s">
        <v>160</v>
      </c>
      <c r="E27" s="11" t="s">
        <v>177</v>
      </c>
      <c r="F27" s="11" t="s">
        <v>2709</v>
      </c>
      <c r="G27" s="11" t="s">
        <v>2710</v>
      </c>
      <c r="H27" s="11"/>
    </row>
    <row r="28" spans="1:8">
      <c r="A28" s="53">
        <v>26</v>
      </c>
      <c r="B28" s="11" t="s">
        <v>1219</v>
      </c>
      <c r="C28" s="11">
        <v>9</v>
      </c>
      <c r="D28" s="11" t="s">
        <v>189</v>
      </c>
      <c r="E28" s="11"/>
      <c r="F28" s="11" t="s">
        <v>2711</v>
      </c>
      <c r="G28" s="11" t="s">
        <v>2712</v>
      </c>
      <c r="H28" s="11"/>
    </row>
    <row r="29" spans="1:8" ht="90">
      <c r="A29" s="53">
        <v>27</v>
      </c>
      <c r="B29" s="11" t="s">
        <v>1220</v>
      </c>
      <c r="C29" s="11">
        <v>1</v>
      </c>
      <c r="D29" s="11" t="s">
        <v>242</v>
      </c>
      <c r="E29" s="11"/>
      <c r="F29" s="11" t="s">
        <v>2713</v>
      </c>
      <c r="G29" s="11" t="s">
        <v>2714</v>
      </c>
      <c r="H29" s="11"/>
    </row>
    <row r="30" spans="1:8">
      <c r="A30" s="53">
        <v>28</v>
      </c>
      <c r="B30" s="11" t="s">
        <v>1221</v>
      </c>
      <c r="C30" s="11">
        <v>8</v>
      </c>
      <c r="D30" s="11" t="s">
        <v>160</v>
      </c>
      <c r="E30" s="11" t="s">
        <v>177</v>
      </c>
      <c r="F30" s="11" t="s">
        <v>2715</v>
      </c>
      <c r="G30" s="11" t="s">
        <v>2716</v>
      </c>
      <c r="H30" s="11"/>
    </row>
    <row r="31" spans="1:8" ht="30">
      <c r="A31" s="53">
        <v>29</v>
      </c>
      <c r="B31" s="11" t="s">
        <v>1222</v>
      </c>
      <c r="C31" s="11">
        <v>14</v>
      </c>
      <c r="D31" s="11" t="s">
        <v>189</v>
      </c>
      <c r="E31" s="11"/>
      <c r="F31" s="11" t="s">
        <v>2717</v>
      </c>
      <c r="G31" s="11" t="s">
        <v>2718</v>
      </c>
      <c r="H31" s="11"/>
    </row>
    <row r="32" spans="1:8" ht="60">
      <c r="A32" s="53">
        <v>30</v>
      </c>
      <c r="B32" s="11" t="s">
        <v>273</v>
      </c>
      <c r="C32" s="11">
        <v>12</v>
      </c>
      <c r="D32" s="11" t="s">
        <v>189</v>
      </c>
      <c r="E32" s="11"/>
      <c r="F32" s="11" t="s">
        <v>2719</v>
      </c>
      <c r="G32" s="11" t="s">
        <v>2720</v>
      </c>
      <c r="H32" s="11"/>
    </row>
    <row r="33" spans="1:8" ht="45">
      <c r="A33" s="53">
        <v>31</v>
      </c>
      <c r="B33" s="11" t="s">
        <v>432</v>
      </c>
      <c r="C33" s="11">
        <v>14</v>
      </c>
      <c r="D33" s="11" t="s">
        <v>189</v>
      </c>
      <c r="E33" s="11"/>
      <c r="F33" s="11" t="s">
        <v>2721</v>
      </c>
      <c r="G33" s="11" t="s">
        <v>2722</v>
      </c>
      <c r="H33" s="11"/>
    </row>
    <row r="34" spans="1:8" ht="120">
      <c r="A34" s="53">
        <v>32</v>
      </c>
      <c r="B34" s="11" t="s">
        <v>1223</v>
      </c>
      <c r="C34" s="11">
        <v>2</v>
      </c>
      <c r="D34" s="11" t="s">
        <v>242</v>
      </c>
      <c r="E34" s="11"/>
      <c r="F34" s="11" t="s">
        <v>2723</v>
      </c>
      <c r="G34" s="11" t="s">
        <v>2787</v>
      </c>
      <c r="H34" s="11"/>
    </row>
    <row r="35" spans="1:8" ht="90">
      <c r="A35" s="53">
        <v>33</v>
      </c>
      <c r="B35" s="11" t="s">
        <v>1224</v>
      </c>
      <c r="C35" s="11">
        <v>1</v>
      </c>
      <c r="D35" s="11" t="s">
        <v>242</v>
      </c>
      <c r="E35" s="11"/>
      <c r="F35" s="11" t="s">
        <v>2724</v>
      </c>
      <c r="G35" s="11" t="s">
        <v>2725</v>
      </c>
      <c r="H35" s="11"/>
    </row>
    <row r="36" spans="1:8" ht="90">
      <c r="A36" s="53">
        <v>34</v>
      </c>
      <c r="B36" s="11" t="s">
        <v>1225</v>
      </c>
      <c r="C36" s="11">
        <v>1</v>
      </c>
      <c r="D36" s="11" t="s">
        <v>242</v>
      </c>
      <c r="E36" s="11"/>
      <c r="F36" s="11" t="s">
        <v>2726</v>
      </c>
      <c r="G36" s="11" t="s">
        <v>2727</v>
      </c>
      <c r="H36" s="11"/>
    </row>
    <row r="37" spans="1:8" ht="45">
      <c r="A37" s="53">
        <v>35</v>
      </c>
      <c r="B37" s="11" t="s">
        <v>422</v>
      </c>
      <c r="C37" s="11">
        <v>14</v>
      </c>
      <c r="D37" s="11" t="s">
        <v>242</v>
      </c>
      <c r="E37" s="11"/>
      <c r="F37" s="11" t="s">
        <v>2728</v>
      </c>
      <c r="G37" s="11" t="s">
        <v>2729</v>
      </c>
      <c r="H37" s="11"/>
    </row>
    <row r="38" spans="1:8" ht="30">
      <c r="A38" s="53">
        <v>36</v>
      </c>
      <c r="B38" s="11" t="s">
        <v>1226</v>
      </c>
      <c r="C38" s="11">
        <v>2</v>
      </c>
      <c r="D38" s="11" t="s">
        <v>242</v>
      </c>
      <c r="E38" s="11"/>
      <c r="F38" s="11" t="s">
        <v>2730</v>
      </c>
      <c r="G38" s="11" t="s">
        <v>2731</v>
      </c>
      <c r="H38" s="11"/>
    </row>
    <row r="39" spans="1:8" ht="165">
      <c r="A39" s="53">
        <v>37</v>
      </c>
      <c r="B39" s="11" t="s">
        <v>1227</v>
      </c>
      <c r="C39" s="11">
        <v>1</v>
      </c>
      <c r="D39" s="11" t="s">
        <v>242</v>
      </c>
      <c r="E39" s="11"/>
      <c r="F39" s="11" t="s">
        <v>2732</v>
      </c>
      <c r="G39" s="11" t="s">
        <v>2733</v>
      </c>
      <c r="H39" s="11"/>
    </row>
    <row r="40" spans="1:8" ht="30">
      <c r="A40" s="53">
        <v>38</v>
      </c>
      <c r="B40" s="11" t="s">
        <v>1228</v>
      </c>
      <c r="C40" s="11">
        <v>8</v>
      </c>
      <c r="D40" s="11" t="s">
        <v>160</v>
      </c>
      <c r="E40" s="11" t="s">
        <v>177</v>
      </c>
      <c r="F40" s="11" t="s">
        <v>2734</v>
      </c>
      <c r="G40" s="11" t="s">
        <v>2735</v>
      </c>
      <c r="H40" s="11"/>
    </row>
    <row r="41" spans="1:8" ht="45">
      <c r="A41" s="53">
        <v>39</v>
      </c>
      <c r="B41" s="11" t="s">
        <v>394</v>
      </c>
      <c r="C41" s="11">
        <v>30</v>
      </c>
      <c r="D41" s="11" t="s">
        <v>242</v>
      </c>
      <c r="E41" s="11"/>
      <c r="F41" s="11" t="s">
        <v>2736</v>
      </c>
      <c r="G41" s="11" t="s">
        <v>2737</v>
      </c>
      <c r="H41" s="11"/>
    </row>
    <row r="42" spans="1:8" ht="45">
      <c r="A42" s="53">
        <v>40</v>
      </c>
      <c r="B42" s="11" t="s">
        <v>1229</v>
      </c>
      <c r="C42" s="11">
        <v>3</v>
      </c>
      <c r="D42" s="11" t="s">
        <v>242</v>
      </c>
      <c r="E42" s="11"/>
      <c r="F42" s="11" t="s">
        <v>2738</v>
      </c>
      <c r="G42" s="11" t="s">
        <v>2739</v>
      </c>
      <c r="H42" s="11"/>
    </row>
    <row r="43" spans="1:8" ht="45">
      <c r="A43" s="53">
        <v>41</v>
      </c>
      <c r="B43" s="11" t="s">
        <v>1116</v>
      </c>
      <c r="C43" s="11">
        <v>14</v>
      </c>
      <c r="D43" s="11" t="s">
        <v>189</v>
      </c>
      <c r="E43" s="11"/>
      <c r="F43" s="11" t="s">
        <v>2740</v>
      </c>
      <c r="G43" s="11" t="s">
        <v>2746</v>
      </c>
      <c r="H43" s="11"/>
    </row>
    <row r="44" spans="1:8" ht="60">
      <c r="A44" s="53">
        <v>42</v>
      </c>
      <c r="B44" s="11" t="s">
        <v>1230</v>
      </c>
      <c r="C44" s="11">
        <v>9</v>
      </c>
      <c r="D44" s="11" t="s">
        <v>189</v>
      </c>
      <c r="E44" s="11"/>
      <c r="F44" s="11" t="s">
        <v>2747</v>
      </c>
      <c r="G44" s="11" t="s">
        <v>2748</v>
      </c>
      <c r="H44" s="11"/>
    </row>
    <row r="45" spans="1:8" ht="75">
      <c r="A45" s="53">
        <v>43</v>
      </c>
      <c r="B45" s="11" t="s">
        <v>1231</v>
      </c>
      <c r="C45" s="11">
        <v>1</v>
      </c>
      <c r="D45" s="11" t="s">
        <v>242</v>
      </c>
      <c r="E45" s="11"/>
      <c r="F45" s="11" t="s">
        <v>2749</v>
      </c>
      <c r="G45" s="11" t="s">
        <v>2750</v>
      </c>
      <c r="H45" s="11"/>
    </row>
    <row r="46" spans="1:8" ht="60">
      <c r="A46" s="53">
        <v>44</v>
      </c>
      <c r="B46" s="11" t="s">
        <v>1232</v>
      </c>
      <c r="C46" s="11">
        <v>3</v>
      </c>
      <c r="D46" s="11" t="s">
        <v>242</v>
      </c>
      <c r="E46" s="11"/>
      <c r="F46" s="11" t="s">
        <v>2751</v>
      </c>
      <c r="G46" s="11" t="s">
        <v>2752</v>
      </c>
      <c r="H46" s="11"/>
    </row>
    <row r="47" spans="1:8" ht="45">
      <c r="A47" s="53">
        <v>45</v>
      </c>
      <c r="B47" s="11" t="s">
        <v>1233</v>
      </c>
      <c r="C47" s="11">
        <v>14</v>
      </c>
      <c r="D47" s="11" t="s">
        <v>189</v>
      </c>
      <c r="E47" s="11"/>
      <c r="F47" s="11" t="s">
        <v>2753</v>
      </c>
      <c r="G47" s="11" t="s">
        <v>2754</v>
      </c>
      <c r="H47" s="11"/>
    </row>
    <row r="48" spans="1:8" ht="75">
      <c r="A48" s="53">
        <v>46</v>
      </c>
      <c r="B48" s="11" t="s">
        <v>1234</v>
      </c>
      <c r="C48" s="11">
        <v>1</v>
      </c>
      <c r="D48" s="11" t="s">
        <v>242</v>
      </c>
      <c r="E48" s="11"/>
      <c r="F48" s="11" t="s">
        <v>2755</v>
      </c>
      <c r="G48" s="11" t="s">
        <v>2756</v>
      </c>
      <c r="H48" s="11"/>
    </row>
    <row r="49" spans="1:9" ht="60">
      <c r="A49" s="53">
        <v>47</v>
      </c>
      <c r="B49" s="11" t="s">
        <v>522</v>
      </c>
      <c r="C49" s="11">
        <v>15</v>
      </c>
      <c r="D49" s="11" t="s">
        <v>242</v>
      </c>
      <c r="E49" s="11"/>
      <c r="F49" s="11" t="s">
        <v>2741</v>
      </c>
      <c r="G49" s="11" t="s">
        <v>2757</v>
      </c>
      <c r="H49" s="11"/>
    </row>
    <row r="50" spans="1:9" ht="60">
      <c r="A50" s="53">
        <v>48</v>
      </c>
      <c r="B50" s="11" t="s">
        <v>684</v>
      </c>
      <c r="C50" s="11">
        <v>14</v>
      </c>
      <c r="D50" s="11" t="s">
        <v>189</v>
      </c>
      <c r="E50" s="11" t="s">
        <v>1265</v>
      </c>
      <c r="F50" s="11" t="s">
        <v>2758</v>
      </c>
      <c r="G50" s="11" t="s">
        <v>2759</v>
      </c>
      <c r="H50" s="11"/>
    </row>
    <row r="51" spans="1:9">
      <c r="A51" s="53">
        <v>49</v>
      </c>
      <c r="B51" s="11" t="s">
        <v>1235</v>
      </c>
      <c r="C51" s="11">
        <v>14</v>
      </c>
      <c r="D51" s="11" t="s">
        <v>189</v>
      </c>
      <c r="E51" s="11"/>
      <c r="F51" s="11" t="s">
        <v>2760</v>
      </c>
      <c r="G51" s="11" t="s">
        <v>2693</v>
      </c>
      <c r="H51" s="11"/>
    </row>
    <row r="52" spans="1:9" ht="45">
      <c r="A52" s="53">
        <v>50</v>
      </c>
      <c r="B52" s="11" t="s">
        <v>1236</v>
      </c>
      <c r="C52" s="11">
        <v>10</v>
      </c>
      <c r="D52" s="11" t="s">
        <v>242</v>
      </c>
      <c r="E52" s="11"/>
      <c r="F52" s="11" t="s">
        <v>2742</v>
      </c>
      <c r="G52" s="11" t="s">
        <v>2761</v>
      </c>
      <c r="H52" s="11"/>
    </row>
    <row r="53" spans="1:9" ht="75">
      <c r="A53" s="53">
        <v>51</v>
      </c>
      <c r="B53" s="11" t="s">
        <v>1237</v>
      </c>
      <c r="C53" s="11">
        <v>1</v>
      </c>
      <c r="D53" s="11" t="s">
        <v>242</v>
      </c>
      <c r="E53" s="11"/>
      <c r="F53" s="11" t="s">
        <v>2762</v>
      </c>
      <c r="G53" s="11" t="s">
        <v>2763</v>
      </c>
      <c r="H53" s="11"/>
    </row>
    <row r="54" spans="1:9" ht="45">
      <c r="A54" s="53">
        <v>52</v>
      </c>
      <c r="B54" s="11" t="s">
        <v>1238</v>
      </c>
      <c r="C54" s="11">
        <v>5</v>
      </c>
      <c r="D54" s="11" t="s">
        <v>242</v>
      </c>
      <c r="E54" s="11"/>
      <c r="F54" s="11" t="s">
        <v>2764</v>
      </c>
      <c r="G54" s="11" t="s">
        <v>4818</v>
      </c>
      <c r="H54" s="11"/>
    </row>
    <row r="55" spans="1:9" ht="30">
      <c r="A55" s="53">
        <v>53</v>
      </c>
      <c r="B55" s="11" t="s">
        <v>1239</v>
      </c>
      <c r="C55" s="11">
        <v>1</v>
      </c>
      <c r="D55" s="11" t="s">
        <v>242</v>
      </c>
      <c r="E55" s="11"/>
      <c r="F55" s="11" t="s">
        <v>2765</v>
      </c>
      <c r="G55" s="11" t="s">
        <v>4819</v>
      </c>
      <c r="H55" s="11"/>
    </row>
    <row r="56" spans="1:9" ht="75">
      <c r="A56" s="53">
        <v>54</v>
      </c>
      <c r="B56" s="11" t="s">
        <v>1240</v>
      </c>
      <c r="C56" s="11">
        <v>1</v>
      </c>
      <c r="D56" s="11" t="s">
        <v>242</v>
      </c>
      <c r="E56" s="11"/>
      <c r="F56" s="11" t="s">
        <v>2768</v>
      </c>
      <c r="G56" s="11" t="s">
        <v>2769</v>
      </c>
      <c r="H56" s="11"/>
    </row>
    <row r="57" spans="1:9" ht="45">
      <c r="A57" s="59">
        <v>55</v>
      </c>
      <c r="B57" s="59" t="s">
        <v>1241</v>
      </c>
      <c r="C57" s="59">
        <v>8</v>
      </c>
      <c r="D57" s="59" t="s">
        <v>6784</v>
      </c>
      <c r="E57" s="59"/>
      <c r="F57" s="59" t="s">
        <v>2766</v>
      </c>
      <c r="G57" s="59" t="s">
        <v>2770</v>
      </c>
      <c r="H57" s="59"/>
      <c r="I57" s="31" t="s">
        <v>7017</v>
      </c>
    </row>
    <row r="58" spans="1:9" ht="30">
      <c r="A58" s="53">
        <v>56</v>
      </c>
      <c r="B58" s="11" t="s">
        <v>1005</v>
      </c>
      <c r="C58" s="11">
        <v>8</v>
      </c>
      <c r="D58" s="11" t="s">
        <v>160</v>
      </c>
      <c r="E58" s="11" t="s">
        <v>177</v>
      </c>
      <c r="F58" s="11" t="s">
        <v>2771</v>
      </c>
      <c r="G58" s="11" t="s">
        <v>2772</v>
      </c>
      <c r="H58" s="11"/>
    </row>
    <row r="59" spans="1:9" ht="45">
      <c r="A59" s="53">
        <v>57</v>
      </c>
      <c r="B59" s="11" t="s">
        <v>1242</v>
      </c>
      <c r="C59" s="11">
        <v>1</v>
      </c>
      <c r="D59" s="11" t="s">
        <v>242</v>
      </c>
      <c r="E59" s="11"/>
      <c r="F59" s="11" t="s">
        <v>2767</v>
      </c>
      <c r="G59" s="11" t="s">
        <v>2773</v>
      </c>
      <c r="H59" s="11"/>
    </row>
    <row r="60" spans="1:9" ht="135">
      <c r="A60" s="53">
        <v>58</v>
      </c>
      <c r="B60" s="11" t="s">
        <v>1243</v>
      </c>
      <c r="C60" s="11">
        <v>1</v>
      </c>
      <c r="D60" s="11" t="s">
        <v>242</v>
      </c>
      <c r="E60" s="11"/>
      <c r="F60" s="11" t="s">
        <v>2774</v>
      </c>
      <c r="G60" s="11" t="s">
        <v>2775</v>
      </c>
      <c r="H60" s="11"/>
    </row>
    <row r="61" spans="1:9" ht="45">
      <c r="A61" s="53">
        <v>59</v>
      </c>
      <c r="B61" s="11" t="s">
        <v>1244</v>
      </c>
      <c r="C61" s="11">
        <v>2</v>
      </c>
      <c r="D61" s="11" t="s">
        <v>242</v>
      </c>
      <c r="E61" s="11"/>
      <c r="F61" s="11" t="s">
        <v>2776</v>
      </c>
      <c r="G61" s="11" t="s">
        <v>2777</v>
      </c>
      <c r="H61" s="11"/>
    </row>
    <row r="62" spans="1:9" ht="30">
      <c r="A62" s="53">
        <v>60</v>
      </c>
      <c r="B62" s="11" t="s">
        <v>1245</v>
      </c>
      <c r="C62" s="11">
        <v>20</v>
      </c>
      <c r="D62" s="11" t="s">
        <v>242</v>
      </c>
      <c r="E62" s="11"/>
      <c r="F62" s="11" t="s">
        <v>2778</v>
      </c>
      <c r="G62" s="11" t="s">
        <v>2779</v>
      </c>
      <c r="H62" s="11"/>
    </row>
    <row r="63" spans="1:9" ht="30">
      <c r="A63" s="53">
        <v>61</v>
      </c>
      <c r="B63" s="11" t="s">
        <v>1246</v>
      </c>
      <c r="C63" s="11">
        <v>10</v>
      </c>
      <c r="D63" s="11" t="s">
        <v>242</v>
      </c>
      <c r="E63" s="11"/>
      <c r="F63" s="11" t="s">
        <v>2780</v>
      </c>
      <c r="G63" s="11" t="s">
        <v>2783</v>
      </c>
      <c r="H63" s="11"/>
    </row>
    <row r="64" spans="1:9" ht="30">
      <c r="A64" s="53">
        <v>62</v>
      </c>
      <c r="B64" s="11" t="s">
        <v>1247</v>
      </c>
      <c r="C64" s="11">
        <v>4</v>
      </c>
      <c r="D64" s="11" t="s">
        <v>242</v>
      </c>
      <c r="E64" s="11"/>
      <c r="F64" s="11" t="s">
        <v>2781</v>
      </c>
      <c r="G64" s="11" t="s">
        <v>2784</v>
      </c>
      <c r="H64" s="11"/>
    </row>
    <row r="65" spans="1:8">
      <c r="A65" s="53">
        <v>63</v>
      </c>
      <c r="B65" s="11" t="s">
        <v>1248</v>
      </c>
      <c r="C65" s="11">
        <v>1</v>
      </c>
      <c r="D65" s="11" t="s">
        <v>242</v>
      </c>
      <c r="E65" s="11"/>
      <c r="F65" s="11" t="s">
        <v>2745</v>
      </c>
      <c r="G65" s="11" t="s">
        <v>2782</v>
      </c>
      <c r="H65" s="11"/>
    </row>
    <row r="66" spans="1:8" ht="30">
      <c r="A66" s="53">
        <v>64</v>
      </c>
      <c r="B66" s="11" t="s">
        <v>79</v>
      </c>
      <c r="C66" s="11">
        <v>4</v>
      </c>
      <c r="D66" s="11" t="s">
        <v>242</v>
      </c>
      <c r="E66" s="11"/>
      <c r="F66" s="11" t="s">
        <v>1715</v>
      </c>
      <c r="G66" s="11" t="s">
        <v>2785</v>
      </c>
      <c r="H66" s="11"/>
    </row>
    <row r="67" spans="1:8">
      <c r="A67" s="53">
        <v>65</v>
      </c>
      <c r="B67" s="11" t="s">
        <v>1182</v>
      </c>
      <c r="C67" s="11">
        <v>12</v>
      </c>
      <c r="D67" s="11" t="s">
        <v>189</v>
      </c>
      <c r="E67" s="11" t="s">
        <v>5576</v>
      </c>
      <c r="F67" s="11" t="s">
        <v>1688</v>
      </c>
      <c r="G67" s="11" t="s">
        <v>1689</v>
      </c>
      <c r="H67" s="11"/>
    </row>
    <row r="68" spans="1:8" ht="30">
      <c r="A68" s="53">
        <v>66</v>
      </c>
      <c r="B68" s="11" t="s">
        <v>1183</v>
      </c>
      <c r="C68" s="11">
        <v>30</v>
      </c>
      <c r="D68" s="11" t="s">
        <v>242</v>
      </c>
      <c r="E68" s="11" t="s">
        <v>5576</v>
      </c>
      <c r="F68" s="11" t="s">
        <v>1690</v>
      </c>
      <c r="G68" s="11" t="s">
        <v>1691</v>
      </c>
      <c r="H68" s="11"/>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046A-4387-49F8-8993-5F3195EC0527}">
  <sheetPr codeName="Sheet57"/>
  <dimension ref="A1:H21"/>
  <sheetViews>
    <sheetView topLeftCell="A22" workbookViewId="0">
      <selection activeCell="C22" sqref="C22"/>
    </sheetView>
  </sheetViews>
  <sheetFormatPr defaultColWidth="32.140625" defaultRowHeight="15"/>
  <cols>
    <col min="1" max="1" width="7.140625" style="1" bestFit="1" customWidth="1"/>
    <col min="2" max="2" width="28.140625" style="1" bestFit="1" customWidth="1"/>
    <col min="3" max="3" width="4.5703125" style="1" bestFit="1" customWidth="1"/>
    <col min="4" max="4" width="9" style="1" bestFit="1" customWidth="1"/>
    <col min="5" max="5" width="24.42578125" style="1" bestFit="1" customWidth="1"/>
    <col min="6" max="6" width="48.140625" style="1" bestFit="1" customWidth="1"/>
    <col min="7" max="7" width="57.42578125" style="1" customWidth="1"/>
    <col min="8" max="16382" width="32.140625" style="1"/>
    <col min="16383" max="16383" width="1.7109375" style="1" customWidth="1"/>
    <col min="16384" max="16384" width="17.7109375" style="1" customWidth="1"/>
  </cols>
  <sheetData>
    <row r="1" spans="1:8">
      <c r="A1" s="3" t="s">
        <v>238</v>
      </c>
      <c r="B1" s="3"/>
      <c r="C1" s="3"/>
      <c r="D1" s="3"/>
      <c r="E1" s="3"/>
      <c r="F1" s="3"/>
      <c r="G1" s="3"/>
      <c r="H1" s="3"/>
    </row>
    <row r="2" spans="1:8">
      <c r="A2" s="10" t="s">
        <v>350</v>
      </c>
      <c r="B2" s="10" t="s">
        <v>156</v>
      </c>
      <c r="C2" s="10" t="s">
        <v>157</v>
      </c>
      <c r="D2" s="10" t="s">
        <v>239</v>
      </c>
      <c r="E2" s="10" t="s">
        <v>159</v>
      </c>
      <c r="F2" s="10" t="s">
        <v>1684</v>
      </c>
      <c r="G2" s="10" t="s">
        <v>1685</v>
      </c>
      <c r="H2" s="10" t="s">
        <v>5371</v>
      </c>
    </row>
    <row r="3" spans="1:8">
      <c r="A3" s="59">
        <v>1</v>
      </c>
      <c r="B3" s="59" t="s">
        <v>240</v>
      </c>
      <c r="C3" s="59">
        <v>8</v>
      </c>
      <c r="D3" s="59" t="s">
        <v>160</v>
      </c>
      <c r="E3" s="59" t="s">
        <v>177</v>
      </c>
      <c r="F3" s="11" t="s">
        <v>1686</v>
      </c>
      <c r="G3" s="11" t="s">
        <v>1687</v>
      </c>
      <c r="H3" s="11" t="s">
        <v>5382</v>
      </c>
    </row>
    <row r="4" spans="1:8" ht="30">
      <c r="A4" s="59">
        <v>2</v>
      </c>
      <c r="B4" s="59" t="s">
        <v>241</v>
      </c>
      <c r="C4" s="59">
        <v>14</v>
      </c>
      <c r="D4" s="59" t="s">
        <v>242</v>
      </c>
      <c r="E4" s="59"/>
      <c r="F4" s="11" t="s">
        <v>2566</v>
      </c>
      <c r="G4" s="11" t="s">
        <v>2567</v>
      </c>
      <c r="H4" s="11" t="s">
        <v>5384</v>
      </c>
    </row>
    <row r="5" spans="1:8" ht="225">
      <c r="A5" s="59">
        <v>3</v>
      </c>
      <c r="B5" s="59" t="s">
        <v>1201</v>
      </c>
      <c r="C5" s="59">
        <v>2</v>
      </c>
      <c r="D5" s="59" t="s">
        <v>242</v>
      </c>
      <c r="E5" s="59"/>
      <c r="F5" s="11" t="s">
        <v>2568</v>
      </c>
      <c r="G5" s="11" t="s">
        <v>2569</v>
      </c>
      <c r="H5" s="11"/>
    </row>
    <row r="6" spans="1:8">
      <c r="A6" s="11">
        <v>4</v>
      </c>
      <c r="B6" s="11" t="s">
        <v>1202</v>
      </c>
      <c r="C6" s="11">
        <v>5</v>
      </c>
      <c r="D6" s="11" t="s">
        <v>189</v>
      </c>
      <c r="E6" s="11"/>
      <c r="F6" s="11" t="s">
        <v>2570</v>
      </c>
      <c r="G6" s="11" t="s">
        <v>2570</v>
      </c>
      <c r="H6" s="11"/>
    </row>
    <row r="7" spans="1:8" ht="45">
      <c r="A7" s="11">
        <v>5</v>
      </c>
      <c r="B7" s="11" t="s">
        <v>1209</v>
      </c>
      <c r="C7" s="11">
        <v>6</v>
      </c>
      <c r="D7" s="11" t="s">
        <v>242</v>
      </c>
      <c r="E7" s="11"/>
      <c r="F7" s="11" t="s">
        <v>2572</v>
      </c>
      <c r="G7" s="11" t="s">
        <v>2571</v>
      </c>
      <c r="H7" s="11"/>
    </row>
    <row r="8" spans="1:8" ht="30">
      <c r="A8" s="11">
        <v>6</v>
      </c>
      <c r="B8" s="11" t="s">
        <v>424</v>
      </c>
      <c r="C8" s="11">
        <v>8</v>
      </c>
      <c r="D8" s="11" t="s">
        <v>160</v>
      </c>
      <c r="E8" s="11" t="s">
        <v>177</v>
      </c>
      <c r="F8" s="11" t="s">
        <v>2573</v>
      </c>
      <c r="G8" s="11" t="s">
        <v>2574</v>
      </c>
      <c r="H8" s="11"/>
    </row>
    <row r="9" spans="1:8" ht="30">
      <c r="A9" s="11">
        <v>7</v>
      </c>
      <c r="B9" s="11" t="s">
        <v>425</v>
      </c>
      <c r="C9" s="11">
        <v>8</v>
      </c>
      <c r="D9" s="11" t="s">
        <v>160</v>
      </c>
      <c r="E9" s="11" t="s">
        <v>177</v>
      </c>
      <c r="F9" s="11" t="s">
        <v>2521</v>
      </c>
      <c r="G9" s="11" t="s">
        <v>2575</v>
      </c>
      <c r="H9" s="11"/>
    </row>
    <row r="10" spans="1:8" ht="30">
      <c r="A10" s="11">
        <v>8</v>
      </c>
      <c r="B10" s="11" t="s">
        <v>426</v>
      </c>
      <c r="C10" s="11">
        <v>2</v>
      </c>
      <c r="D10" s="11" t="s">
        <v>189</v>
      </c>
      <c r="E10" s="11"/>
      <c r="F10" s="11" t="s">
        <v>2523</v>
      </c>
      <c r="G10" s="11" t="s">
        <v>2576</v>
      </c>
      <c r="H10" s="11"/>
    </row>
    <row r="11" spans="1:8" ht="30">
      <c r="A11" s="11">
        <v>9</v>
      </c>
      <c r="B11" s="11" t="s">
        <v>428</v>
      </c>
      <c r="C11" s="11">
        <v>14</v>
      </c>
      <c r="D11" s="11" t="s">
        <v>189</v>
      </c>
      <c r="E11" s="11"/>
      <c r="F11" s="11" t="s">
        <v>2527</v>
      </c>
      <c r="G11" s="11" t="s">
        <v>2577</v>
      </c>
      <c r="H11" s="11"/>
    </row>
    <row r="12" spans="1:8" ht="30">
      <c r="A12" s="11">
        <v>10</v>
      </c>
      <c r="B12" s="11" t="s">
        <v>1203</v>
      </c>
      <c r="C12" s="11">
        <v>18</v>
      </c>
      <c r="D12" s="11" t="s">
        <v>189</v>
      </c>
      <c r="E12" s="11"/>
      <c r="F12" s="11" t="s">
        <v>2578</v>
      </c>
      <c r="G12" s="11" t="s">
        <v>2579</v>
      </c>
      <c r="H12" s="11"/>
    </row>
    <row r="13" spans="1:8" ht="30">
      <c r="A13" s="11">
        <v>11</v>
      </c>
      <c r="B13" s="11" t="s">
        <v>1204</v>
      </c>
      <c r="C13" s="11">
        <v>6</v>
      </c>
      <c r="D13" s="11" t="s">
        <v>189</v>
      </c>
      <c r="E13" s="11"/>
      <c r="F13" s="11" t="s">
        <v>2580</v>
      </c>
      <c r="G13" s="11" t="s">
        <v>2581</v>
      </c>
      <c r="H13" s="11"/>
    </row>
    <row r="14" spans="1:8" ht="30">
      <c r="A14" s="11">
        <v>12</v>
      </c>
      <c r="B14" s="11" t="s">
        <v>1205</v>
      </c>
      <c r="C14" s="11">
        <v>14</v>
      </c>
      <c r="D14" s="11" t="s">
        <v>189</v>
      </c>
      <c r="E14" s="11"/>
      <c r="F14" s="11" t="s">
        <v>2582</v>
      </c>
      <c r="G14" s="11" t="s">
        <v>2583</v>
      </c>
      <c r="H14" s="11"/>
    </row>
    <row r="15" spans="1:8">
      <c r="A15" s="11">
        <v>13</v>
      </c>
      <c r="B15" s="11" t="s">
        <v>1206</v>
      </c>
      <c r="C15" s="11">
        <v>35</v>
      </c>
      <c r="D15" s="11" t="s">
        <v>242</v>
      </c>
      <c r="E15" s="11"/>
      <c r="F15" s="11" t="s">
        <v>2584</v>
      </c>
      <c r="G15" s="11" t="s">
        <v>2585</v>
      </c>
      <c r="H15" s="11"/>
    </row>
    <row r="16" spans="1:8" ht="45">
      <c r="A16" s="11">
        <v>14</v>
      </c>
      <c r="B16" s="11" t="s">
        <v>1207</v>
      </c>
      <c r="C16" s="11">
        <v>3</v>
      </c>
      <c r="D16" s="11" t="s">
        <v>242</v>
      </c>
      <c r="E16" s="11"/>
      <c r="F16" s="11" t="s">
        <v>2586</v>
      </c>
      <c r="G16" s="11" t="s">
        <v>2587</v>
      </c>
      <c r="H16" s="11"/>
    </row>
    <row r="17" spans="1:8" ht="30">
      <c r="A17" s="11">
        <v>15</v>
      </c>
      <c r="B17" s="11" t="s">
        <v>89</v>
      </c>
      <c r="C17" s="11">
        <v>3</v>
      </c>
      <c r="D17" s="11" t="s">
        <v>242</v>
      </c>
      <c r="E17" s="11"/>
      <c r="F17" s="11" t="s">
        <v>2588</v>
      </c>
      <c r="G17" s="11" t="s">
        <v>4530</v>
      </c>
      <c r="H17" s="11"/>
    </row>
    <row r="18" spans="1:8" ht="30">
      <c r="A18" s="11">
        <v>16</v>
      </c>
      <c r="B18" s="11" t="s">
        <v>1208</v>
      </c>
      <c r="C18" s="11">
        <v>10</v>
      </c>
      <c r="D18" s="11" t="s">
        <v>242</v>
      </c>
      <c r="E18" s="11"/>
      <c r="F18" s="11" t="s">
        <v>2589</v>
      </c>
      <c r="G18" s="11" t="s">
        <v>2590</v>
      </c>
      <c r="H18" s="11"/>
    </row>
    <row r="19" spans="1:8" ht="30">
      <c r="A19" s="11">
        <v>17</v>
      </c>
      <c r="B19" s="11" t="s">
        <v>419</v>
      </c>
      <c r="C19" s="11">
        <v>2</v>
      </c>
      <c r="D19" s="11" t="s">
        <v>242</v>
      </c>
      <c r="E19" s="11"/>
      <c r="F19" s="11" t="s">
        <v>2591</v>
      </c>
      <c r="G19" s="11" t="s">
        <v>2592</v>
      </c>
      <c r="H19" s="11"/>
    </row>
    <row r="20" spans="1:8">
      <c r="A20" s="11">
        <v>18</v>
      </c>
      <c r="B20" s="11" t="s">
        <v>1182</v>
      </c>
      <c r="C20" s="11">
        <v>12</v>
      </c>
      <c r="D20" s="11" t="s">
        <v>189</v>
      </c>
      <c r="E20" s="11" t="s">
        <v>5576</v>
      </c>
      <c r="F20" s="11" t="s">
        <v>1688</v>
      </c>
      <c r="G20" s="11" t="s">
        <v>1689</v>
      </c>
      <c r="H20" s="11"/>
    </row>
    <row r="21" spans="1:8" ht="30">
      <c r="A21" s="11">
        <v>19</v>
      </c>
      <c r="B21" s="11" t="s">
        <v>1183</v>
      </c>
      <c r="C21" s="11">
        <v>30</v>
      </c>
      <c r="D21" s="11" t="s">
        <v>242</v>
      </c>
      <c r="E21" s="11" t="s">
        <v>5576</v>
      </c>
      <c r="F21" s="11" t="s">
        <v>1690</v>
      </c>
      <c r="G21" s="11" t="s">
        <v>1691</v>
      </c>
      <c r="H21" s="11"/>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CC157-4B80-43F9-8A2C-575F6CE62ED9}">
  <sheetPr codeName="Sheet51"/>
  <dimension ref="A1:H9"/>
  <sheetViews>
    <sheetView workbookViewId="0">
      <selection activeCell="C22" sqref="C22"/>
    </sheetView>
  </sheetViews>
  <sheetFormatPr defaultColWidth="32.140625" defaultRowHeight="15"/>
  <cols>
    <col min="1" max="1" width="7.140625" style="1" bestFit="1" customWidth="1"/>
    <col min="2" max="2" width="12.140625" style="1" bestFit="1" customWidth="1"/>
    <col min="3" max="3" width="4.5703125" style="1" bestFit="1" customWidth="1"/>
    <col min="4" max="4" width="9" style="1" bestFit="1" customWidth="1"/>
    <col min="5" max="5" width="24.42578125" style="1" bestFit="1" customWidth="1"/>
    <col min="6" max="6" width="19.5703125" style="1" bestFit="1" customWidth="1"/>
    <col min="7" max="7" width="55.140625" style="1" bestFit="1" customWidth="1"/>
    <col min="8" max="8" width="5.140625" style="1" bestFit="1" customWidth="1"/>
    <col min="9" max="16382" width="32.140625" style="1"/>
    <col min="16383" max="16383" width="1.7109375" style="1" customWidth="1"/>
    <col min="16384" max="16384" width="17.7109375" style="1" customWidth="1"/>
  </cols>
  <sheetData>
    <row r="1" spans="1:8">
      <c r="A1" s="3" t="s">
        <v>238</v>
      </c>
      <c r="B1" s="3"/>
      <c r="C1" s="3"/>
      <c r="D1" s="3"/>
      <c r="E1" s="3"/>
      <c r="F1" s="3"/>
      <c r="G1" s="3"/>
      <c r="H1" s="3"/>
    </row>
    <row r="2" spans="1:8">
      <c r="A2" s="10" t="s">
        <v>350</v>
      </c>
      <c r="B2" s="10" t="s">
        <v>156</v>
      </c>
      <c r="C2" s="10" t="s">
        <v>157</v>
      </c>
      <c r="D2" s="10" t="s">
        <v>239</v>
      </c>
      <c r="E2" s="10" t="s">
        <v>159</v>
      </c>
      <c r="F2" s="10" t="s">
        <v>1684</v>
      </c>
      <c r="G2" s="10" t="s">
        <v>1685</v>
      </c>
      <c r="H2" s="10" t="s">
        <v>5371</v>
      </c>
    </row>
    <row r="3" spans="1:8">
      <c r="A3" s="11">
        <v>1</v>
      </c>
      <c r="B3" s="11" t="s">
        <v>724</v>
      </c>
      <c r="C3" s="11">
        <v>8</v>
      </c>
      <c r="D3" s="11" t="s">
        <v>160</v>
      </c>
      <c r="E3" s="11" t="s">
        <v>177</v>
      </c>
      <c r="F3" s="11" t="s">
        <v>1686</v>
      </c>
      <c r="G3" s="11" t="s">
        <v>1687</v>
      </c>
      <c r="H3" s="11" t="s">
        <v>5382</v>
      </c>
    </row>
    <row r="4" spans="1:8">
      <c r="A4" s="11">
        <v>2</v>
      </c>
      <c r="B4" s="11" t="s">
        <v>78</v>
      </c>
      <c r="C4" s="11">
        <v>4</v>
      </c>
      <c r="D4" s="11" t="s">
        <v>242</v>
      </c>
      <c r="E4" s="11"/>
      <c r="F4" s="11" t="s">
        <v>1720</v>
      </c>
      <c r="G4" s="11" t="s">
        <v>2593</v>
      </c>
      <c r="H4" s="11"/>
    </row>
    <row r="5" spans="1:8" ht="30">
      <c r="A5" s="11">
        <v>3</v>
      </c>
      <c r="B5" s="11" t="s">
        <v>151</v>
      </c>
      <c r="C5" s="11">
        <v>7</v>
      </c>
      <c r="D5" s="11" t="s">
        <v>158</v>
      </c>
      <c r="E5" s="11"/>
      <c r="F5" s="11" t="s">
        <v>1694</v>
      </c>
      <c r="G5" s="11" t="s">
        <v>2788</v>
      </c>
      <c r="H5" s="11" t="s">
        <v>5384</v>
      </c>
    </row>
    <row r="6" spans="1:8">
      <c r="A6" s="11">
        <v>4</v>
      </c>
      <c r="B6" s="11" t="s">
        <v>368</v>
      </c>
      <c r="C6" s="11">
        <v>2</v>
      </c>
      <c r="D6" s="11" t="s">
        <v>242</v>
      </c>
      <c r="E6" s="11"/>
      <c r="F6" s="11" t="s">
        <v>2594</v>
      </c>
      <c r="G6" s="11" t="s">
        <v>2596</v>
      </c>
      <c r="H6" s="11"/>
    </row>
    <row r="7" spans="1:8">
      <c r="A7" s="11">
        <v>5</v>
      </c>
      <c r="B7" s="11" t="s">
        <v>651</v>
      </c>
      <c r="C7" s="11">
        <v>1</v>
      </c>
      <c r="D7" s="11" t="s">
        <v>242</v>
      </c>
      <c r="E7" s="11"/>
      <c r="F7" s="11" t="s">
        <v>2595</v>
      </c>
      <c r="G7" s="11" t="s">
        <v>2597</v>
      </c>
      <c r="H7" s="11"/>
    </row>
    <row r="8" spans="1:8">
      <c r="A8" s="11">
        <v>6</v>
      </c>
      <c r="B8" s="11" t="s">
        <v>1182</v>
      </c>
      <c r="C8" s="11">
        <v>12</v>
      </c>
      <c r="D8" s="11" t="s">
        <v>189</v>
      </c>
      <c r="E8" s="11" t="s">
        <v>5576</v>
      </c>
      <c r="F8" s="11" t="s">
        <v>1688</v>
      </c>
      <c r="G8" s="11" t="s">
        <v>1689</v>
      </c>
      <c r="H8" s="11"/>
    </row>
    <row r="9" spans="1:8" ht="30">
      <c r="A9" s="11">
        <v>7</v>
      </c>
      <c r="B9" s="11" t="s">
        <v>1183</v>
      </c>
      <c r="C9" s="11">
        <v>30</v>
      </c>
      <c r="D9" s="11" t="s">
        <v>242</v>
      </c>
      <c r="E9" s="11" t="s">
        <v>5576</v>
      </c>
      <c r="F9" s="11" t="s">
        <v>1690</v>
      </c>
      <c r="G9" s="11" t="s">
        <v>1691</v>
      </c>
      <c r="H9"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108</vt:i4>
      </vt:variant>
    </vt:vector>
  </HeadingPairs>
  <TitlesOfParts>
    <vt:vector size="108" baseType="lpstr">
      <vt:lpstr>Version History</vt:lpstr>
      <vt:lpstr>MasterSheet</vt:lpstr>
      <vt:lpstr>aad0data</vt:lpstr>
      <vt:lpstr>acaptrTL</vt:lpstr>
      <vt:lpstr>acaptrTR</vt:lpstr>
      <vt:lpstr>acrcal</vt:lpstr>
      <vt:lpstr>acd0data</vt:lpstr>
      <vt:lpstr>amd0data</vt:lpstr>
      <vt:lpstr>ank0dataBR</vt:lpstr>
      <vt:lpstr>ank0dataGW</vt:lpstr>
      <vt:lpstr>ank0dataMM</vt:lpstr>
      <vt:lpstr>ank0dataXC</vt:lpstr>
      <vt:lpstr>ard0data</vt:lpstr>
      <vt:lpstr>bcd0data</vt:lpstr>
      <vt:lpstr>bmdft01</vt:lpstr>
      <vt:lpstr>bmglsum</vt:lpstr>
      <vt:lpstr>brcode</vt:lpstr>
      <vt:lpstr>bsf0data</vt:lpstr>
      <vt:lpstr>ccblklog</vt:lpstr>
      <vt:lpstr>ccpayhist</vt:lpstr>
      <vt:lpstr>cnd0dataAC</vt:lpstr>
      <vt:lpstr>cnd0dataBD</vt:lpstr>
      <vt:lpstr>cnd0dataBR</vt:lpstr>
      <vt:lpstr>cnd0dataC0</vt:lpstr>
      <vt:lpstr>cnd0dataCL</vt:lpstr>
      <vt:lpstr>cnd0dataMR</vt:lpstr>
      <vt:lpstr>cnd0dataNR</vt:lpstr>
      <vt:lpstr>cnd0dataSP00</vt:lpstr>
      <vt:lpstr>cnd0dataSP01</vt:lpstr>
      <vt:lpstr>cnd0dataTR</vt:lpstr>
      <vt:lpstr>cnd0dataXC</vt:lpstr>
      <vt:lpstr>cpd0data</vt:lpstr>
      <vt:lpstr>crd0data</vt:lpstr>
      <vt:lpstr>ctd0data</vt:lpstr>
      <vt:lpstr>dcd0data</vt:lpstr>
      <vt:lpstr>dzd0data</vt:lpstr>
      <vt:lpstr>fud0data</vt:lpstr>
      <vt:lpstr>gld0data</vt:lpstr>
      <vt:lpstr>gld0data05</vt:lpstr>
      <vt:lpstr>iad0data</vt:lpstr>
      <vt:lpstr>isd0data</vt:lpstr>
      <vt:lpstr>letter</vt:lpstr>
      <vt:lpstr>mmd0data</vt:lpstr>
      <vt:lpstr>omnitrnhist</vt:lpstr>
      <vt:lpstr>pyd0data</vt:lpstr>
      <vt:lpstr>rid0data</vt:lpstr>
      <vt:lpstr>shd0data</vt:lpstr>
      <vt:lpstr>sod0data</vt:lpstr>
      <vt:lpstr>srvfeelog</vt:lpstr>
      <vt:lpstr>srvfeectl</vt:lpstr>
      <vt:lpstr>stabclist</vt:lpstr>
      <vt:lpstr>staccblk</vt:lpstr>
      <vt:lpstr>stacclog</vt:lpstr>
      <vt:lpstr>staccopencard</vt:lpstr>
      <vt:lpstr>staddrlog</vt:lpstr>
      <vt:lpstr>staddrtab</vt:lpstr>
      <vt:lpstr>stcaltab</vt:lpstr>
      <vt:lpstr>stcardlog</vt:lpstr>
      <vt:lpstr>stcardtab</vt:lpstr>
      <vt:lpstr>stchqdel</vt:lpstr>
      <vt:lpstr>stchqtab</vt:lpstr>
      <vt:lpstr>stcreflog</vt:lpstr>
      <vt:lpstr>stcreftab</vt:lpstr>
      <vt:lpstr>stctltabBD</vt:lpstr>
      <vt:lpstr>stctltabBI</vt:lpstr>
      <vt:lpstr>stctltab</vt:lpstr>
      <vt:lpstr>stctltabCB</vt:lpstr>
      <vt:lpstr>stctltabCC</vt:lpstr>
      <vt:lpstr>stctltabCT</vt:lpstr>
      <vt:lpstr>stctltabDC</vt:lpstr>
      <vt:lpstr>stctltabMM</vt:lpstr>
      <vt:lpstr>stctltabNA</vt:lpstr>
      <vt:lpstr>stctltabPK</vt:lpstr>
      <vt:lpstr>stctltabRN</vt:lpstr>
      <vt:lpstr>stctltabSC</vt:lpstr>
      <vt:lpstr>stctltabSS</vt:lpstr>
      <vt:lpstr>stctltabSR</vt:lpstr>
      <vt:lpstr>stctltabXC</vt:lpstr>
      <vt:lpstr>stcustlog</vt:lpstr>
      <vt:lpstr>stcusttab</vt:lpstr>
      <vt:lpstr>stfundtab</vt:lpstr>
      <vt:lpstr>stheirlog</vt:lpstr>
      <vt:lpstr>stheirtab</vt:lpstr>
      <vt:lpstr>stidlog</vt:lpstr>
      <vt:lpstr>stidtab</vt:lpstr>
      <vt:lpstr>stjointlog</vt:lpstr>
      <vt:lpstr>stjointtab</vt:lpstr>
      <vt:lpstr>stownlog</vt:lpstr>
      <vt:lpstr>stowntab</vt:lpstr>
      <vt:lpstr>stsadadlog</vt:lpstr>
      <vt:lpstr>stsadctlSC</vt:lpstr>
      <vt:lpstr>stsadctlER</vt:lpstr>
      <vt:lpstr>stsamaacc</vt:lpstr>
      <vt:lpstr>stseclog</vt:lpstr>
      <vt:lpstr>stsignlog</vt:lpstr>
      <vt:lpstr>stsigntab</vt:lpstr>
      <vt:lpstr>stsodlog</vt:lpstr>
      <vt:lpstr>ststchqlog</vt:lpstr>
      <vt:lpstr>sttdlog</vt:lpstr>
      <vt:lpstr>stuser</vt:lpstr>
      <vt:lpstr>stuserlog</vt:lpstr>
      <vt:lpstr>stusrbrn</vt:lpstr>
      <vt:lpstr>thd0data</vt:lpstr>
      <vt:lpstr>thd0data1</vt:lpstr>
      <vt:lpstr>tid0data</vt:lpstr>
      <vt:lpstr>tr0data</vt:lpstr>
      <vt:lpstr>txd0data</vt:lpstr>
      <vt:lpstr>und0data</vt:lpstr>
    </vt:vector>
  </TitlesOfParts>
  <Company>Arab National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BHAGWAT THORAT</dc:creator>
  <cp:lastModifiedBy>BHAGWAT T. THORAT</cp:lastModifiedBy>
  <dcterms:created xsi:type="dcterms:W3CDTF">2025-04-16T11:11:43Z</dcterms:created>
  <dcterms:modified xsi:type="dcterms:W3CDTF">2026-01-06T06:06:38Z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ad099a9-8c8c-45d8-8710-85f4df98fba9_Enabled">
    <vt:lpwstr>true</vt:lpwstr>
  </property>
  <property fmtid="{D5CDD505-2E9C-101B-9397-08002B2CF9AE}" pid="5" name="MSIP_Label_2ad099a9-8c8c-45d8-8710-85f4df98fba9_SetDate">
    <vt:lpwstr>2025-04-17T12:57:44Z</vt:lpwstr>
  </property>
  <property fmtid="{D5CDD505-2E9C-101B-9397-08002B2CF9AE}" pid="6" name="MSIP_Label_2ad099a9-8c8c-45d8-8710-85f4df98fba9_Method">
    <vt:lpwstr>Standard</vt:lpwstr>
  </property>
  <property fmtid="{D5CDD505-2E9C-101B-9397-08002B2CF9AE}" pid="7" name="MSIP_Label_2ad099a9-8c8c-45d8-8710-85f4df98fba9_Name">
    <vt:lpwstr>Confidential</vt:lpwstr>
  </property>
  <property fmtid="{D5CDD505-2E9C-101B-9397-08002B2CF9AE}" pid="8" name="MSIP_Label_2ad099a9-8c8c-45d8-8710-85f4df98fba9_SiteId">
    <vt:lpwstr>f41f5386-5ebd-427f-b16e-eb1f3b6f17da</vt:lpwstr>
  </property>
  <property fmtid="{D5CDD505-2E9C-101B-9397-08002B2CF9AE}" pid="9" name="MSIP_Label_2ad099a9-8c8c-45d8-8710-85f4df98fba9_ActionId">
    <vt:lpwstr>3bd9967f-2e94-48b4-8d56-4fda4f2bbc56</vt:lpwstr>
  </property>
  <property fmtid="{D5CDD505-2E9C-101B-9397-08002B2CF9AE}" pid="10" name="MSIP_Label_2ad099a9-8c8c-45d8-8710-85f4df98fba9_ContentBits">
    <vt:lpwstr>0</vt:lpwstr>
  </property>
</Properties>
</file>